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anghema/dev/rare-ai-growth/"/>
    </mc:Choice>
  </mc:AlternateContent>
  <xr:revisionPtr revIDLastSave="0" documentId="13_ncr:1_{4751FE81-D1EC-A548-AF9C-0DAC7FE15BB0}" xr6:coauthVersionLast="47" xr6:coauthVersionMax="47" xr10:uidLastSave="{00000000-0000-0000-0000-000000000000}"/>
  <bookViews>
    <workbookView xWindow="0" yWindow="700" windowWidth="27040" windowHeight="16860" tabRatio="500" xr2:uid="{00000000-000D-0000-FFFF-FFFF00000000}"/>
  </bookViews>
  <sheets>
    <sheet name="Cover" sheetId="1" r:id="rId1"/>
    <sheet name="Summary Dashboard" sheetId="9" r:id="rId2"/>
    <sheet name="Parameters" sheetId="2" r:id="rId3"/>
    <sheet name="Capex Build" sheetId="3" r:id="rId4"/>
    <sheet name="Model 1 - Calibration" sheetId="4" r:id="rId5"/>
    <sheet name="Model 1 - Inv &amp; GDP Paths" sheetId="5" r:id="rId6"/>
    <sheet name="Model 2 - Riskfree and ERP" sheetId="8" r:id="rId7"/>
    <sheet name="Scenario Calculations" sheetId="12" r:id="rId8"/>
  </sheets>
  <definedNames>
    <definedName name="_z1">Parameters!$D$29</definedName>
    <definedName name="alpha">Parameters!$D$8</definedName>
    <definedName name="beta_ap">Parameters!$D$45</definedName>
    <definedName name="delta_a">Parameters!$D$9</definedName>
    <definedName name="delta_n">Parameters!$D$10</definedName>
    <definedName name="exp_xi">Parameters!$D$26</definedName>
    <definedName name="GDP_0">Parameters!$D$32</definedName>
    <definedName name="GDP0">Parameters!$D$15</definedName>
    <definedName name="I_bar">Parameters!$D$24</definedName>
    <definedName name="I_pre">Parameters!$D$23</definedName>
    <definedName name="I_total_pre">Parameters!$D$15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K0">Parameters!$D$25</definedName>
    <definedName name="Kn0">Parameters!$D$33</definedName>
    <definedName name="mu_c">Parameters!$D$43</definedName>
    <definedName name="p_d">Parameters!$D$40</definedName>
    <definedName name="p_max">Parameters!$D$13</definedName>
    <definedName name="p_star">Parameters!$D$34</definedName>
    <definedName name="r_a">Parameters!$D$11</definedName>
    <definedName name="r_n">Parameters!$D$12</definedName>
    <definedName name="rho">Parameters!$D$42</definedName>
    <definedName name="sigma_c">Parameters!$D$44</definedName>
    <definedName name="theta_a">Parameters!$D$14</definedName>
    <definedName name="xi">Parameters!$D$27</definedName>
    <definedName name="xi_d">Parameters!$D$41</definedName>
    <definedName name="Ya0">Parameters!$D$30</definedName>
    <definedName name="Ya0_share">Parameters!$D$35</definedName>
    <definedName name="Yn0">Parameters!$D$31</definedName>
    <definedName name="z_1">Parameters!$D$29</definedName>
    <definedName name="z0">Parameters!$D$28</definedName>
  </definedNames>
  <calcPr calcId="191028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181" i="12" l="1"/>
  <c r="F181" i="12"/>
  <c r="E181" i="12"/>
  <c r="D18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E127" i="12"/>
  <c r="E126" i="12"/>
  <c r="E125" i="12"/>
  <c r="E124" i="12"/>
  <c r="E123" i="12"/>
  <c r="E122" i="12"/>
  <c r="E121" i="12"/>
  <c r="E120" i="12"/>
  <c r="E111" i="12"/>
  <c r="E110" i="12"/>
  <c r="E109" i="12"/>
  <c r="E108" i="12"/>
  <c r="E107" i="12"/>
  <c r="E106" i="12"/>
  <c r="E105" i="12"/>
  <c r="E104" i="12"/>
  <c r="E95" i="12"/>
  <c r="E94" i="12"/>
  <c r="E93" i="12"/>
  <c r="E92" i="12"/>
  <c r="E91" i="12"/>
  <c r="E90" i="12"/>
  <c r="E89" i="12"/>
  <c r="E88" i="12"/>
  <c r="E79" i="12"/>
  <c r="E78" i="12"/>
  <c r="E77" i="12"/>
  <c r="E76" i="12"/>
  <c r="E75" i="12"/>
  <c r="E74" i="12"/>
  <c r="E73" i="12"/>
  <c r="E72" i="12"/>
  <c r="E63" i="12"/>
  <c r="E62" i="12"/>
  <c r="E61" i="12"/>
  <c r="E60" i="12"/>
  <c r="E59" i="12"/>
  <c r="E58" i="12"/>
  <c r="E57" i="12"/>
  <c r="E56" i="12"/>
  <c r="E47" i="12"/>
  <c r="E46" i="12"/>
  <c r="E45" i="12"/>
  <c r="E44" i="12"/>
  <c r="E43" i="12"/>
  <c r="E42" i="12"/>
  <c r="E41" i="12"/>
  <c r="E40" i="12"/>
  <c r="E31" i="12"/>
  <c r="E30" i="12"/>
  <c r="E29" i="12"/>
  <c r="E28" i="12"/>
  <c r="E27" i="12"/>
  <c r="E26" i="12"/>
  <c r="E25" i="12"/>
  <c r="E24" i="12"/>
  <c r="E15" i="12"/>
  <c r="E14" i="12"/>
  <c r="E13" i="12"/>
  <c r="E12" i="12"/>
  <c r="E11" i="12"/>
  <c r="E10" i="12"/>
  <c r="E9" i="12"/>
  <c r="E8" i="12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D18" i="8"/>
  <c r="D53" i="4"/>
  <c r="D52" i="4"/>
  <c r="D51" i="4"/>
  <c r="D31" i="4"/>
  <c r="F31" i="4" s="1"/>
  <c r="D30" i="4"/>
  <c r="F30" i="4" s="1"/>
  <c r="D29" i="4"/>
  <c r="F29" i="4" s="1"/>
  <c r="D28" i="4"/>
  <c r="F28" i="4" s="1"/>
  <c r="D27" i="4"/>
  <c r="F27" i="4" s="1"/>
  <c r="I22" i="4"/>
  <c r="H22" i="4"/>
  <c r="G22" i="4"/>
  <c r="F22" i="4"/>
  <c r="E22" i="4"/>
  <c r="D10" i="4"/>
  <c r="I13" i="3"/>
  <c r="H13" i="3"/>
  <c r="G13" i="3"/>
  <c r="F13" i="3"/>
  <c r="E13" i="3"/>
  <c r="D13" i="3"/>
  <c r="D23" i="2" s="1"/>
  <c r="D45" i="2"/>
  <c r="D8" i="2"/>
  <c r="F276" i="5"/>
  <c r="E276" i="5"/>
  <c r="D276" i="5"/>
  <c r="K247" i="5"/>
  <c r="H247" i="5"/>
  <c r="E247" i="5"/>
  <c r="K246" i="5"/>
  <c r="H246" i="5"/>
  <c r="E246" i="5"/>
  <c r="K245" i="5"/>
  <c r="H245" i="5"/>
  <c r="E245" i="5"/>
  <c r="K244" i="5"/>
  <c r="H244" i="5"/>
  <c r="E244" i="5"/>
  <c r="K243" i="5"/>
  <c r="H243" i="5"/>
  <c r="E243" i="5"/>
  <c r="K242" i="5"/>
  <c r="H242" i="5"/>
  <c r="E242" i="5"/>
  <c r="K241" i="5"/>
  <c r="H241" i="5"/>
  <c r="E241" i="5"/>
  <c r="G15" i="5"/>
  <c r="F15" i="5"/>
  <c r="E15" i="5"/>
  <c r="D15" i="5"/>
  <c r="G14" i="5"/>
  <c r="F14" i="5"/>
  <c r="E14" i="5"/>
  <c r="D14" i="5"/>
  <c r="D10" i="5"/>
  <c r="E25" i="5" l="1"/>
  <c r="E26" i="5"/>
  <c r="E23" i="5"/>
  <c r="E21" i="5"/>
  <c r="E27" i="5"/>
  <c r="E24" i="5"/>
  <c r="E22" i="5"/>
  <c r="E20" i="5"/>
  <c r="D15" i="3"/>
  <c r="D24" i="2" s="1"/>
  <c r="D9" i="4" s="1"/>
  <c r="D54" i="4"/>
  <c r="D55" i="4" s="1"/>
  <c r="E31" i="4"/>
  <c r="G31" i="4" s="1"/>
  <c r="H31" i="4" s="1"/>
  <c r="E29" i="4"/>
  <c r="G29" i="4" s="1"/>
  <c r="H29" i="4" s="1"/>
  <c r="E28" i="4"/>
  <c r="G28" i="4" s="1"/>
  <c r="H28" i="4" s="1"/>
  <c r="E30" i="4"/>
  <c r="G30" i="4" s="1"/>
  <c r="H30" i="4" s="1"/>
  <c r="E27" i="4"/>
  <c r="G27" i="4" s="1"/>
  <c r="H27" i="4" s="1"/>
  <c r="Y156" i="12"/>
  <c r="X156" i="12"/>
  <c r="W156" i="12"/>
  <c r="V156" i="12"/>
  <c r="Y141" i="12"/>
  <c r="X141" i="12"/>
  <c r="Y159" i="12"/>
  <c r="Y158" i="12"/>
  <c r="X158" i="12"/>
  <c r="W157" i="12"/>
  <c r="Y157" i="12"/>
  <c r="X157" i="12"/>
  <c r="U155" i="12"/>
  <c r="V155" i="12"/>
  <c r="W155" i="12"/>
  <c r="X155" i="12"/>
  <c r="Y155" i="12"/>
  <c r="W154" i="12"/>
  <c r="Y154" i="12"/>
  <c r="V154" i="12"/>
  <c r="U154" i="12"/>
  <c r="T154" i="12"/>
  <c r="X154" i="12"/>
  <c r="S153" i="12"/>
  <c r="T153" i="12"/>
  <c r="U153" i="12"/>
  <c r="V153" i="12"/>
  <c r="W153" i="12"/>
  <c r="X153" i="12"/>
  <c r="Y153" i="12"/>
  <c r="R152" i="12"/>
  <c r="S152" i="12"/>
  <c r="T152" i="12"/>
  <c r="U152" i="12"/>
  <c r="V152" i="12"/>
  <c r="W152" i="12"/>
  <c r="X152" i="12"/>
  <c r="Y152" i="12"/>
  <c r="Q151" i="12"/>
  <c r="R151" i="12"/>
  <c r="S151" i="12"/>
  <c r="T151" i="12"/>
  <c r="U151" i="12"/>
  <c r="V151" i="12"/>
  <c r="W151" i="12"/>
  <c r="X151" i="12"/>
  <c r="Y151" i="12"/>
  <c r="P150" i="12"/>
  <c r="Q150" i="12"/>
  <c r="R150" i="12"/>
  <c r="S150" i="12"/>
  <c r="T150" i="12"/>
  <c r="U150" i="12"/>
  <c r="V150" i="12"/>
  <c r="W150" i="12"/>
  <c r="X150" i="12"/>
  <c r="Y150" i="12"/>
  <c r="P149" i="12"/>
  <c r="R149" i="12"/>
  <c r="Q149" i="12"/>
  <c r="O149" i="12"/>
  <c r="S149" i="12"/>
  <c r="T149" i="12"/>
  <c r="U149" i="12"/>
  <c r="V149" i="12"/>
  <c r="W149" i="12"/>
  <c r="X149" i="12"/>
  <c r="Y149" i="12"/>
  <c r="V148" i="12"/>
  <c r="U148" i="12"/>
  <c r="T148" i="12"/>
  <c r="S148" i="12"/>
  <c r="R148" i="12"/>
  <c r="Q148" i="12"/>
  <c r="P148" i="12"/>
  <c r="O148" i="12"/>
  <c r="N148" i="12"/>
  <c r="W148" i="12"/>
  <c r="X148" i="12"/>
  <c r="Y148" i="12"/>
  <c r="O147" i="12"/>
  <c r="Q147" i="12"/>
  <c r="R147" i="12"/>
  <c r="S147" i="12"/>
  <c r="T147" i="12"/>
  <c r="U147" i="12"/>
  <c r="V147" i="12"/>
  <c r="W147" i="12"/>
  <c r="X147" i="12"/>
  <c r="Y147" i="12"/>
  <c r="N147" i="12"/>
  <c r="M147" i="12"/>
  <c r="P147" i="12"/>
  <c r="U146" i="12"/>
  <c r="W146" i="12"/>
  <c r="X146" i="12"/>
  <c r="Y146" i="12"/>
  <c r="Q146" i="12"/>
  <c r="P146" i="12"/>
  <c r="O146" i="12"/>
  <c r="N146" i="12"/>
  <c r="M146" i="12"/>
  <c r="L146" i="12"/>
  <c r="S146" i="12"/>
  <c r="R146" i="12"/>
  <c r="T146" i="12"/>
  <c r="V146" i="12"/>
  <c r="M145" i="12"/>
  <c r="K145" i="12"/>
  <c r="P145" i="12"/>
  <c r="Q145" i="12"/>
  <c r="R145" i="12"/>
  <c r="S145" i="12"/>
  <c r="T145" i="12"/>
  <c r="U145" i="12"/>
  <c r="V145" i="12"/>
  <c r="W145" i="12"/>
  <c r="X145" i="12"/>
  <c r="Y145" i="12"/>
  <c r="N145" i="12"/>
  <c r="L145" i="12"/>
  <c r="O145" i="12"/>
  <c r="X144" i="12"/>
  <c r="M144" i="12"/>
  <c r="O144" i="12"/>
  <c r="Q144" i="12"/>
  <c r="R144" i="12"/>
  <c r="T144" i="12"/>
  <c r="W144" i="12"/>
  <c r="Y144" i="12"/>
  <c r="V144" i="12"/>
  <c r="U144" i="12"/>
  <c r="S144" i="12"/>
  <c r="P144" i="12"/>
  <c r="N144" i="12"/>
  <c r="K144" i="12"/>
  <c r="L144" i="12"/>
  <c r="J144" i="12"/>
  <c r="P143" i="12"/>
  <c r="Y143" i="12"/>
  <c r="K143" i="12"/>
  <c r="I143" i="12"/>
  <c r="V143" i="12"/>
  <c r="Q143" i="12"/>
  <c r="R143" i="12"/>
  <c r="N143" i="12"/>
  <c r="J143" i="12"/>
  <c r="M143" i="12"/>
  <c r="O143" i="12"/>
  <c r="T143" i="12"/>
  <c r="X143" i="12"/>
  <c r="W143" i="12"/>
  <c r="U143" i="12"/>
  <c r="S143" i="12"/>
  <c r="L143" i="12"/>
  <c r="X142" i="12"/>
  <c r="W142" i="12"/>
  <c r="U142" i="12"/>
  <c r="T142" i="12"/>
  <c r="Y142" i="12"/>
  <c r="V142" i="12"/>
  <c r="S142" i="12"/>
  <c r="R142" i="12"/>
  <c r="P142" i="12"/>
  <c r="N142" i="12"/>
  <c r="K142" i="12"/>
  <c r="J142" i="12"/>
  <c r="H142" i="12"/>
  <c r="Q142" i="12"/>
  <c r="O142" i="12"/>
  <c r="M142" i="12"/>
  <c r="L142" i="12"/>
  <c r="I142" i="12"/>
  <c r="M141" i="12"/>
  <c r="G141" i="12"/>
  <c r="H141" i="12"/>
  <c r="I141" i="12"/>
  <c r="J141" i="12"/>
  <c r="K141" i="12"/>
  <c r="L141" i="12"/>
  <c r="W141" i="12"/>
  <c r="V141" i="12"/>
  <c r="U141" i="12"/>
  <c r="T141" i="12"/>
  <c r="S141" i="12"/>
  <c r="R141" i="12"/>
  <c r="Q141" i="12"/>
  <c r="P141" i="12"/>
  <c r="O141" i="12"/>
  <c r="N141" i="12"/>
  <c r="G140" i="12"/>
  <c r="N140" i="12"/>
  <c r="H140" i="12"/>
  <c r="I140" i="12"/>
  <c r="J140" i="12"/>
  <c r="K140" i="12"/>
  <c r="L140" i="12"/>
  <c r="M140" i="12"/>
  <c r="F140" i="12"/>
  <c r="Y140" i="12"/>
  <c r="X140" i="12"/>
  <c r="W140" i="12"/>
  <c r="V140" i="12"/>
  <c r="U140" i="12"/>
  <c r="T140" i="12"/>
  <c r="S140" i="12"/>
  <c r="R140" i="12"/>
  <c r="Q140" i="12"/>
  <c r="P140" i="12"/>
  <c r="O140" i="12"/>
  <c r="I45" i="12"/>
  <c r="F41" i="5" s="1"/>
  <c r="I125" i="12"/>
  <c r="K41" i="5" s="1"/>
  <c r="I93" i="12"/>
  <c r="I41" i="5" s="1"/>
  <c r="I109" i="12"/>
  <c r="J41" i="5" s="1"/>
  <c r="I77" i="12"/>
  <c r="I13" i="12"/>
  <c r="D41" i="5" s="1"/>
  <c r="I20" i="3"/>
  <c r="I20" i="4"/>
  <c r="I29" i="12"/>
  <c r="E41" i="5" s="1"/>
  <c r="I61" i="12"/>
  <c r="G41" i="5" s="1"/>
  <c r="I60" i="12"/>
  <c r="G40" i="5" s="1"/>
  <c r="I44" i="12"/>
  <c r="F40" i="5" s="1"/>
  <c r="I124" i="12"/>
  <c r="K40" i="5" s="1"/>
  <c r="I92" i="12"/>
  <c r="I40" i="5" s="1"/>
  <c r="I108" i="12"/>
  <c r="J40" i="5" s="1"/>
  <c r="I76" i="12"/>
  <c r="I12" i="12"/>
  <c r="D40" i="5" s="1"/>
  <c r="H20" i="3"/>
  <c r="H20" i="4"/>
  <c r="I28" i="12"/>
  <c r="E40" i="5" s="1"/>
  <c r="I43" i="12"/>
  <c r="F39" i="5" s="1"/>
  <c r="I91" i="12"/>
  <c r="I39" i="5" s="1"/>
  <c r="I11" i="12"/>
  <c r="D39" i="5" s="1"/>
  <c r="I107" i="12"/>
  <c r="J39" i="5" s="1"/>
  <c r="G20" i="3"/>
  <c r="I75" i="12"/>
  <c r="I59" i="12"/>
  <c r="G39" i="5" s="1"/>
  <c r="I123" i="12"/>
  <c r="K39" i="5" s="1"/>
  <c r="I27" i="12"/>
  <c r="E39" i="5" s="1"/>
  <c r="G20" i="4"/>
  <c r="I10" i="12"/>
  <c r="D38" i="5" s="1"/>
  <c r="I58" i="12"/>
  <c r="G38" i="5" s="1"/>
  <c r="F20" i="4"/>
  <c r="I74" i="12"/>
  <c r="I90" i="12"/>
  <c r="I38" i="5" s="1"/>
  <c r="I42" i="12"/>
  <c r="F38" i="5" s="1"/>
  <c r="F20" i="3"/>
  <c r="I122" i="12"/>
  <c r="K38" i="5" s="1"/>
  <c r="I26" i="12"/>
  <c r="E38" i="5" s="1"/>
  <c r="I106" i="12"/>
  <c r="J38" i="5" s="1"/>
  <c r="I57" i="12"/>
  <c r="G37" i="5" s="1"/>
  <c r="I9" i="12"/>
  <c r="D37" i="5" s="1"/>
  <c r="I25" i="12"/>
  <c r="E37" i="5" s="1"/>
  <c r="I73" i="12"/>
  <c r="E20" i="4"/>
  <c r="I89" i="12"/>
  <c r="I37" i="5" s="1"/>
  <c r="I105" i="12"/>
  <c r="J37" i="5" s="1"/>
  <c r="E20" i="3"/>
  <c r="I121" i="12"/>
  <c r="K37" i="5" s="1"/>
  <c r="I41" i="12"/>
  <c r="F37" i="5" s="1"/>
  <c r="I120" i="12"/>
  <c r="K36" i="5" s="1"/>
  <c r="I56" i="12"/>
  <c r="G36" i="5" s="1"/>
  <c r="D20" i="3"/>
  <c r="I104" i="12"/>
  <c r="J36" i="5" s="1"/>
  <c r="D20" i="4"/>
  <c r="I88" i="12"/>
  <c r="I36" i="5" s="1"/>
  <c r="I72" i="12"/>
  <c r="I24" i="12"/>
  <c r="E36" i="5" s="1"/>
  <c r="I8" i="12"/>
  <c r="D36" i="5" s="1"/>
  <c r="I40" i="12"/>
  <c r="F36" i="5" s="1"/>
  <c r="D8" i="4"/>
  <c r="D32" i="4"/>
  <c r="D25" i="2"/>
  <c r="D33" i="2"/>
  <c r="D31" i="2" s="1"/>
  <c r="E23" i="3" l="1"/>
  <c r="E24" i="3"/>
  <c r="H41" i="5"/>
  <c r="I25" i="5"/>
  <c r="I23" i="3"/>
  <c r="I24" i="3"/>
  <c r="I24" i="5"/>
  <c r="H40" i="5"/>
  <c r="H23" i="3"/>
  <c r="H24" i="3"/>
  <c r="G23" i="3"/>
  <c r="G24" i="3"/>
  <c r="H39" i="5"/>
  <c r="I23" i="5"/>
  <c r="I22" i="5"/>
  <c r="H38" i="5"/>
  <c r="F23" i="3"/>
  <c r="F24" i="3"/>
  <c r="H37" i="5"/>
  <c r="I21" i="5"/>
  <c r="D23" i="3"/>
  <c r="D24" i="3"/>
  <c r="H36" i="5"/>
  <c r="I20" i="5"/>
  <c r="D28" i="2"/>
  <c r="G8" i="12"/>
  <c r="G9" i="12" s="1"/>
  <c r="G10" i="12" s="1"/>
  <c r="G11" i="12" s="1"/>
  <c r="G12" i="12" s="1"/>
  <c r="G13" i="12" s="1"/>
  <c r="G14" i="12" s="1"/>
  <c r="G24" i="12"/>
  <c r="G25" i="12" s="1"/>
  <c r="G26" i="12" s="1"/>
  <c r="G27" i="12" s="1"/>
  <c r="G28" i="12" s="1"/>
  <c r="G29" i="12" s="1"/>
  <c r="G30" i="12" s="1"/>
  <c r="G40" i="12"/>
  <c r="G41" i="12" s="1"/>
  <c r="G42" i="12" s="1"/>
  <c r="G43" i="12" s="1"/>
  <c r="G44" i="12" s="1"/>
  <c r="G45" i="12" s="1"/>
  <c r="G46" i="12" s="1"/>
  <c r="G56" i="12"/>
  <c r="G57" i="12" s="1"/>
  <c r="G58" i="12" s="1"/>
  <c r="G59" i="12" s="1"/>
  <c r="G60" i="12" s="1"/>
  <c r="G61" i="12" s="1"/>
  <c r="G62" i="12" s="1"/>
  <c r="G72" i="12"/>
  <c r="G88" i="12"/>
  <c r="G89" i="12" s="1"/>
  <c r="G90" i="12" s="1"/>
  <c r="G91" i="12" s="1"/>
  <c r="G92" i="12" s="1"/>
  <c r="G93" i="12" s="1"/>
  <c r="G94" i="12" s="1"/>
  <c r="G104" i="12"/>
  <c r="G105" i="12" s="1"/>
  <c r="G106" i="12" s="1"/>
  <c r="G107" i="12" s="1"/>
  <c r="G108" i="12" s="1"/>
  <c r="G109" i="12" s="1"/>
  <c r="G110" i="12" s="1"/>
  <c r="G120" i="12"/>
  <c r="G121" i="12" s="1"/>
  <c r="G122" i="12" s="1"/>
  <c r="G123" i="12" s="1"/>
  <c r="G124" i="12" s="1"/>
  <c r="G125" i="12" s="1"/>
  <c r="G126" i="12" s="1"/>
  <c r="D11" i="4"/>
  <c r="H38" i="4" s="1"/>
  <c r="D21" i="4"/>
  <c r="E21" i="4" s="1"/>
  <c r="F21" i="4" s="1"/>
  <c r="G21" i="4" s="1"/>
  <c r="H21" i="4" s="1"/>
  <c r="I21" i="4" s="1"/>
  <c r="J21" i="4" s="1"/>
  <c r="D12" i="4" s="1"/>
  <c r="F32" i="4"/>
  <c r="D30" i="2" l="1"/>
  <c r="D8" i="12"/>
  <c r="D24" i="12"/>
  <c r="D40" i="12"/>
  <c r="D72" i="12"/>
  <c r="D88" i="12"/>
  <c r="D120" i="12"/>
  <c r="D56" i="12"/>
  <c r="D104" i="12"/>
  <c r="G73" i="12"/>
  <c r="G20" i="5"/>
  <c r="I38" i="4"/>
  <c r="R38" i="4"/>
  <c r="G38" i="4"/>
  <c r="D14" i="4"/>
  <c r="D26" i="2" s="1"/>
  <c r="D29" i="2" s="1"/>
  <c r="E32" i="4"/>
  <c r="D42" i="4"/>
  <c r="E85" i="5" l="1"/>
  <c r="E86" i="5"/>
  <c r="E87" i="5"/>
  <c r="E88" i="5"/>
  <c r="D32" i="2"/>
  <c r="D35" i="2" s="1"/>
  <c r="J8" i="12"/>
  <c r="D9" i="12"/>
  <c r="J24" i="12"/>
  <c r="D25" i="12"/>
  <c r="J40" i="12"/>
  <c r="D41" i="12"/>
  <c r="J72" i="12"/>
  <c r="D73" i="12"/>
  <c r="D20" i="5"/>
  <c r="J88" i="12"/>
  <c r="D89" i="12"/>
  <c r="J120" i="12"/>
  <c r="D121" i="12"/>
  <c r="J56" i="12"/>
  <c r="D57" i="12"/>
  <c r="J104" i="12"/>
  <c r="D105" i="12"/>
  <c r="G74" i="12"/>
  <c r="G21" i="5"/>
  <c r="J38" i="4"/>
  <c r="J42" i="4" s="1"/>
  <c r="T42" i="4" s="1"/>
  <c r="S38" i="4"/>
  <c r="Q38" i="4"/>
  <c r="F38" i="4"/>
  <c r="F42" i="4" s="1"/>
  <c r="P42" i="4" s="1"/>
  <c r="F8" i="12"/>
  <c r="H8" i="12" s="1"/>
  <c r="F10" i="12"/>
  <c r="F12" i="12"/>
  <c r="F15" i="12"/>
  <c r="F26" i="12"/>
  <c r="F28" i="12"/>
  <c r="F31" i="12"/>
  <c r="F41" i="12"/>
  <c r="F45" i="12"/>
  <c r="F56" i="12"/>
  <c r="H56" i="12" s="1"/>
  <c r="F58" i="12"/>
  <c r="F62" i="12"/>
  <c r="F74" i="12"/>
  <c r="F76" i="12"/>
  <c r="F78" i="12"/>
  <c r="F89" i="12"/>
  <c r="F95" i="12"/>
  <c r="F106" i="12"/>
  <c r="F109" i="12"/>
  <c r="F126" i="12"/>
  <c r="F11" i="12"/>
  <c r="F14" i="12"/>
  <c r="F25" i="12"/>
  <c r="F29" i="12"/>
  <c r="F44" i="12"/>
  <c r="F46" i="12"/>
  <c r="F57" i="12"/>
  <c r="F59" i="12"/>
  <c r="F63" i="12"/>
  <c r="F73" i="12"/>
  <c r="F75" i="12"/>
  <c r="F79" i="12"/>
  <c r="F90" i="12"/>
  <c r="F92" i="12"/>
  <c r="F94" i="12"/>
  <c r="F105" i="12"/>
  <c r="F108" i="12"/>
  <c r="F111" i="12"/>
  <c r="F124" i="12"/>
  <c r="D56" i="4"/>
  <c r="D34" i="2" s="1"/>
  <c r="F9" i="12"/>
  <c r="F13" i="12"/>
  <c r="F24" i="12"/>
  <c r="H24" i="12" s="1"/>
  <c r="F27" i="12"/>
  <c r="F30" i="12"/>
  <c r="F40" i="12"/>
  <c r="H40" i="12" s="1"/>
  <c r="F42" i="12"/>
  <c r="F43" i="12"/>
  <c r="F47" i="12"/>
  <c r="F60" i="12"/>
  <c r="F61" i="12"/>
  <c r="F72" i="12"/>
  <c r="F77" i="12"/>
  <c r="F88" i="12"/>
  <c r="H88" i="12" s="1"/>
  <c r="F91" i="12"/>
  <c r="F93" i="12"/>
  <c r="F104" i="12"/>
  <c r="H104" i="12" s="1"/>
  <c r="F107" i="12"/>
  <c r="F110" i="12"/>
  <c r="F120" i="12"/>
  <c r="H120" i="12" s="1"/>
  <c r="F121" i="12"/>
  <c r="F122" i="12"/>
  <c r="F123" i="12"/>
  <c r="F125" i="12"/>
  <c r="F127" i="12"/>
  <c r="D15" i="4"/>
  <c r="D27" i="2" s="1"/>
  <c r="G32" i="4"/>
  <c r="G42" i="4"/>
  <c r="Q42" i="4" s="1"/>
  <c r="H42" i="4"/>
  <c r="R42" i="4" s="1"/>
  <c r="I42" i="4"/>
  <c r="S42" i="4" s="1"/>
  <c r="N42" i="4"/>
  <c r="D43" i="4"/>
  <c r="D41" i="4"/>
  <c r="F22" i="5" l="1"/>
  <c r="F24" i="5"/>
  <c r="F25" i="5"/>
  <c r="F21" i="5"/>
  <c r="F23" i="5"/>
  <c r="F27" i="5"/>
  <c r="F26" i="5"/>
  <c r="E167" i="12"/>
  <c r="F167" i="12"/>
  <c r="F173" i="12" s="1"/>
  <c r="G167" i="12"/>
  <c r="G173" i="12" s="1"/>
  <c r="H167" i="12"/>
  <c r="H173" i="12" s="1"/>
  <c r="K167" i="12"/>
  <c r="K173" i="12" s="1"/>
  <c r="L167" i="12"/>
  <c r="L173" i="12" s="1"/>
  <c r="M167" i="12"/>
  <c r="M173" i="12" s="1"/>
  <c r="J167" i="12"/>
  <c r="J173" i="12" s="1"/>
  <c r="I167" i="12"/>
  <c r="I173" i="12" s="1"/>
  <c r="S168" i="12"/>
  <c r="S174" i="12" s="1"/>
  <c r="N167" i="12"/>
  <c r="N173" i="12" s="1"/>
  <c r="R167" i="12"/>
  <c r="R173" i="12" s="1"/>
  <c r="S167" i="12"/>
  <c r="S173" i="12" s="1"/>
  <c r="T167" i="12"/>
  <c r="T173" i="12" s="1"/>
  <c r="U167" i="12"/>
  <c r="U173" i="12" s="1"/>
  <c r="V167" i="12"/>
  <c r="V173" i="12" s="1"/>
  <c r="W167" i="12"/>
  <c r="W173" i="12" s="1"/>
  <c r="X167" i="12"/>
  <c r="X173" i="12" s="1"/>
  <c r="I168" i="12"/>
  <c r="I174" i="12" s="1"/>
  <c r="K169" i="12"/>
  <c r="K175" i="12" s="1"/>
  <c r="N169" i="12"/>
  <c r="N175" i="12" s="1"/>
  <c r="Q169" i="12"/>
  <c r="Q175" i="12" s="1"/>
  <c r="J168" i="12"/>
  <c r="J174" i="12" s="1"/>
  <c r="K168" i="12"/>
  <c r="K174" i="12" s="1"/>
  <c r="L168" i="12"/>
  <c r="L174" i="12" s="1"/>
  <c r="M168" i="12"/>
  <c r="M174" i="12" s="1"/>
  <c r="N168" i="12"/>
  <c r="N174" i="12" s="1"/>
  <c r="O168" i="12"/>
  <c r="O174" i="12" s="1"/>
  <c r="P168" i="12"/>
  <c r="P174" i="12" s="1"/>
  <c r="Q168" i="12"/>
  <c r="Q174" i="12" s="1"/>
  <c r="R168" i="12"/>
  <c r="R174" i="12" s="1"/>
  <c r="P167" i="12"/>
  <c r="P173" i="12" s="1"/>
  <c r="T168" i="12"/>
  <c r="T174" i="12" s="1"/>
  <c r="U168" i="12"/>
  <c r="U174" i="12" s="1"/>
  <c r="V168" i="12"/>
  <c r="V174" i="12" s="1"/>
  <c r="W168" i="12"/>
  <c r="W174" i="12" s="1"/>
  <c r="X168" i="12"/>
  <c r="X174" i="12" s="1"/>
  <c r="E169" i="12"/>
  <c r="F169" i="12"/>
  <c r="F175" i="12" s="1"/>
  <c r="G169" i="12"/>
  <c r="G175" i="12" s="1"/>
  <c r="H169" i="12"/>
  <c r="H175" i="12" s="1"/>
  <c r="J169" i="12"/>
  <c r="J175" i="12" s="1"/>
  <c r="P169" i="12"/>
  <c r="P175" i="12" s="1"/>
  <c r="T169" i="12"/>
  <c r="T175" i="12" s="1"/>
  <c r="Y168" i="12"/>
  <c r="Y174" i="12" s="1"/>
  <c r="I169" i="12"/>
  <c r="I175" i="12" s="1"/>
  <c r="L169" i="12"/>
  <c r="L175" i="12" s="1"/>
  <c r="R169" i="12"/>
  <c r="R175" i="12" s="1"/>
  <c r="V169" i="12"/>
  <c r="V175" i="12" s="1"/>
  <c r="M169" i="12"/>
  <c r="M175" i="12" s="1"/>
  <c r="O169" i="12"/>
  <c r="O175" i="12" s="1"/>
  <c r="S169" i="12"/>
  <c r="S175" i="12" s="1"/>
  <c r="U169" i="12"/>
  <c r="U175" i="12" s="1"/>
  <c r="O167" i="12"/>
  <c r="O173" i="12" s="1"/>
  <c r="Q167" i="12"/>
  <c r="Q173" i="12" s="1"/>
  <c r="K8" i="12"/>
  <c r="D51" i="5" s="1"/>
  <c r="L8" i="12"/>
  <c r="D66" i="5" s="1"/>
  <c r="H9" i="12"/>
  <c r="J9" i="12"/>
  <c r="D10" i="12"/>
  <c r="K24" i="12"/>
  <c r="E51" i="5" s="1"/>
  <c r="L24" i="12"/>
  <c r="E66" i="5" s="1"/>
  <c r="H25" i="12"/>
  <c r="J25" i="12"/>
  <c r="D26" i="12"/>
  <c r="L40" i="12"/>
  <c r="F66" i="5" s="1"/>
  <c r="K40" i="12"/>
  <c r="F51" i="5" s="1"/>
  <c r="H41" i="12"/>
  <c r="J41" i="12"/>
  <c r="D42" i="12"/>
  <c r="K72" i="12"/>
  <c r="L72" i="12"/>
  <c r="J20" i="5"/>
  <c r="K20" i="5" s="1"/>
  <c r="H73" i="12"/>
  <c r="J73" i="12"/>
  <c r="D74" i="12"/>
  <c r="D21" i="5"/>
  <c r="K88" i="12"/>
  <c r="I51" i="5" s="1"/>
  <c r="L88" i="12"/>
  <c r="I66" i="5" s="1"/>
  <c r="H89" i="12"/>
  <c r="J89" i="12"/>
  <c r="D90" i="12"/>
  <c r="K120" i="12"/>
  <c r="K51" i="5" s="1"/>
  <c r="L120" i="12"/>
  <c r="K66" i="5" s="1"/>
  <c r="H121" i="12"/>
  <c r="J121" i="12"/>
  <c r="D122" i="12"/>
  <c r="K56" i="12"/>
  <c r="G51" i="5" s="1"/>
  <c r="L56" i="12"/>
  <c r="G66" i="5" s="1"/>
  <c r="H57" i="12"/>
  <c r="J57" i="12"/>
  <c r="D58" i="12"/>
  <c r="L104" i="12"/>
  <c r="J66" i="5" s="1"/>
  <c r="K104" i="12"/>
  <c r="J51" i="5" s="1"/>
  <c r="H105" i="12"/>
  <c r="J105" i="12"/>
  <c r="D106" i="12"/>
  <c r="G75" i="12"/>
  <c r="G22" i="5"/>
  <c r="K38" i="4"/>
  <c r="T38" i="4"/>
  <c r="P38" i="4"/>
  <c r="E38" i="4"/>
  <c r="E160" i="12"/>
  <c r="E159" i="12"/>
  <c r="H159" i="12"/>
  <c r="M160" i="12"/>
  <c r="V160" i="12"/>
  <c r="U159" i="12"/>
  <c r="F159" i="12"/>
  <c r="N159" i="12"/>
  <c r="S160" i="12"/>
  <c r="Y160" i="12"/>
  <c r="E140" i="12"/>
  <c r="I159" i="12"/>
  <c r="R160" i="12"/>
  <c r="W160" i="12"/>
  <c r="Q160" i="12"/>
  <c r="E141" i="12"/>
  <c r="F141" i="12"/>
  <c r="F142" i="12"/>
  <c r="E142" i="12"/>
  <c r="G142" i="12"/>
  <c r="G143" i="12"/>
  <c r="E143" i="12"/>
  <c r="H143" i="12"/>
  <c r="F143" i="12"/>
  <c r="F144" i="12"/>
  <c r="G144" i="12"/>
  <c r="I144" i="12"/>
  <c r="E144" i="12"/>
  <c r="H144" i="12"/>
  <c r="I145" i="12"/>
  <c r="G145" i="12"/>
  <c r="E145" i="12"/>
  <c r="F145" i="12"/>
  <c r="H145" i="12"/>
  <c r="J145" i="12"/>
  <c r="E146" i="12"/>
  <c r="F146" i="12"/>
  <c r="G146" i="12"/>
  <c r="H146" i="12"/>
  <c r="I146" i="12"/>
  <c r="J146" i="12"/>
  <c r="X159" i="12"/>
  <c r="N160" i="12"/>
  <c r="G160" i="12"/>
  <c r="O160" i="12"/>
  <c r="K146" i="12"/>
  <c r="I147" i="12"/>
  <c r="G147" i="12"/>
  <c r="E147" i="12"/>
  <c r="F147" i="12"/>
  <c r="J147" i="12"/>
  <c r="K147" i="12"/>
  <c r="L147" i="12"/>
  <c r="H147" i="12"/>
  <c r="I148" i="12"/>
  <c r="J148" i="12"/>
  <c r="K148" i="12"/>
  <c r="E148" i="12"/>
  <c r="F148" i="12"/>
  <c r="G148" i="12"/>
  <c r="H148" i="12"/>
  <c r="L148" i="12"/>
  <c r="M148" i="12"/>
  <c r="E149" i="12"/>
  <c r="F149" i="12"/>
  <c r="G149" i="12"/>
  <c r="H149" i="12"/>
  <c r="I149" i="12"/>
  <c r="J149" i="12"/>
  <c r="K149" i="12"/>
  <c r="L159" i="12"/>
  <c r="H160" i="12"/>
  <c r="U160" i="12"/>
  <c r="X160" i="12"/>
  <c r="L149" i="12"/>
  <c r="N149" i="12"/>
  <c r="F150" i="12"/>
  <c r="H150" i="12"/>
  <c r="J150" i="12"/>
  <c r="L150" i="12"/>
  <c r="N150" i="12"/>
  <c r="P151" i="12"/>
  <c r="E151" i="12"/>
  <c r="F151" i="12"/>
  <c r="G151" i="12"/>
  <c r="H151" i="12"/>
  <c r="I151" i="12"/>
  <c r="J151" i="12"/>
  <c r="K151" i="12"/>
  <c r="L151" i="12"/>
  <c r="M151" i="12"/>
  <c r="N151" i="12"/>
  <c r="O151" i="12"/>
  <c r="M152" i="12"/>
  <c r="Q152" i="12"/>
  <c r="T159" i="12"/>
  <c r="V159" i="12"/>
  <c r="G159" i="12"/>
  <c r="J159" i="12"/>
  <c r="K160" i="12"/>
  <c r="F160" i="12"/>
  <c r="M149" i="12"/>
  <c r="O150" i="12"/>
  <c r="E150" i="12"/>
  <c r="G150" i="12"/>
  <c r="I150" i="12"/>
  <c r="K150" i="12"/>
  <c r="M150" i="12"/>
  <c r="P152" i="12"/>
  <c r="O152" i="12"/>
  <c r="E152" i="12"/>
  <c r="F152" i="12"/>
  <c r="G152" i="12"/>
  <c r="H152" i="12"/>
  <c r="I152" i="12"/>
  <c r="J152" i="12"/>
  <c r="K152" i="12"/>
  <c r="L152" i="12"/>
  <c r="N152" i="12"/>
  <c r="M153" i="12"/>
  <c r="N153" i="12"/>
  <c r="P153" i="12"/>
  <c r="R153" i="12"/>
  <c r="Q153" i="12"/>
  <c r="E153" i="12"/>
  <c r="F153" i="12"/>
  <c r="G153" i="12"/>
  <c r="H153" i="12"/>
  <c r="I153" i="12"/>
  <c r="J153" i="12"/>
  <c r="K153" i="12"/>
  <c r="L153" i="12"/>
  <c r="O153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Q154" i="12"/>
  <c r="R154" i="12"/>
  <c r="S154" i="12"/>
  <c r="N155" i="12"/>
  <c r="E155" i="12"/>
  <c r="F155" i="12"/>
  <c r="G155" i="12"/>
  <c r="H155" i="12"/>
  <c r="I155" i="12"/>
  <c r="J155" i="12"/>
  <c r="K155" i="12"/>
  <c r="L155" i="12"/>
  <c r="M155" i="12"/>
  <c r="L160" i="12"/>
  <c r="I160" i="12"/>
  <c r="P160" i="12"/>
  <c r="T155" i="12"/>
  <c r="S155" i="12"/>
  <c r="R155" i="12"/>
  <c r="Q155" i="12"/>
  <c r="O155" i="12"/>
  <c r="P155" i="12"/>
  <c r="G156" i="12"/>
  <c r="F156" i="12"/>
  <c r="E156" i="12"/>
  <c r="H156" i="12"/>
  <c r="V157" i="12"/>
  <c r="U157" i="12"/>
  <c r="T157" i="12"/>
  <c r="S157" i="12"/>
  <c r="R157" i="12"/>
  <c r="Q157" i="12"/>
  <c r="P157" i="12"/>
  <c r="O157" i="12"/>
  <c r="N157" i="12"/>
  <c r="E157" i="12"/>
  <c r="F157" i="12"/>
  <c r="G157" i="12"/>
  <c r="H157" i="12"/>
  <c r="I157" i="12"/>
  <c r="J157" i="12"/>
  <c r="K157" i="12"/>
  <c r="L157" i="12"/>
  <c r="M157" i="12"/>
  <c r="O158" i="12"/>
  <c r="P158" i="12"/>
  <c r="Q158" i="12"/>
  <c r="R158" i="12"/>
  <c r="S158" i="12"/>
  <c r="T158" i="12"/>
  <c r="U158" i="12"/>
  <c r="V158" i="12"/>
  <c r="W158" i="12"/>
  <c r="N158" i="12"/>
  <c r="E158" i="12"/>
  <c r="F158" i="12"/>
  <c r="G158" i="12"/>
  <c r="H158" i="12"/>
  <c r="I158" i="12"/>
  <c r="J158" i="12"/>
  <c r="K158" i="12"/>
  <c r="L158" i="12"/>
  <c r="M158" i="12"/>
  <c r="M159" i="12"/>
  <c r="O159" i="12"/>
  <c r="P159" i="12"/>
  <c r="Q159" i="12"/>
  <c r="R159" i="12"/>
  <c r="S159" i="12"/>
  <c r="W159" i="12"/>
  <c r="K159" i="12"/>
  <c r="J160" i="12"/>
  <c r="T160" i="12"/>
  <c r="F11" i="8"/>
  <c r="F10" i="8"/>
  <c r="F9" i="8"/>
  <c r="D80" i="5"/>
  <c r="D81" i="5" s="1"/>
  <c r="G201" i="12"/>
  <c r="F201" i="12"/>
  <c r="E201" i="12"/>
  <c r="D201" i="12"/>
  <c r="G200" i="12"/>
  <c r="F200" i="12"/>
  <c r="E200" i="12"/>
  <c r="D200" i="12"/>
  <c r="G199" i="12"/>
  <c r="F199" i="12"/>
  <c r="E199" i="12"/>
  <c r="D199" i="12"/>
  <c r="G198" i="12"/>
  <c r="F198" i="12"/>
  <c r="E198" i="12"/>
  <c r="D198" i="12"/>
  <c r="G197" i="12"/>
  <c r="F197" i="12"/>
  <c r="E197" i="12"/>
  <c r="D197" i="12"/>
  <c r="G196" i="12"/>
  <c r="F196" i="12"/>
  <c r="E196" i="12"/>
  <c r="D196" i="12"/>
  <c r="G195" i="12"/>
  <c r="F195" i="12"/>
  <c r="E195" i="12"/>
  <c r="D195" i="12"/>
  <c r="G194" i="12"/>
  <c r="F194" i="12"/>
  <c r="E194" i="12"/>
  <c r="D194" i="12"/>
  <c r="G193" i="12"/>
  <c r="F193" i="12"/>
  <c r="E193" i="12"/>
  <c r="D193" i="12"/>
  <c r="G192" i="12"/>
  <c r="F192" i="12"/>
  <c r="E192" i="12"/>
  <c r="D192" i="12"/>
  <c r="G191" i="12"/>
  <c r="F191" i="12"/>
  <c r="E191" i="12"/>
  <c r="D191" i="12"/>
  <c r="G190" i="12"/>
  <c r="F190" i="12"/>
  <c r="E190" i="12"/>
  <c r="D190" i="12"/>
  <c r="G189" i="12"/>
  <c r="F189" i="12"/>
  <c r="E189" i="12"/>
  <c r="D189" i="12"/>
  <c r="G188" i="12"/>
  <c r="F188" i="12"/>
  <c r="E188" i="12"/>
  <c r="D188" i="12"/>
  <c r="G187" i="12"/>
  <c r="F187" i="12"/>
  <c r="E187" i="12"/>
  <c r="D187" i="12"/>
  <c r="G186" i="12"/>
  <c r="F186" i="12"/>
  <c r="E186" i="12"/>
  <c r="D186" i="12"/>
  <c r="G185" i="12"/>
  <c r="F185" i="12"/>
  <c r="E185" i="12"/>
  <c r="D185" i="12"/>
  <c r="G184" i="12"/>
  <c r="F184" i="12"/>
  <c r="E184" i="12"/>
  <c r="D184" i="12"/>
  <c r="G183" i="12"/>
  <c r="F183" i="12"/>
  <c r="E183" i="12"/>
  <c r="D183" i="12"/>
  <c r="G182" i="12"/>
  <c r="F182" i="12"/>
  <c r="E182" i="12"/>
  <c r="D182" i="12"/>
  <c r="U156" i="12"/>
  <c r="T156" i="12"/>
  <c r="S156" i="12"/>
  <c r="R156" i="12"/>
  <c r="Q156" i="12"/>
  <c r="P156" i="12"/>
  <c r="O156" i="12"/>
  <c r="N156" i="12"/>
  <c r="M156" i="12"/>
  <c r="L156" i="12"/>
  <c r="K156" i="12"/>
  <c r="J156" i="12"/>
  <c r="I156" i="12"/>
  <c r="E97" i="12"/>
  <c r="F97" i="12" s="1"/>
  <c r="E49" i="12"/>
  <c r="F49" i="12" s="1"/>
  <c r="E48" i="12"/>
  <c r="F48" i="12" s="1"/>
  <c r="E98" i="12"/>
  <c r="F98" i="12" s="1"/>
  <c r="E96" i="12"/>
  <c r="F96" i="12" s="1"/>
  <c r="E50" i="12"/>
  <c r="F50" i="12" s="1"/>
  <c r="E130" i="12"/>
  <c r="F130" i="12" s="1"/>
  <c r="E129" i="12"/>
  <c r="F129" i="12" s="1"/>
  <c r="E128" i="12"/>
  <c r="F128" i="12" s="1"/>
  <c r="E114" i="12"/>
  <c r="F114" i="12" s="1"/>
  <c r="E113" i="12"/>
  <c r="F113" i="12" s="1"/>
  <c r="E112" i="12"/>
  <c r="F112" i="12" s="1"/>
  <c r="F12" i="8"/>
  <c r="E82" i="12"/>
  <c r="E81" i="12"/>
  <c r="E80" i="12"/>
  <c r="E66" i="12"/>
  <c r="F66" i="12" s="1"/>
  <c r="E65" i="12"/>
  <c r="F65" i="12" s="1"/>
  <c r="E64" i="12"/>
  <c r="F64" i="12" s="1"/>
  <c r="E34" i="12"/>
  <c r="F34" i="12" s="1"/>
  <c r="E33" i="12"/>
  <c r="F33" i="12" s="1"/>
  <c r="E32" i="12"/>
  <c r="F32" i="12" s="1"/>
  <c r="E18" i="12"/>
  <c r="F18" i="12" s="1"/>
  <c r="E17" i="12"/>
  <c r="F17" i="12" s="1"/>
  <c r="E16" i="12"/>
  <c r="F16" i="12" s="1"/>
  <c r="E12" i="8"/>
  <c r="E8" i="8"/>
  <c r="H32" i="4"/>
  <c r="F43" i="4"/>
  <c r="P43" i="4" s="1"/>
  <c r="G43" i="4"/>
  <c r="Q43" i="4" s="1"/>
  <c r="H43" i="4"/>
  <c r="R43" i="4" s="1"/>
  <c r="I43" i="4"/>
  <c r="S43" i="4" s="1"/>
  <c r="J43" i="4"/>
  <c r="T43" i="4" s="1"/>
  <c r="N43" i="4"/>
  <c r="D44" i="4"/>
  <c r="F41" i="4"/>
  <c r="P41" i="4" s="1"/>
  <c r="G41" i="4"/>
  <c r="Q41" i="4" s="1"/>
  <c r="H41" i="4"/>
  <c r="R41" i="4" s="1"/>
  <c r="I41" i="4"/>
  <c r="S41" i="4" s="1"/>
  <c r="J41" i="4"/>
  <c r="T41" i="4" s="1"/>
  <c r="N41" i="4"/>
  <c r="D40" i="4"/>
  <c r="Y167" i="12"/>
  <c r="Y173" i="12" s="1"/>
  <c r="E168" i="12"/>
  <c r="F168" i="12"/>
  <c r="F174" i="12" s="1"/>
  <c r="G168" i="12"/>
  <c r="G174" i="12" s="1"/>
  <c r="H168" i="12"/>
  <c r="H174" i="12" s="1"/>
  <c r="W169" i="12"/>
  <c r="W175" i="12" s="1"/>
  <c r="X169" i="12"/>
  <c r="X175" i="12" s="1"/>
  <c r="Y169" i="12"/>
  <c r="Y175" i="12" s="1"/>
  <c r="F20" i="5"/>
  <c r="H72" i="12"/>
  <c r="H20" i="5" s="1"/>
  <c r="H21" i="5" l="1"/>
  <c r="E95" i="5"/>
  <c r="D248" i="5" s="1"/>
  <c r="F95" i="5"/>
  <c r="G95" i="5"/>
  <c r="H95" i="5"/>
  <c r="E173" i="12"/>
  <c r="D209" i="5"/>
  <c r="L264" i="5" s="1"/>
  <c r="E193" i="5"/>
  <c r="J248" i="5" s="1"/>
  <c r="F193" i="5"/>
  <c r="G193" i="5"/>
  <c r="H193" i="5"/>
  <c r="E175" i="12"/>
  <c r="H217" i="5"/>
  <c r="D218" i="5"/>
  <c r="D233" i="5"/>
  <c r="E217" i="5"/>
  <c r="G217" i="5"/>
  <c r="F217" i="5"/>
  <c r="K9" i="12"/>
  <c r="D52" i="5" s="1"/>
  <c r="L9" i="12"/>
  <c r="D67" i="5" s="1"/>
  <c r="H10" i="12"/>
  <c r="J10" i="12"/>
  <c r="D11" i="12"/>
  <c r="K25" i="12"/>
  <c r="E52" i="5" s="1"/>
  <c r="L25" i="12"/>
  <c r="E67" i="5" s="1"/>
  <c r="H26" i="12"/>
  <c r="J26" i="12"/>
  <c r="D27" i="12"/>
  <c r="L41" i="12"/>
  <c r="F67" i="5" s="1"/>
  <c r="K41" i="12"/>
  <c r="F52" i="5" s="1"/>
  <c r="H42" i="12"/>
  <c r="D43" i="12"/>
  <c r="J42" i="12"/>
  <c r="H51" i="5"/>
  <c r="L20" i="5"/>
  <c r="H66" i="5"/>
  <c r="M20" i="5"/>
  <c r="K73" i="12"/>
  <c r="L73" i="12"/>
  <c r="J21" i="5"/>
  <c r="K21" i="5" s="1"/>
  <c r="H74" i="12"/>
  <c r="H22" i="5" s="1"/>
  <c r="J74" i="12"/>
  <c r="D75" i="12"/>
  <c r="D22" i="5"/>
  <c r="K89" i="12"/>
  <c r="L89" i="12"/>
  <c r="I67" i="5" s="1"/>
  <c r="H90" i="12"/>
  <c r="D91" i="12"/>
  <c r="J90" i="12"/>
  <c r="K121" i="12"/>
  <c r="L121" i="12"/>
  <c r="K67" i="5" s="1"/>
  <c r="H122" i="12"/>
  <c r="J122" i="12"/>
  <c r="D123" i="12"/>
  <c r="K57" i="12"/>
  <c r="G52" i="5" s="1"/>
  <c r="L57" i="12"/>
  <c r="G67" i="5" s="1"/>
  <c r="H58" i="12"/>
  <c r="J58" i="12"/>
  <c r="D59" i="12"/>
  <c r="L105" i="12"/>
  <c r="J67" i="5" s="1"/>
  <c r="K105" i="12"/>
  <c r="J52" i="5" s="1"/>
  <c r="D107" i="12"/>
  <c r="H106" i="12"/>
  <c r="J106" i="12"/>
  <c r="G76" i="12"/>
  <c r="G23" i="5"/>
  <c r="K42" i="4"/>
  <c r="U42" i="4" s="1"/>
  <c r="U38" i="4"/>
  <c r="E42" i="4"/>
  <c r="O42" i="4" s="1"/>
  <c r="O38" i="4"/>
  <c r="D213" i="5"/>
  <c r="D164" i="5"/>
  <c r="D115" i="5"/>
  <c r="D212" i="5"/>
  <c r="L267" i="5" s="1"/>
  <c r="D163" i="5"/>
  <c r="I267" i="5" s="1"/>
  <c r="D114" i="5"/>
  <c r="F267" i="5" s="1"/>
  <c r="D193" i="5"/>
  <c r="L248" i="5" s="1"/>
  <c r="D144" i="5"/>
  <c r="I248" i="5" s="1"/>
  <c r="D95" i="5"/>
  <c r="F248" i="5" s="1"/>
  <c r="D194" i="5"/>
  <c r="L249" i="5" s="1"/>
  <c r="D145" i="5"/>
  <c r="I249" i="5" s="1"/>
  <c r="D96" i="5"/>
  <c r="F249" i="5" s="1"/>
  <c r="D195" i="5"/>
  <c r="L250" i="5" s="1"/>
  <c r="D146" i="5"/>
  <c r="I250" i="5" s="1"/>
  <c r="D97" i="5"/>
  <c r="F250" i="5" s="1"/>
  <c r="D196" i="5"/>
  <c r="L251" i="5" s="1"/>
  <c r="D147" i="5"/>
  <c r="I251" i="5" s="1"/>
  <c r="D98" i="5"/>
  <c r="F251" i="5" s="1"/>
  <c r="D197" i="5"/>
  <c r="L252" i="5" s="1"/>
  <c r="D148" i="5"/>
  <c r="I252" i="5" s="1"/>
  <c r="D99" i="5"/>
  <c r="F252" i="5" s="1"/>
  <c r="D198" i="5"/>
  <c r="L253" i="5" s="1"/>
  <c r="D149" i="5"/>
  <c r="I253" i="5" s="1"/>
  <c r="D100" i="5"/>
  <c r="F253" i="5" s="1"/>
  <c r="D199" i="5"/>
  <c r="L254" i="5" s="1"/>
  <c r="D150" i="5"/>
  <c r="I254" i="5" s="1"/>
  <c r="D101" i="5"/>
  <c r="F254" i="5" s="1"/>
  <c r="D200" i="5"/>
  <c r="L255" i="5" s="1"/>
  <c r="D151" i="5"/>
  <c r="I255" i="5" s="1"/>
  <c r="D102" i="5"/>
  <c r="F255" i="5" s="1"/>
  <c r="D201" i="5"/>
  <c r="L256" i="5" s="1"/>
  <c r="D152" i="5"/>
  <c r="I256" i="5" s="1"/>
  <c r="D103" i="5"/>
  <c r="F256" i="5" s="1"/>
  <c r="D202" i="5"/>
  <c r="L257" i="5" s="1"/>
  <c r="D153" i="5"/>
  <c r="I257" i="5" s="1"/>
  <c r="D104" i="5"/>
  <c r="F257" i="5" s="1"/>
  <c r="D204" i="5"/>
  <c r="L259" i="5" s="1"/>
  <c r="D155" i="5"/>
  <c r="I259" i="5" s="1"/>
  <c r="D106" i="5"/>
  <c r="F259" i="5" s="1"/>
  <c r="D203" i="5"/>
  <c r="L258" i="5" s="1"/>
  <c r="D154" i="5"/>
  <c r="I258" i="5" s="1"/>
  <c r="D105" i="5"/>
  <c r="F258" i="5" s="1"/>
  <c r="D205" i="5"/>
  <c r="L260" i="5" s="1"/>
  <c r="D156" i="5"/>
  <c r="I260" i="5" s="1"/>
  <c r="D107" i="5"/>
  <c r="F260" i="5" s="1"/>
  <c r="D206" i="5"/>
  <c r="L261" i="5" s="1"/>
  <c r="D157" i="5"/>
  <c r="I261" i="5" s="1"/>
  <c r="D108" i="5"/>
  <c r="F261" i="5" s="1"/>
  <c r="D207" i="5"/>
  <c r="L262" i="5" s="1"/>
  <c r="D158" i="5"/>
  <c r="I262" i="5" s="1"/>
  <c r="D109" i="5"/>
  <c r="F262" i="5" s="1"/>
  <c r="D208" i="5"/>
  <c r="L263" i="5" s="1"/>
  <c r="D159" i="5"/>
  <c r="I263" i="5" s="1"/>
  <c r="D110" i="5"/>
  <c r="F263" i="5" s="1"/>
  <c r="D160" i="5"/>
  <c r="I264" i="5" s="1"/>
  <c r="D111" i="5"/>
  <c r="F264" i="5" s="1"/>
  <c r="D210" i="5"/>
  <c r="L265" i="5" s="1"/>
  <c r="D161" i="5"/>
  <c r="I265" i="5" s="1"/>
  <c r="D112" i="5"/>
  <c r="F265" i="5" s="1"/>
  <c r="D211" i="5"/>
  <c r="L266" i="5" s="1"/>
  <c r="D162" i="5"/>
  <c r="I266" i="5" s="1"/>
  <c r="D113" i="5"/>
  <c r="F266" i="5" s="1"/>
  <c r="D21" i="8"/>
  <c r="F87" i="5"/>
  <c r="F88" i="5"/>
  <c r="F86" i="5"/>
  <c r="F85" i="5"/>
  <c r="H115" i="5"/>
  <c r="H139" i="5"/>
  <c r="H164" i="5"/>
  <c r="H188" i="5"/>
  <c r="H237" i="5"/>
  <c r="H213" i="5"/>
  <c r="G115" i="5"/>
  <c r="G139" i="5"/>
  <c r="G164" i="5"/>
  <c r="G188" i="5"/>
  <c r="G237" i="5"/>
  <c r="G213" i="5"/>
  <c r="F115" i="5"/>
  <c r="F164" i="5"/>
  <c r="F213" i="5"/>
  <c r="E115" i="5"/>
  <c r="D268" i="5" s="1"/>
  <c r="E164" i="5"/>
  <c r="G268" i="5" s="1"/>
  <c r="E213" i="5"/>
  <c r="J268" i="5" s="1"/>
  <c r="H114" i="5"/>
  <c r="H138" i="5"/>
  <c r="H163" i="5"/>
  <c r="H187" i="5"/>
  <c r="H236" i="5"/>
  <c r="H212" i="5"/>
  <c r="G114" i="5"/>
  <c r="G138" i="5"/>
  <c r="G163" i="5"/>
  <c r="G187" i="5"/>
  <c r="G236" i="5"/>
  <c r="G212" i="5"/>
  <c r="F114" i="5"/>
  <c r="F163" i="5"/>
  <c r="F212" i="5"/>
  <c r="E114" i="5"/>
  <c r="D267" i="5" s="1"/>
  <c r="E163" i="5"/>
  <c r="G267" i="5" s="1"/>
  <c r="E212" i="5"/>
  <c r="J267" i="5" s="1"/>
  <c r="H113" i="5"/>
  <c r="H137" i="5"/>
  <c r="H162" i="5"/>
  <c r="H186" i="5"/>
  <c r="H235" i="5"/>
  <c r="H211" i="5"/>
  <c r="G113" i="5"/>
  <c r="G137" i="5"/>
  <c r="G162" i="5"/>
  <c r="G186" i="5"/>
  <c r="G235" i="5"/>
  <c r="G211" i="5"/>
  <c r="F113" i="5"/>
  <c r="F162" i="5"/>
  <c r="F211" i="5"/>
  <c r="E113" i="5"/>
  <c r="D266" i="5" s="1"/>
  <c r="E162" i="5"/>
  <c r="G266" i="5" s="1"/>
  <c r="E211" i="5"/>
  <c r="J266" i="5" s="1"/>
  <c r="H112" i="5"/>
  <c r="H136" i="5"/>
  <c r="H161" i="5"/>
  <c r="H185" i="5"/>
  <c r="H234" i="5"/>
  <c r="H210" i="5"/>
  <c r="G112" i="5"/>
  <c r="G136" i="5"/>
  <c r="G161" i="5"/>
  <c r="G185" i="5"/>
  <c r="G234" i="5"/>
  <c r="G210" i="5"/>
  <c r="F112" i="5"/>
  <c r="F161" i="5"/>
  <c r="F210" i="5"/>
  <c r="E112" i="5"/>
  <c r="D265" i="5" s="1"/>
  <c r="E161" i="5"/>
  <c r="G265" i="5" s="1"/>
  <c r="E210" i="5"/>
  <c r="J265" i="5" s="1"/>
  <c r="H111" i="5"/>
  <c r="H135" i="5"/>
  <c r="H160" i="5"/>
  <c r="H184" i="5"/>
  <c r="H233" i="5"/>
  <c r="H209" i="5"/>
  <c r="G111" i="5"/>
  <c r="G135" i="5"/>
  <c r="G160" i="5"/>
  <c r="G184" i="5"/>
  <c r="G233" i="5"/>
  <c r="G209" i="5"/>
  <c r="F111" i="5"/>
  <c r="F160" i="5"/>
  <c r="F209" i="5"/>
  <c r="E111" i="5"/>
  <c r="D264" i="5" s="1"/>
  <c r="E160" i="5"/>
  <c r="G264" i="5" s="1"/>
  <c r="E209" i="5"/>
  <c r="J264" i="5" s="1"/>
  <c r="H110" i="5"/>
  <c r="H134" i="5"/>
  <c r="H159" i="5"/>
  <c r="H183" i="5"/>
  <c r="H232" i="5"/>
  <c r="H208" i="5"/>
  <c r="G110" i="5"/>
  <c r="G134" i="5"/>
  <c r="G159" i="5"/>
  <c r="G183" i="5"/>
  <c r="G232" i="5"/>
  <c r="G208" i="5"/>
  <c r="F110" i="5"/>
  <c r="F159" i="5"/>
  <c r="F208" i="5"/>
  <c r="E110" i="5"/>
  <c r="D263" i="5" s="1"/>
  <c r="E159" i="5"/>
  <c r="G263" i="5" s="1"/>
  <c r="E208" i="5"/>
  <c r="J263" i="5" s="1"/>
  <c r="H109" i="5"/>
  <c r="H133" i="5"/>
  <c r="H158" i="5"/>
  <c r="H182" i="5"/>
  <c r="H231" i="5"/>
  <c r="H207" i="5"/>
  <c r="G109" i="5"/>
  <c r="G133" i="5"/>
  <c r="G158" i="5"/>
  <c r="G182" i="5"/>
  <c r="G231" i="5"/>
  <c r="G207" i="5"/>
  <c r="F109" i="5"/>
  <c r="F158" i="5"/>
  <c r="F207" i="5"/>
  <c r="E109" i="5"/>
  <c r="D262" i="5" s="1"/>
  <c r="E158" i="5"/>
  <c r="G262" i="5" s="1"/>
  <c r="E207" i="5"/>
  <c r="J262" i="5" s="1"/>
  <c r="H132" i="5"/>
  <c r="H108" i="5"/>
  <c r="H157" i="5"/>
  <c r="H181" i="5"/>
  <c r="H206" i="5"/>
  <c r="H230" i="5"/>
  <c r="G132" i="5"/>
  <c r="G108" i="5"/>
  <c r="G157" i="5"/>
  <c r="G181" i="5"/>
  <c r="G206" i="5"/>
  <c r="G230" i="5"/>
  <c r="F108" i="5"/>
  <c r="F157" i="5"/>
  <c r="F206" i="5"/>
  <c r="E108" i="5"/>
  <c r="D261" i="5" s="1"/>
  <c r="E157" i="5"/>
  <c r="G261" i="5" s="1"/>
  <c r="E206" i="5"/>
  <c r="J261" i="5" s="1"/>
  <c r="H107" i="5"/>
  <c r="H131" i="5"/>
  <c r="H156" i="5"/>
  <c r="H180" i="5"/>
  <c r="H205" i="5"/>
  <c r="H229" i="5"/>
  <c r="G131" i="5"/>
  <c r="G107" i="5"/>
  <c r="G156" i="5"/>
  <c r="G180" i="5"/>
  <c r="G205" i="5"/>
  <c r="G229" i="5"/>
  <c r="F107" i="5"/>
  <c r="F156" i="5"/>
  <c r="F205" i="5"/>
  <c r="E107" i="5"/>
  <c r="D260" i="5" s="1"/>
  <c r="E156" i="5"/>
  <c r="G260" i="5" s="1"/>
  <c r="E205" i="5"/>
  <c r="J260" i="5" s="1"/>
  <c r="H106" i="5"/>
  <c r="H130" i="5"/>
  <c r="H155" i="5"/>
  <c r="H179" i="5"/>
  <c r="H204" i="5"/>
  <c r="H228" i="5"/>
  <c r="G130" i="5"/>
  <c r="G106" i="5"/>
  <c r="G155" i="5"/>
  <c r="G179" i="5"/>
  <c r="G204" i="5"/>
  <c r="G228" i="5"/>
  <c r="F106" i="5"/>
  <c r="F155" i="5"/>
  <c r="F204" i="5"/>
  <c r="E106" i="5"/>
  <c r="D259" i="5" s="1"/>
  <c r="E155" i="5"/>
  <c r="G259" i="5" s="1"/>
  <c r="E204" i="5"/>
  <c r="J259" i="5" s="1"/>
  <c r="H105" i="5"/>
  <c r="H129" i="5"/>
  <c r="H154" i="5"/>
  <c r="H178" i="5"/>
  <c r="H203" i="5"/>
  <c r="H227" i="5"/>
  <c r="G129" i="5"/>
  <c r="G105" i="5"/>
  <c r="G154" i="5"/>
  <c r="G178" i="5"/>
  <c r="G203" i="5"/>
  <c r="G227" i="5"/>
  <c r="F105" i="5"/>
  <c r="F154" i="5"/>
  <c r="F203" i="5"/>
  <c r="E105" i="5"/>
  <c r="D258" i="5" s="1"/>
  <c r="E154" i="5"/>
  <c r="G258" i="5" s="1"/>
  <c r="E203" i="5"/>
  <c r="J258" i="5" s="1"/>
  <c r="H128" i="5"/>
  <c r="H104" i="5"/>
  <c r="H153" i="5"/>
  <c r="H177" i="5"/>
  <c r="H202" i="5"/>
  <c r="H226" i="5"/>
  <c r="G104" i="5"/>
  <c r="G153" i="5"/>
  <c r="G202" i="5"/>
  <c r="F104" i="5"/>
  <c r="F153" i="5"/>
  <c r="F202" i="5"/>
  <c r="E104" i="5"/>
  <c r="D257" i="5" s="1"/>
  <c r="E153" i="5"/>
  <c r="G257" i="5" s="1"/>
  <c r="E202" i="5"/>
  <c r="J257" i="5" s="1"/>
  <c r="H127" i="5"/>
  <c r="H103" i="5"/>
  <c r="H152" i="5"/>
  <c r="H176" i="5"/>
  <c r="H201" i="5"/>
  <c r="H225" i="5"/>
  <c r="G103" i="5"/>
  <c r="G152" i="5"/>
  <c r="G201" i="5"/>
  <c r="F103" i="5"/>
  <c r="F152" i="5"/>
  <c r="F201" i="5"/>
  <c r="E103" i="5"/>
  <c r="D256" i="5" s="1"/>
  <c r="E152" i="5"/>
  <c r="G256" i="5" s="1"/>
  <c r="E201" i="5"/>
  <c r="J256" i="5" s="1"/>
  <c r="H102" i="5"/>
  <c r="H126" i="5"/>
  <c r="H151" i="5"/>
  <c r="H175" i="5"/>
  <c r="H200" i="5"/>
  <c r="H224" i="5"/>
  <c r="G102" i="5"/>
  <c r="G151" i="5"/>
  <c r="G200" i="5"/>
  <c r="F102" i="5"/>
  <c r="F151" i="5"/>
  <c r="F200" i="5"/>
  <c r="E102" i="5"/>
  <c r="D255" i="5" s="1"/>
  <c r="E151" i="5"/>
  <c r="G255" i="5" s="1"/>
  <c r="E200" i="5"/>
  <c r="J255" i="5" s="1"/>
  <c r="H125" i="5"/>
  <c r="H101" i="5"/>
  <c r="H150" i="5"/>
  <c r="H174" i="5"/>
  <c r="H199" i="5"/>
  <c r="H223" i="5"/>
  <c r="G101" i="5"/>
  <c r="G150" i="5"/>
  <c r="G199" i="5"/>
  <c r="F101" i="5"/>
  <c r="F150" i="5"/>
  <c r="F199" i="5"/>
  <c r="E101" i="5"/>
  <c r="D254" i="5" s="1"/>
  <c r="E150" i="5"/>
  <c r="G254" i="5" s="1"/>
  <c r="E199" i="5"/>
  <c r="J254" i="5" s="1"/>
  <c r="H100" i="5"/>
  <c r="H124" i="5"/>
  <c r="H149" i="5"/>
  <c r="H173" i="5"/>
  <c r="H198" i="5"/>
  <c r="H222" i="5"/>
  <c r="G100" i="5"/>
  <c r="G149" i="5"/>
  <c r="G198" i="5"/>
  <c r="F100" i="5"/>
  <c r="F149" i="5"/>
  <c r="F198" i="5"/>
  <c r="E100" i="5"/>
  <c r="D253" i="5" s="1"/>
  <c r="E149" i="5"/>
  <c r="G253" i="5" s="1"/>
  <c r="E198" i="5"/>
  <c r="J253" i="5" s="1"/>
  <c r="H123" i="5"/>
  <c r="H99" i="5"/>
  <c r="H148" i="5"/>
  <c r="H172" i="5"/>
  <c r="H197" i="5"/>
  <c r="H221" i="5"/>
  <c r="G99" i="5"/>
  <c r="G148" i="5"/>
  <c r="G197" i="5"/>
  <c r="F99" i="5"/>
  <c r="F148" i="5"/>
  <c r="F197" i="5"/>
  <c r="E99" i="5"/>
  <c r="D252" i="5" s="1"/>
  <c r="E148" i="5"/>
  <c r="G252" i="5" s="1"/>
  <c r="E197" i="5"/>
  <c r="J252" i="5" s="1"/>
  <c r="H98" i="5"/>
  <c r="H147" i="5"/>
  <c r="H196" i="5"/>
  <c r="G98" i="5"/>
  <c r="G147" i="5"/>
  <c r="G196" i="5"/>
  <c r="F98" i="5"/>
  <c r="F147" i="5"/>
  <c r="F196" i="5"/>
  <c r="E98" i="5"/>
  <c r="D251" i="5" s="1"/>
  <c r="E147" i="5"/>
  <c r="G251" i="5" s="1"/>
  <c r="E196" i="5"/>
  <c r="J251" i="5" s="1"/>
  <c r="H97" i="5"/>
  <c r="H146" i="5"/>
  <c r="H195" i="5"/>
  <c r="G97" i="5"/>
  <c r="G146" i="5"/>
  <c r="G195" i="5"/>
  <c r="F97" i="5"/>
  <c r="F146" i="5"/>
  <c r="F195" i="5"/>
  <c r="E97" i="5"/>
  <c r="D250" i="5" s="1"/>
  <c r="E146" i="5"/>
  <c r="G250" i="5" s="1"/>
  <c r="E195" i="5"/>
  <c r="J250" i="5" s="1"/>
  <c r="H96" i="5"/>
  <c r="H145" i="5"/>
  <c r="H194" i="5"/>
  <c r="G96" i="5"/>
  <c r="G145" i="5"/>
  <c r="G194" i="5"/>
  <c r="F96" i="5"/>
  <c r="F145" i="5"/>
  <c r="F194" i="5"/>
  <c r="E96" i="5"/>
  <c r="D249" i="5" s="1"/>
  <c r="E145" i="5"/>
  <c r="G249" i="5" s="1"/>
  <c r="E194" i="5"/>
  <c r="J249" i="5" s="1"/>
  <c r="M35" i="8"/>
  <c r="L35" i="8"/>
  <c r="M36" i="8"/>
  <c r="L36" i="8"/>
  <c r="M37" i="8"/>
  <c r="L37" i="8"/>
  <c r="M38" i="8"/>
  <c r="L38" i="8"/>
  <c r="M39" i="8"/>
  <c r="L39" i="8"/>
  <c r="M40" i="8"/>
  <c r="L40" i="8"/>
  <c r="F82" i="12"/>
  <c r="F30" i="5" s="1"/>
  <c r="E30" i="5"/>
  <c r="F81" i="12"/>
  <c r="F29" i="5" s="1"/>
  <c r="E29" i="5"/>
  <c r="F80" i="12"/>
  <c r="F28" i="5" s="1"/>
  <c r="E28" i="5"/>
  <c r="E35" i="8"/>
  <c r="D35" i="8"/>
  <c r="E36" i="8"/>
  <c r="D36" i="8"/>
  <c r="E37" i="8"/>
  <c r="D37" i="8"/>
  <c r="E38" i="8"/>
  <c r="D38" i="8"/>
  <c r="E39" i="8"/>
  <c r="D39" i="8"/>
  <c r="E40" i="8"/>
  <c r="D40" i="8"/>
  <c r="E44" i="4"/>
  <c r="O44" i="4" s="1"/>
  <c r="F44" i="4"/>
  <c r="P44" i="4" s="1"/>
  <c r="G44" i="4"/>
  <c r="Q44" i="4" s="1"/>
  <c r="H44" i="4"/>
  <c r="R44" i="4" s="1"/>
  <c r="I44" i="4"/>
  <c r="S44" i="4" s="1"/>
  <c r="J44" i="4"/>
  <c r="T44" i="4" s="1"/>
  <c r="K44" i="4"/>
  <c r="U44" i="4" s="1"/>
  <c r="N44" i="4"/>
  <c r="D45" i="4"/>
  <c r="E40" i="4"/>
  <c r="O40" i="4" s="1"/>
  <c r="F40" i="4"/>
  <c r="P40" i="4" s="1"/>
  <c r="G40" i="4"/>
  <c r="Q40" i="4" s="1"/>
  <c r="H40" i="4"/>
  <c r="R40" i="4" s="1"/>
  <c r="I40" i="4"/>
  <c r="S40" i="4" s="1"/>
  <c r="J40" i="4"/>
  <c r="T40" i="4" s="1"/>
  <c r="K40" i="4"/>
  <c r="U40" i="4" s="1"/>
  <c r="N40" i="4"/>
  <c r="D39" i="4"/>
  <c r="E174" i="12"/>
  <c r="H144" i="5"/>
  <c r="G144" i="5"/>
  <c r="F144" i="5"/>
  <c r="E144" i="5"/>
  <c r="G248" i="5" s="1"/>
  <c r="K43" i="4"/>
  <c r="U43" i="4" s="1"/>
  <c r="K41" i="4"/>
  <c r="U41" i="4" s="1"/>
  <c r="E43" i="4"/>
  <c r="O43" i="4" s="1"/>
  <c r="E41" i="4"/>
  <c r="O41" i="4" s="1"/>
  <c r="K86" i="5" l="1"/>
  <c r="G86" i="5"/>
  <c r="H86" i="5" s="1"/>
  <c r="G125" i="5"/>
  <c r="F125" i="5"/>
  <c r="E125" i="5"/>
  <c r="G124" i="5"/>
  <c r="F124" i="5"/>
  <c r="E124" i="5"/>
  <c r="E248" i="5"/>
  <c r="E119" i="5"/>
  <c r="F119" i="5"/>
  <c r="G119" i="5"/>
  <c r="H119" i="5"/>
  <c r="K85" i="5"/>
  <c r="G85" i="5"/>
  <c r="H85" i="5" s="1"/>
  <c r="K248" i="5"/>
  <c r="E262" i="5"/>
  <c r="H259" i="5"/>
  <c r="K266" i="5"/>
  <c r="E259" i="5"/>
  <c r="K259" i="5"/>
  <c r="K256" i="5"/>
  <c r="E120" i="5"/>
  <c r="D138" i="5"/>
  <c r="D119" i="5"/>
  <c r="E131" i="5"/>
  <c r="D121" i="5"/>
  <c r="D122" i="5"/>
  <c r="D123" i="5"/>
  <c r="D124" i="5"/>
  <c r="E130" i="5"/>
  <c r="G128" i="5"/>
  <c r="F126" i="5"/>
  <c r="D125" i="5"/>
  <c r="D126" i="5"/>
  <c r="D127" i="5"/>
  <c r="D128" i="5"/>
  <c r="D130" i="5"/>
  <c r="D129" i="5"/>
  <c r="D131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D132" i="5"/>
  <c r="D133" i="5"/>
  <c r="D134" i="5"/>
  <c r="D135" i="5"/>
  <c r="F123" i="5"/>
  <c r="D136" i="5"/>
  <c r="G123" i="5"/>
  <c r="E127" i="5"/>
  <c r="D137" i="5"/>
  <c r="F139" i="5"/>
  <c r="G127" i="5"/>
  <c r="E139" i="5"/>
  <c r="E128" i="5"/>
  <c r="F138" i="5"/>
  <c r="D139" i="5"/>
  <c r="E138" i="5"/>
  <c r="D120" i="5"/>
  <c r="F132" i="5"/>
  <c r="E132" i="5"/>
  <c r="F131" i="5"/>
  <c r="F130" i="5"/>
  <c r="F127" i="5"/>
  <c r="G126" i="5"/>
  <c r="E126" i="5"/>
  <c r="F137" i="5"/>
  <c r="F128" i="5"/>
  <c r="E129" i="5"/>
  <c r="E137" i="5"/>
  <c r="F129" i="5"/>
  <c r="F136" i="5"/>
  <c r="E136" i="5"/>
  <c r="F135" i="5"/>
  <c r="E135" i="5"/>
  <c r="F134" i="5"/>
  <c r="E134" i="5"/>
  <c r="F133" i="5"/>
  <c r="E133" i="5"/>
  <c r="E236" i="5"/>
  <c r="E235" i="5"/>
  <c r="F235" i="5"/>
  <c r="E237" i="5"/>
  <c r="F237" i="5"/>
  <c r="D235" i="5"/>
  <c r="D234" i="5"/>
  <c r="D226" i="5"/>
  <c r="D225" i="5"/>
  <c r="D224" i="5"/>
  <c r="D223" i="5"/>
  <c r="D222" i="5"/>
  <c r="D221" i="5"/>
  <c r="D220" i="5"/>
  <c r="D219" i="5"/>
  <c r="D217" i="5"/>
  <c r="F236" i="5"/>
  <c r="F186" i="5"/>
  <c r="D186" i="5"/>
  <c r="D176" i="5"/>
  <c r="D175" i="5"/>
  <c r="D168" i="5"/>
  <c r="H266" i="5"/>
  <c r="H256" i="5"/>
  <c r="E249" i="5"/>
  <c r="H249" i="5"/>
  <c r="K249" i="5"/>
  <c r="D237" i="5"/>
  <c r="D236" i="5"/>
  <c r="D228" i="5"/>
  <c r="D227" i="5"/>
  <c r="F218" i="5"/>
  <c r="F221" i="5"/>
  <c r="D231" i="5"/>
  <c r="D232" i="5"/>
  <c r="F234" i="5"/>
  <c r="E234" i="5"/>
  <c r="F233" i="5"/>
  <c r="E233" i="5"/>
  <c r="F232" i="5"/>
  <c r="E232" i="5"/>
  <c r="F231" i="5"/>
  <c r="E231" i="5"/>
  <c r="F230" i="5"/>
  <c r="E230" i="5"/>
  <c r="F229" i="5"/>
  <c r="E229" i="5"/>
  <c r="F228" i="5"/>
  <c r="E228" i="5"/>
  <c r="F227" i="5"/>
  <c r="E227" i="5"/>
  <c r="G226" i="5"/>
  <c r="F226" i="5"/>
  <c r="E226" i="5"/>
  <c r="G225" i="5"/>
  <c r="F225" i="5"/>
  <c r="E222" i="5"/>
  <c r="E225" i="5"/>
  <c r="G224" i="5"/>
  <c r="F224" i="5"/>
  <c r="D229" i="5"/>
  <c r="E224" i="5"/>
  <c r="G223" i="5"/>
  <c r="F223" i="5"/>
  <c r="E223" i="5"/>
  <c r="G222" i="5"/>
  <c r="F222" i="5"/>
  <c r="G221" i="5"/>
  <c r="E218" i="5"/>
  <c r="G218" i="5"/>
  <c r="H218" i="5"/>
  <c r="E219" i="5"/>
  <c r="F219" i="5"/>
  <c r="G219" i="5"/>
  <c r="D230" i="5"/>
  <c r="H219" i="5"/>
  <c r="E220" i="5"/>
  <c r="F220" i="5"/>
  <c r="G220" i="5"/>
  <c r="H220" i="5"/>
  <c r="E221" i="5"/>
  <c r="K87" i="5"/>
  <c r="G87" i="5"/>
  <c r="H87" i="5" s="1"/>
  <c r="K88" i="5"/>
  <c r="G88" i="5"/>
  <c r="H88" i="5" s="1"/>
  <c r="D183" i="5"/>
  <c r="E183" i="5"/>
  <c r="F182" i="5"/>
  <c r="E182" i="5"/>
  <c r="F181" i="5"/>
  <c r="E181" i="5"/>
  <c r="F180" i="5"/>
  <c r="G176" i="5"/>
  <c r="F176" i="5"/>
  <c r="E173" i="5"/>
  <c r="G173" i="5"/>
  <c r="F173" i="5"/>
  <c r="G172" i="5"/>
  <c r="F172" i="5"/>
  <c r="F183" i="5"/>
  <c r="E172" i="5"/>
  <c r="E184" i="5"/>
  <c r="H171" i="5"/>
  <c r="F184" i="5"/>
  <c r="G171" i="5"/>
  <c r="E185" i="5"/>
  <c r="F171" i="5"/>
  <c r="F185" i="5"/>
  <c r="E171" i="5"/>
  <c r="D185" i="5"/>
  <c r="H170" i="5"/>
  <c r="D184" i="5"/>
  <c r="G170" i="5"/>
  <c r="D182" i="5"/>
  <c r="F170" i="5"/>
  <c r="D181" i="5"/>
  <c r="E170" i="5"/>
  <c r="D180" i="5"/>
  <c r="H169" i="5"/>
  <c r="D178" i="5"/>
  <c r="D179" i="5"/>
  <c r="D177" i="5"/>
  <c r="E180" i="5"/>
  <c r="K10" i="12"/>
  <c r="D53" i="5" s="1"/>
  <c r="L10" i="12"/>
  <c r="D68" i="5" s="1"/>
  <c r="H11" i="12"/>
  <c r="J11" i="12"/>
  <c r="D12" i="12"/>
  <c r="K26" i="12"/>
  <c r="E53" i="5" s="1"/>
  <c r="L26" i="12"/>
  <c r="E68" i="5" s="1"/>
  <c r="H27" i="12"/>
  <c r="J27" i="12"/>
  <c r="D28" i="12"/>
  <c r="H43" i="12"/>
  <c r="J43" i="12"/>
  <c r="D44" i="12"/>
  <c r="L42" i="12"/>
  <c r="F68" i="5" s="1"/>
  <c r="K42" i="12"/>
  <c r="F53" i="5" s="1"/>
  <c r="H52" i="5"/>
  <c r="D241" i="5"/>
  <c r="F241" i="5"/>
  <c r="L21" i="5"/>
  <c r="M21" i="5"/>
  <c r="H67" i="5"/>
  <c r="K74" i="12"/>
  <c r="L74" i="12"/>
  <c r="J22" i="5"/>
  <c r="K22" i="5" s="1"/>
  <c r="H75" i="12"/>
  <c r="J75" i="12"/>
  <c r="D76" i="12"/>
  <c r="D23" i="5"/>
  <c r="I52" i="5"/>
  <c r="G241" i="5"/>
  <c r="I241" i="5"/>
  <c r="H91" i="12"/>
  <c r="J91" i="12"/>
  <c r="D92" i="12"/>
  <c r="L90" i="12"/>
  <c r="I68" i="5" s="1"/>
  <c r="K90" i="12"/>
  <c r="K52" i="5"/>
  <c r="J241" i="5"/>
  <c r="L241" i="5"/>
  <c r="K122" i="12"/>
  <c r="L122" i="12"/>
  <c r="K68" i="5" s="1"/>
  <c r="H123" i="12"/>
  <c r="J123" i="12"/>
  <c r="D124" i="12"/>
  <c r="K58" i="12"/>
  <c r="G53" i="5" s="1"/>
  <c r="L58" i="12"/>
  <c r="G68" i="5" s="1"/>
  <c r="H59" i="12"/>
  <c r="J59" i="12"/>
  <c r="D60" i="12"/>
  <c r="J107" i="12"/>
  <c r="H107" i="12"/>
  <c r="D108" i="12"/>
  <c r="K106" i="12"/>
  <c r="J53" i="5" s="1"/>
  <c r="L106" i="12"/>
  <c r="J68" i="5" s="1"/>
  <c r="G77" i="12"/>
  <c r="G24" i="5"/>
  <c r="L268" i="5"/>
  <c r="F277" i="5"/>
  <c r="I268" i="5"/>
  <c r="E277" i="5"/>
  <c r="F268" i="5"/>
  <c r="D277" i="5"/>
  <c r="E45" i="4"/>
  <c r="O45" i="4" s="1"/>
  <c r="F45" i="4"/>
  <c r="P45" i="4" s="1"/>
  <c r="G45" i="4"/>
  <c r="Q45" i="4" s="1"/>
  <c r="H45" i="4"/>
  <c r="R45" i="4" s="1"/>
  <c r="I45" i="4"/>
  <c r="S45" i="4" s="1"/>
  <c r="J45" i="4"/>
  <c r="T45" i="4" s="1"/>
  <c r="K45" i="4"/>
  <c r="U45" i="4" s="1"/>
  <c r="N45" i="4"/>
  <c r="E39" i="4"/>
  <c r="O39" i="4" s="1"/>
  <c r="F39" i="4"/>
  <c r="P39" i="4" s="1"/>
  <c r="G39" i="4"/>
  <c r="Q39" i="4" s="1"/>
  <c r="H39" i="4"/>
  <c r="R39" i="4" s="1"/>
  <c r="I39" i="4"/>
  <c r="S39" i="4" s="1"/>
  <c r="J39" i="4"/>
  <c r="T39" i="4" s="1"/>
  <c r="K39" i="4"/>
  <c r="U39" i="4" s="1"/>
  <c r="N39" i="4"/>
  <c r="E168" i="5"/>
  <c r="F168" i="5"/>
  <c r="G168" i="5"/>
  <c r="H168" i="5"/>
  <c r="E268" i="5"/>
  <c r="H268" i="5"/>
  <c r="K268" i="5"/>
  <c r="E267" i="5"/>
  <c r="H267" i="5"/>
  <c r="K267" i="5"/>
  <c r="E266" i="5"/>
  <c r="H264" i="5"/>
  <c r="K264" i="5"/>
  <c r="H263" i="5"/>
  <c r="K263" i="5"/>
  <c r="E260" i="5"/>
  <c r="E265" i="5"/>
  <c r="H265" i="5"/>
  <c r="K265" i="5"/>
  <c r="E264" i="5"/>
  <c r="E263" i="5"/>
  <c r="K260" i="5"/>
  <c r="H262" i="5"/>
  <c r="K262" i="5"/>
  <c r="E261" i="5"/>
  <c r="H261" i="5"/>
  <c r="K261" i="5"/>
  <c r="H260" i="5"/>
  <c r="E258" i="5"/>
  <c r="H258" i="5"/>
  <c r="K258" i="5"/>
  <c r="E257" i="5"/>
  <c r="H257" i="5"/>
  <c r="K257" i="5"/>
  <c r="E256" i="5"/>
  <c r="E251" i="5"/>
  <c r="K251" i="5"/>
  <c r="H250" i="5"/>
  <c r="K250" i="5"/>
  <c r="E255" i="5"/>
  <c r="H255" i="5"/>
  <c r="K255" i="5"/>
  <c r="E254" i="5"/>
  <c r="H254" i="5"/>
  <c r="K254" i="5"/>
  <c r="E253" i="5"/>
  <c r="H253" i="5"/>
  <c r="K253" i="5"/>
  <c r="E250" i="5"/>
  <c r="E252" i="5"/>
  <c r="H252" i="5"/>
  <c r="K252" i="5"/>
  <c r="H251" i="5"/>
  <c r="H248" i="5"/>
  <c r="D188" i="5"/>
  <c r="D187" i="5"/>
  <c r="D169" i="5"/>
  <c r="D170" i="5"/>
  <c r="D171" i="5"/>
  <c r="D172" i="5"/>
  <c r="D173" i="5"/>
  <c r="D174" i="5"/>
  <c r="F188" i="5"/>
  <c r="E188" i="5"/>
  <c r="F187" i="5"/>
  <c r="E187" i="5"/>
  <c r="E186" i="5"/>
  <c r="F179" i="5"/>
  <c r="E179" i="5"/>
  <c r="F178" i="5"/>
  <c r="E178" i="5"/>
  <c r="G177" i="5"/>
  <c r="F177" i="5"/>
  <c r="E177" i="5"/>
  <c r="E176" i="5"/>
  <c r="G175" i="5"/>
  <c r="F175" i="5"/>
  <c r="E175" i="5"/>
  <c r="G174" i="5"/>
  <c r="F174" i="5"/>
  <c r="E174" i="5"/>
  <c r="G169" i="5"/>
  <c r="F169" i="5"/>
  <c r="E169" i="5"/>
  <c r="H23" i="5" l="1"/>
  <c r="I86" i="5"/>
  <c r="D10" i="8" s="1"/>
  <c r="E10" i="8" s="1"/>
  <c r="J86" i="5"/>
  <c r="J85" i="5"/>
  <c r="I85" i="5"/>
  <c r="D9" i="8" s="1"/>
  <c r="E9" i="8" s="1"/>
  <c r="I88" i="5"/>
  <c r="D11" i="8" s="1"/>
  <c r="E11" i="8" s="1"/>
  <c r="J88" i="5"/>
  <c r="J87" i="5"/>
  <c r="I87" i="5"/>
  <c r="K11" i="12"/>
  <c r="D54" i="5" s="1"/>
  <c r="L11" i="12"/>
  <c r="D69" i="5" s="1"/>
  <c r="H12" i="12"/>
  <c r="J12" i="12"/>
  <c r="D13" i="12"/>
  <c r="K27" i="12"/>
  <c r="E54" i="5" s="1"/>
  <c r="L27" i="12"/>
  <c r="E69" i="5" s="1"/>
  <c r="H28" i="12"/>
  <c r="J28" i="12"/>
  <c r="D29" i="12"/>
  <c r="L43" i="12"/>
  <c r="F69" i="5" s="1"/>
  <c r="K43" i="12"/>
  <c r="F54" i="5" s="1"/>
  <c r="J44" i="12"/>
  <c r="D45" i="12"/>
  <c r="H44" i="12"/>
  <c r="H53" i="5"/>
  <c r="L22" i="5"/>
  <c r="D242" i="5"/>
  <c r="F242" i="5"/>
  <c r="H68" i="5"/>
  <c r="M22" i="5"/>
  <c r="K75" i="12"/>
  <c r="L75" i="12"/>
  <c r="J23" i="5"/>
  <c r="K23" i="5" s="1"/>
  <c r="H76" i="12"/>
  <c r="J76" i="12"/>
  <c r="D77" i="12"/>
  <c r="D24" i="5"/>
  <c r="L91" i="12"/>
  <c r="I69" i="5" s="1"/>
  <c r="K91" i="12"/>
  <c r="D93" i="12"/>
  <c r="H92" i="12"/>
  <c r="J92" i="12"/>
  <c r="I53" i="5"/>
  <c r="G242" i="5"/>
  <c r="I242" i="5"/>
  <c r="K53" i="5"/>
  <c r="J242" i="5"/>
  <c r="L242" i="5"/>
  <c r="K123" i="12"/>
  <c r="L123" i="12"/>
  <c r="K69" i="5" s="1"/>
  <c r="H124" i="12"/>
  <c r="J124" i="12"/>
  <c r="D125" i="12"/>
  <c r="K59" i="12"/>
  <c r="G54" i="5" s="1"/>
  <c r="L59" i="12"/>
  <c r="G69" i="5" s="1"/>
  <c r="H60" i="12"/>
  <c r="J60" i="12"/>
  <c r="D61" i="12"/>
  <c r="L107" i="12"/>
  <c r="J69" i="5" s="1"/>
  <c r="K107" i="12"/>
  <c r="J54" i="5" s="1"/>
  <c r="H108" i="12"/>
  <c r="J108" i="12"/>
  <c r="D109" i="12"/>
  <c r="G78" i="12"/>
  <c r="G25" i="5"/>
  <c r="H24" i="5" l="1"/>
  <c r="I40" i="8"/>
  <c r="I36" i="8"/>
  <c r="H40" i="8"/>
  <c r="H36" i="8"/>
  <c r="I35" i="8"/>
  <c r="I37" i="8"/>
  <c r="H37" i="8"/>
  <c r="H35" i="8"/>
  <c r="I39" i="8"/>
  <c r="H38" i="8"/>
  <c r="H39" i="8"/>
  <c r="I38" i="8"/>
  <c r="D20" i="8"/>
  <c r="G37" i="8"/>
  <c r="G36" i="8"/>
  <c r="G35" i="8"/>
  <c r="F38" i="8"/>
  <c r="F37" i="8"/>
  <c r="F36" i="8"/>
  <c r="F39" i="8"/>
  <c r="G38" i="8"/>
  <c r="G39" i="8"/>
  <c r="F35" i="8"/>
  <c r="F40" i="8"/>
  <c r="G40" i="8"/>
  <c r="J37" i="8"/>
  <c r="J35" i="8"/>
  <c r="K40" i="8"/>
  <c r="J38" i="8"/>
  <c r="J36" i="8"/>
  <c r="K38" i="8"/>
  <c r="K36" i="8"/>
  <c r="K35" i="8"/>
  <c r="J39" i="8"/>
  <c r="K39" i="8"/>
  <c r="K37" i="8"/>
  <c r="J40" i="8"/>
  <c r="K12" i="12"/>
  <c r="D55" i="5" s="1"/>
  <c r="L12" i="12"/>
  <c r="D70" i="5" s="1"/>
  <c r="H13" i="12"/>
  <c r="J13" i="12"/>
  <c r="D14" i="12"/>
  <c r="K28" i="12"/>
  <c r="E55" i="5" s="1"/>
  <c r="L28" i="12"/>
  <c r="E70" i="5" s="1"/>
  <c r="H29" i="12"/>
  <c r="J29" i="12"/>
  <c r="D30" i="12"/>
  <c r="K44" i="12"/>
  <c r="F55" i="5" s="1"/>
  <c r="L44" i="12"/>
  <c r="F70" i="5" s="1"/>
  <c r="H45" i="12"/>
  <c r="D46" i="12"/>
  <c r="J45" i="12"/>
  <c r="H54" i="5"/>
  <c r="L23" i="5"/>
  <c r="D243" i="5"/>
  <c r="F243" i="5"/>
  <c r="M23" i="5"/>
  <c r="H69" i="5"/>
  <c r="K76" i="12"/>
  <c r="L76" i="12"/>
  <c r="J24" i="5"/>
  <c r="K24" i="5" s="1"/>
  <c r="H77" i="12"/>
  <c r="J77" i="12"/>
  <c r="D78" i="12"/>
  <c r="D25" i="5"/>
  <c r="I54" i="5"/>
  <c r="G243" i="5"/>
  <c r="I243" i="5"/>
  <c r="J93" i="12"/>
  <c r="H93" i="12"/>
  <c r="D94" i="12"/>
  <c r="L92" i="12"/>
  <c r="I70" i="5" s="1"/>
  <c r="K92" i="12"/>
  <c r="K54" i="5"/>
  <c r="J243" i="5"/>
  <c r="L243" i="5"/>
  <c r="K124" i="12"/>
  <c r="L124" i="12"/>
  <c r="K70" i="5" s="1"/>
  <c r="H125" i="12"/>
  <c r="J125" i="12"/>
  <c r="D126" i="12"/>
  <c r="K60" i="12"/>
  <c r="G55" i="5" s="1"/>
  <c r="L60" i="12"/>
  <c r="G70" i="5" s="1"/>
  <c r="H61" i="12"/>
  <c r="J61" i="12"/>
  <c r="D62" i="12"/>
  <c r="L108" i="12"/>
  <c r="J70" i="5" s="1"/>
  <c r="K108" i="12"/>
  <c r="J55" i="5" s="1"/>
  <c r="H109" i="12"/>
  <c r="J109" i="12"/>
  <c r="D110" i="12"/>
  <c r="G26" i="5"/>
  <c r="H25" i="5" l="1"/>
  <c r="I29" i="8"/>
  <c r="G28" i="8"/>
  <c r="H28" i="8"/>
  <c r="G29" i="8"/>
  <c r="I24" i="8"/>
  <c r="H26" i="8"/>
  <c r="H29" i="8"/>
  <c r="J29" i="8" s="1"/>
  <c r="H27" i="8"/>
  <c r="I25" i="8"/>
  <c r="I26" i="8"/>
  <c r="I27" i="8"/>
  <c r="G27" i="8"/>
  <c r="H25" i="8"/>
  <c r="G25" i="8"/>
  <c r="H24" i="8"/>
  <c r="G24" i="8"/>
  <c r="I28" i="8"/>
  <c r="G26" i="8"/>
  <c r="K13" i="12"/>
  <c r="D56" i="5" s="1"/>
  <c r="L13" i="12"/>
  <c r="D71" i="5" s="1"/>
  <c r="H14" i="12"/>
  <c r="I14" i="12" s="1"/>
  <c r="J14" i="12"/>
  <c r="D15" i="12"/>
  <c r="K29" i="12"/>
  <c r="E56" i="5" s="1"/>
  <c r="L29" i="12"/>
  <c r="E71" i="5" s="1"/>
  <c r="H30" i="12"/>
  <c r="I30" i="12" s="1"/>
  <c r="J30" i="12"/>
  <c r="D31" i="12"/>
  <c r="J46" i="12"/>
  <c r="D47" i="12"/>
  <c r="H46" i="12"/>
  <c r="I46" i="12" s="1"/>
  <c r="K45" i="12"/>
  <c r="F56" i="5" s="1"/>
  <c r="L45" i="12"/>
  <c r="F71" i="5" s="1"/>
  <c r="H55" i="5"/>
  <c r="L24" i="5"/>
  <c r="D244" i="5"/>
  <c r="F244" i="5"/>
  <c r="H70" i="5"/>
  <c r="M24" i="5"/>
  <c r="K77" i="12"/>
  <c r="L77" i="12"/>
  <c r="J25" i="5"/>
  <c r="K25" i="5" s="1"/>
  <c r="H78" i="12"/>
  <c r="J78" i="12"/>
  <c r="D79" i="12"/>
  <c r="D26" i="5"/>
  <c r="L93" i="12"/>
  <c r="I71" i="5" s="1"/>
  <c r="K93" i="12"/>
  <c r="J94" i="12"/>
  <c r="H94" i="12"/>
  <c r="I94" i="12" s="1"/>
  <c r="D95" i="12"/>
  <c r="I55" i="5"/>
  <c r="G244" i="5"/>
  <c r="I244" i="5"/>
  <c r="K55" i="5"/>
  <c r="J244" i="5"/>
  <c r="L244" i="5"/>
  <c r="K125" i="12"/>
  <c r="L125" i="12"/>
  <c r="K71" i="5" s="1"/>
  <c r="H126" i="12"/>
  <c r="I126" i="12" s="1"/>
  <c r="J126" i="12"/>
  <c r="D127" i="12"/>
  <c r="K61" i="12"/>
  <c r="G56" i="5" s="1"/>
  <c r="L61" i="12"/>
  <c r="G71" i="5" s="1"/>
  <c r="H62" i="12"/>
  <c r="I62" i="12" s="1"/>
  <c r="J62" i="12"/>
  <c r="D63" i="12"/>
  <c r="K109" i="12"/>
  <c r="J56" i="5" s="1"/>
  <c r="L109" i="12"/>
  <c r="J71" i="5" s="1"/>
  <c r="H110" i="12"/>
  <c r="I110" i="12" s="1"/>
  <c r="J110" i="12"/>
  <c r="D111" i="12"/>
  <c r="K28" i="8" l="1"/>
  <c r="K29" i="8"/>
  <c r="J26" i="8"/>
  <c r="J24" i="8"/>
  <c r="J27" i="8"/>
  <c r="K27" i="8"/>
  <c r="J25" i="8"/>
  <c r="K25" i="8"/>
  <c r="K24" i="8"/>
  <c r="J28" i="8"/>
  <c r="K26" i="8"/>
  <c r="G15" i="12"/>
  <c r="J15" i="12" s="1"/>
  <c r="D42" i="5"/>
  <c r="K14" i="12"/>
  <c r="D57" i="5" s="1"/>
  <c r="L14" i="12"/>
  <c r="D72" i="5" s="1"/>
  <c r="H15" i="12"/>
  <c r="D16" i="12"/>
  <c r="G31" i="12"/>
  <c r="J31" i="12" s="1"/>
  <c r="E42" i="5"/>
  <c r="K30" i="12"/>
  <c r="E57" i="5" s="1"/>
  <c r="L30" i="12"/>
  <c r="E72" i="5" s="1"/>
  <c r="H31" i="12"/>
  <c r="D32" i="12"/>
  <c r="L46" i="12"/>
  <c r="F72" i="5" s="1"/>
  <c r="K46" i="12"/>
  <c r="F57" i="5" s="1"/>
  <c r="H47" i="12"/>
  <c r="D48" i="12"/>
  <c r="G47" i="12"/>
  <c r="J47" i="12" s="1"/>
  <c r="F42" i="5"/>
  <c r="H56" i="5"/>
  <c r="L25" i="5"/>
  <c r="D245" i="5"/>
  <c r="F245" i="5"/>
  <c r="M25" i="5"/>
  <c r="H71" i="5"/>
  <c r="I78" i="12"/>
  <c r="H26" i="5"/>
  <c r="K78" i="12"/>
  <c r="L78" i="12"/>
  <c r="J26" i="5"/>
  <c r="K26" i="5" s="1"/>
  <c r="H79" i="12"/>
  <c r="D80" i="12"/>
  <c r="D27" i="5"/>
  <c r="I56" i="5"/>
  <c r="G245" i="5"/>
  <c r="I245" i="5"/>
  <c r="L94" i="12"/>
  <c r="I72" i="5" s="1"/>
  <c r="K94" i="12"/>
  <c r="G95" i="12"/>
  <c r="J95" i="12" s="1"/>
  <c r="I42" i="5"/>
  <c r="H95" i="12"/>
  <c r="D96" i="12"/>
  <c r="K56" i="5"/>
  <c r="J245" i="5"/>
  <c r="L245" i="5"/>
  <c r="G127" i="12"/>
  <c r="J127" i="12" s="1"/>
  <c r="K42" i="5"/>
  <c r="K126" i="12"/>
  <c r="L126" i="12"/>
  <c r="K72" i="5" s="1"/>
  <c r="H127" i="12"/>
  <c r="D128" i="12"/>
  <c r="G63" i="12"/>
  <c r="J63" i="12" s="1"/>
  <c r="G42" i="5"/>
  <c r="K62" i="12"/>
  <c r="G57" i="5" s="1"/>
  <c r="L62" i="12"/>
  <c r="G72" i="5" s="1"/>
  <c r="H63" i="12"/>
  <c r="D64" i="12"/>
  <c r="G111" i="12"/>
  <c r="J42" i="5"/>
  <c r="K110" i="12"/>
  <c r="J57" i="5" s="1"/>
  <c r="L110" i="12"/>
  <c r="J72" i="5" s="1"/>
  <c r="H111" i="12"/>
  <c r="J111" i="12"/>
  <c r="D112" i="12"/>
  <c r="H27" i="5" l="1"/>
  <c r="I15" i="12"/>
  <c r="K15" i="12"/>
  <c r="D58" i="5" s="1"/>
  <c r="L15" i="12"/>
  <c r="D73" i="5" s="1"/>
  <c r="H16" i="12"/>
  <c r="D17" i="12"/>
  <c r="I31" i="12"/>
  <c r="K31" i="12"/>
  <c r="E58" i="5" s="1"/>
  <c r="L31" i="12"/>
  <c r="E73" i="5" s="1"/>
  <c r="H32" i="12"/>
  <c r="D33" i="12"/>
  <c r="L47" i="12"/>
  <c r="F73" i="5" s="1"/>
  <c r="K47" i="12"/>
  <c r="F58" i="5" s="1"/>
  <c r="H48" i="12"/>
  <c r="D49" i="12"/>
  <c r="I47" i="12"/>
  <c r="I26" i="5"/>
  <c r="H42" i="5"/>
  <c r="G79" i="12"/>
  <c r="H57" i="5"/>
  <c r="D246" i="5"/>
  <c r="F246" i="5"/>
  <c r="L26" i="5"/>
  <c r="M26" i="5"/>
  <c r="H72" i="5"/>
  <c r="H80" i="12"/>
  <c r="D81" i="12"/>
  <c r="D28" i="5"/>
  <c r="I57" i="5"/>
  <c r="G246" i="5"/>
  <c r="I246" i="5"/>
  <c r="I95" i="12"/>
  <c r="K95" i="12"/>
  <c r="L95" i="12"/>
  <c r="I73" i="5" s="1"/>
  <c r="H96" i="12"/>
  <c r="D97" i="12"/>
  <c r="I127" i="12"/>
  <c r="K57" i="5"/>
  <c r="J246" i="5"/>
  <c r="L246" i="5"/>
  <c r="K127" i="12"/>
  <c r="L127" i="12"/>
  <c r="K73" i="5" s="1"/>
  <c r="H128" i="12"/>
  <c r="D129" i="12"/>
  <c r="I63" i="12"/>
  <c r="K63" i="12"/>
  <c r="G58" i="5" s="1"/>
  <c r="L63" i="12"/>
  <c r="G73" i="5" s="1"/>
  <c r="H64" i="12"/>
  <c r="D65" i="12"/>
  <c r="I111" i="12"/>
  <c r="K111" i="12"/>
  <c r="J58" i="5" s="1"/>
  <c r="L111" i="12"/>
  <c r="J73" i="5" s="1"/>
  <c r="H112" i="12"/>
  <c r="D113" i="12"/>
  <c r="H28" i="5" l="1"/>
  <c r="I43" i="5"/>
  <c r="G96" i="12"/>
  <c r="F43" i="5"/>
  <c r="G48" i="12"/>
  <c r="H17" i="12"/>
  <c r="D18" i="12"/>
  <c r="H33" i="12"/>
  <c r="D34" i="12"/>
  <c r="D50" i="12"/>
  <c r="H49" i="12"/>
  <c r="J79" i="12"/>
  <c r="G27" i="5"/>
  <c r="I79" i="12"/>
  <c r="G80" i="12" s="1"/>
  <c r="H81" i="12"/>
  <c r="D82" i="12"/>
  <c r="D29" i="5"/>
  <c r="I58" i="5"/>
  <c r="G247" i="5"/>
  <c r="I247" i="5"/>
  <c r="H97" i="12"/>
  <c r="D98" i="12"/>
  <c r="K58" i="5"/>
  <c r="J247" i="5"/>
  <c r="L247" i="5"/>
  <c r="H129" i="12"/>
  <c r="D130" i="12"/>
  <c r="H65" i="12"/>
  <c r="D66" i="12"/>
  <c r="H113" i="12"/>
  <c r="D114" i="12"/>
  <c r="D43" i="5"/>
  <c r="G16" i="12"/>
  <c r="E43" i="5"/>
  <c r="G32" i="12"/>
  <c r="K43" i="5"/>
  <c r="G128" i="12"/>
  <c r="G43" i="5"/>
  <c r="G64" i="12"/>
  <c r="J43" i="5"/>
  <c r="G112" i="12"/>
  <c r="H29" i="5" l="1"/>
  <c r="J96" i="12"/>
  <c r="I96" i="12"/>
  <c r="J48" i="12"/>
  <c r="I48" i="12"/>
  <c r="H18" i="12"/>
  <c r="H34" i="12"/>
  <c r="H50" i="12"/>
  <c r="J27" i="5"/>
  <c r="K27" i="5" s="1"/>
  <c r="L79" i="12"/>
  <c r="K79" i="12"/>
  <c r="J80" i="12"/>
  <c r="I80" i="12"/>
  <c r="G81" i="12" s="1"/>
  <c r="G28" i="5"/>
  <c r="I27" i="5"/>
  <c r="H43" i="5"/>
  <c r="H82" i="12"/>
  <c r="D30" i="5"/>
  <c r="E84" i="5" s="1"/>
  <c r="F84" i="5" s="1"/>
  <c r="H98" i="12"/>
  <c r="H130" i="12"/>
  <c r="H66" i="12"/>
  <c r="H114" i="12"/>
  <c r="I16" i="12"/>
  <c r="J16" i="12"/>
  <c r="I32" i="12"/>
  <c r="J32" i="12"/>
  <c r="I128" i="12"/>
  <c r="J128" i="12"/>
  <c r="I64" i="12"/>
  <c r="J64" i="12"/>
  <c r="I112" i="12"/>
  <c r="J112" i="12"/>
  <c r="H30" i="5" l="1"/>
  <c r="L96" i="12"/>
  <c r="I74" i="5" s="1"/>
  <c r="K96" i="12"/>
  <c r="I59" i="5" s="1"/>
  <c r="K48" i="12"/>
  <c r="F59" i="5" s="1"/>
  <c r="L48" i="12"/>
  <c r="F74" i="5" s="1"/>
  <c r="G97" i="12"/>
  <c r="I44" i="5"/>
  <c r="F44" i="5"/>
  <c r="G49" i="12"/>
  <c r="G44" i="5"/>
  <c r="G65" i="12"/>
  <c r="H73" i="5"/>
  <c r="M27" i="5"/>
  <c r="L27" i="5"/>
  <c r="H58" i="5"/>
  <c r="D247" i="5"/>
  <c r="F247" i="5"/>
  <c r="J28" i="5"/>
  <c r="K28" i="5" s="1"/>
  <c r="L80" i="12"/>
  <c r="K80" i="12"/>
  <c r="I28" i="5"/>
  <c r="H44" i="5"/>
  <c r="J81" i="12"/>
  <c r="I81" i="12"/>
  <c r="G82" i="12" s="1"/>
  <c r="L16" i="12"/>
  <c r="D74" i="5" s="1"/>
  <c r="K16" i="12"/>
  <c r="D59" i="5" s="1"/>
  <c r="L32" i="12"/>
  <c r="E74" i="5" s="1"/>
  <c r="K32" i="12"/>
  <c r="E59" i="5" s="1"/>
  <c r="L128" i="12"/>
  <c r="K74" i="5" s="1"/>
  <c r="K128" i="12"/>
  <c r="K59" i="5" s="1"/>
  <c r="L64" i="12"/>
  <c r="G74" i="5" s="1"/>
  <c r="K64" i="12"/>
  <c r="G59" i="5" s="1"/>
  <c r="L112" i="12"/>
  <c r="J74" i="5" s="1"/>
  <c r="K112" i="12"/>
  <c r="J59" i="5" s="1"/>
  <c r="D44" i="5"/>
  <c r="G17" i="12"/>
  <c r="E44" i="5"/>
  <c r="G33" i="12"/>
  <c r="K44" i="5"/>
  <c r="G129" i="12"/>
  <c r="J44" i="5"/>
  <c r="G113" i="12"/>
  <c r="G29" i="5" l="1"/>
  <c r="I97" i="12"/>
  <c r="J97" i="12"/>
  <c r="I49" i="12"/>
  <c r="J49" i="12"/>
  <c r="J65" i="12"/>
  <c r="I65" i="12"/>
  <c r="H74" i="5"/>
  <c r="M28" i="5"/>
  <c r="L28" i="5"/>
  <c r="H59" i="5"/>
  <c r="L81" i="12"/>
  <c r="K81" i="12"/>
  <c r="H45" i="5"/>
  <c r="J82" i="12"/>
  <c r="I82" i="12"/>
  <c r="I17" i="12"/>
  <c r="J17" i="12"/>
  <c r="I33" i="12"/>
  <c r="J33" i="12"/>
  <c r="I129" i="12"/>
  <c r="J129" i="12"/>
  <c r="I113" i="12"/>
  <c r="J113" i="12"/>
  <c r="I29" i="5" l="1"/>
  <c r="J29" i="5"/>
  <c r="K29" i="5" s="1"/>
  <c r="F45" i="5"/>
  <c r="G50" i="12"/>
  <c r="I45" i="5"/>
  <c r="G98" i="12"/>
  <c r="L97" i="12"/>
  <c r="I75" i="5" s="1"/>
  <c r="K97" i="12"/>
  <c r="I60" i="5" s="1"/>
  <c r="L49" i="12"/>
  <c r="F75" i="5" s="1"/>
  <c r="K49" i="12"/>
  <c r="F60" i="5" s="1"/>
  <c r="L65" i="12"/>
  <c r="G75" i="5" s="1"/>
  <c r="K65" i="12"/>
  <c r="G60" i="5" s="1"/>
  <c r="G66" i="12"/>
  <c r="G45" i="5"/>
  <c r="H75" i="5"/>
  <c r="H60" i="5"/>
  <c r="L82" i="12"/>
  <c r="K82" i="12"/>
  <c r="H46" i="5"/>
  <c r="L17" i="12"/>
  <c r="K17" i="12"/>
  <c r="L33" i="12"/>
  <c r="E75" i="5" s="1"/>
  <c r="K33" i="12"/>
  <c r="E60" i="5" s="1"/>
  <c r="L129" i="12"/>
  <c r="K75" i="5" s="1"/>
  <c r="K129" i="12"/>
  <c r="K60" i="5" s="1"/>
  <c r="L113" i="12"/>
  <c r="J75" i="5" s="1"/>
  <c r="K113" i="12"/>
  <c r="J60" i="5" s="1"/>
  <c r="D45" i="5"/>
  <c r="G18" i="12"/>
  <c r="E45" i="5"/>
  <c r="G34" i="12"/>
  <c r="K45" i="5"/>
  <c r="G130" i="12"/>
  <c r="J45" i="5"/>
  <c r="G114" i="12"/>
  <c r="G30" i="5" l="1"/>
  <c r="D75" i="5"/>
  <c r="M29" i="5"/>
  <c r="D60" i="5"/>
  <c r="L29" i="5"/>
  <c r="J50" i="12"/>
  <c r="I50" i="12"/>
  <c r="F46" i="5" s="1"/>
  <c r="I98" i="12"/>
  <c r="I46" i="5" s="1"/>
  <c r="J98" i="12"/>
  <c r="I66" i="12"/>
  <c r="G46" i="5" s="1"/>
  <c r="J66" i="12"/>
  <c r="H76" i="5"/>
  <c r="H61" i="5"/>
  <c r="I18" i="12"/>
  <c r="J18" i="12"/>
  <c r="I34" i="12"/>
  <c r="E46" i="5" s="1"/>
  <c r="J34" i="12"/>
  <c r="I130" i="12"/>
  <c r="K46" i="5" s="1"/>
  <c r="J130" i="12"/>
  <c r="I114" i="12"/>
  <c r="J46" i="5" s="1"/>
  <c r="J114" i="12"/>
  <c r="J30" i="5" l="1"/>
  <c r="K30" i="5" s="1"/>
  <c r="D46" i="5"/>
  <c r="I30" i="5"/>
  <c r="K50" i="12"/>
  <c r="F61" i="5" s="1"/>
  <c r="L50" i="12"/>
  <c r="F76" i="5" s="1"/>
  <c r="K98" i="12"/>
  <c r="I61" i="5" s="1"/>
  <c r="L98" i="12"/>
  <c r="I76" i="5" s="1"/>
  <c r="L66" i="12"/>
  <c r="G76" i="5" s="1"/>
  <c r="K66" i="12"/>
  <c r="G61" i="5" s="1"/>
  <c r="L18" i="12"/>
  <c r="K18" i="12"/>
  <c r="L34" i="12"/>
  <c r="E76" i="5" s="1"/>
  <c r="K34" i="12"/>
  <c r="E61" i="5" s="1"/>
  <c r="L130" i="12"/>
  <c r="K76" i="5" s="1"/>
  <c r="K130" i="12"/>
  <c r="K61" i="5" s="1"/>
  <c r="L114" i="12"/>
  <c r="J76" i="5" s="1"/>
  <c r="K114" i="12"/>
  <c r="J61" i="5" s="1"/>
  <c r="D76" i="5" l="1"/>
  <c r="M30" i="5"/>
  <c r="D61" i="5"/>
  <c r="L30" i="5"/>
</calcChain>
</file>

<file path=xl/sharedStrings.xml><?xml version="1.0" encoding="utf-8"?>
<sst xmlns="http://schemas.openxmlformats.org/spreadsheetml/2006/main" count="557" uniqueCount="269">
  <si>
    <t>AI Transition Explainer Model</t>
  </si>
  <si>
    <t>Companion to Wachter and Wachter (2026): What Investment Data Implies about the AI Transition</t>
  </si>
  <si>
    <t>x</t>
  </si>
  <si>
    <t>Sheet Index</t>
  </si>
  <si>
    <t>Tab Name</t>
  </si>
  <si>
    <t>Description</t>
  </si>
  <si>
    <t>Cover</t>
  </si>
  <si>
    <t>Dashboard</t>
  </si>
  <si>
    <t>Summary tables and charts</t>
  </si>
  <si>
    <t>Parameters</t>
  </si>
  <si>
    <t>Model inputs and calibrated parameters</t>
  </si>
  <si>
    <t>Capex Build</t>
  </si>
  <si>
    <t>Model 1 - Calibration</t>
  </si>
  <si>
    <t>Two-sector open economy model, with AI sector productivity subject to rare booms</t>
  </si>
  <si>
    <t>Model 1 - Inv &amp; GDP Paths</t>
  </si>
  <si>
    <t>Model 2 - Riskfree and ERP</t>
  </si>
  <si>
    <t>Legend</t>
  </si>
  <si>
    <t>Yellow fill with blue text: User-editable inputs</t>
  </si>
  <si>
    <t>Blue text: Hard-coded source data</t>
  </si>
  <si>
    <t>Black text: Formulas</t>
  </si>
  <si>
    <t>Green text: links to another sheet</t>
  </si>
  <si>
    <t>Usage Guide</t>
  </si>
  <si>
    <t>Summary Dashboard</t>
  </si>
  <si>
    <t>Wachter and Wachter (2026): What Investment Data Implies about the AI Transition</t>
  </si>
  <si>
    <t>Capex Data</t>
  </si>
  <si>
    <t>Investment Paths</t>
  </si>
  <si>
    <t>GDP Growth Paths</t>
  </si>
  <si>
    <t>Risk-free and ERP</t>
  </si>
  <si>
    <t>Assumed Parameters</t>
  </si>
  <si>
    <t>Named Range</t>
  </si>
  <si>
    <t>Default</t>
  </si>
  <si>
    <t>alpha</t>
  </si>
  <si>
    <t>Capital share (Cobb-Douglas)</t>
  </si>
  <si>
    <t>delta_a</t>
  </si>
  <si>
    <t>AI sector capital depreciation rate</t>
  </si>
  <si>
    <t>delta_n</t>
  </si>
  <si>
    <t>Non-AI sector capital depreciation rate</t>
  </si>
  <si>
    <t>r_a</t>
  </si>
  <si>
    <t>Required real return on AI-sector capital</t>
  </si>
  <si>
    <t>r_n</t>
  </si>
  <si>
    <t>Required real return on non-AI capital</t>
  </si>
  <si>
    <t>p_max</t>
  </si>
  <si>
    <t>Window boom probability</t>
  </si>
  <si>
    <t>theta_a</t>
  </si>
  <si>
    <t>Partial adjustment: fraction 1/theta of the gap closed each year</t>
  </si>
  <si>
    <t>I_total_pre</t>
  </si>
  <si>
    <t>2022 US gross private fixed investment ($B)</t>
  </si>
  <si>
    <t>S&amp;P 500 D/P (%)</t>
  </si>
  <si>
    <t>May 2026 trailing yield</t>
  </si>
  <si>
    <t>TIPS yield, 30yr (%)</t>
  </si>
  <si>
    <t>Approx. real risk-free rate</t>
  </si>
  <si>
    <t>Equity premium assumption</t>
  </si>
  <si>
    <t>Historical ERP</t>
  </si>
  <si>
    <t>Calibrated Parameters</t>
  </si>
  <si>
    <t>Value</t>
  </si>
  <si>
    <t>Formula / Description</t>
  </si>
  <si>
    <t>I_pre</t>
  </si>
  <si>
    <t>Pre-boom annual AI capex ($B)</t>
  </si>
  <si>
    <t>I_bar</t>
  </si>
  <si>
    <t>Cumulative 2024–2027 investment ($B)</t>
  </si>
  <si>
    <t>K0</t>
  </si>
  <si>
    <t>Pre-boom AI capital stock ($B)</t>
  </si>
  <si>
    <t>exp_xi</t>
  </si>
  <si>
    <t>Implied productivity multiplier e^xi</t>
  </si>
  <si>
    <t>xi</t>
  </si>
  <si>
    <t>Log boom size xi</t>
  </si>
  <si>
    <t>z0</t>
  </si>
  <si>
    <t>Pre-boom AI productivity level</t>
  </si>
  <si>
    <t>z1</t>
  </si>
  <si>
    <t>Post-boom AI productivity level</t>
  </si>
  <si>
    <t>Ya0</t>
  </si>
  <si>
    <t>Pre-boom AI output ($B)</t>
  </si>
  <si>
    <t>Yn0</t>
  </si>
  <si>
    <t>Non-AI output, fixed ($B)</t>
  </si>
  <si>
    <t>GDP_0</t>
  </si>
  <si>
    <t>Model-consistent pre-boom GDP ($B)</t>
  </si>
  <si>
    <t>Kn0</t>
  </si>
  <si>
    <t>Non-AI capital stock ($B)</t>
  </si>
  <si>
    <t>p_star</t>
  </si>
  <si>
    <t>Long-run boom probability: valuation-implied p*, rounded</t>
  </si>
  <si>
    <t>Ya0_share</t>
  </si>
  <si>
    <t>Derived pre-boom AI output share</t>
  </si>
  <si>
    <t>Disaster &amp; Asset-Pricing Parameters</t>
  </si>
  <si>
    <t>p_d</t>
  </si>
  <si>
    <t>Annual disaster probability (Barro 2006)</t>
  </si>
  <si>
    <t>xi_d</t>
  </si>
  <si>
    <t>Log disaster size (Wachter 2013)</t>
  </si>
  <si>
    <t>rho</t>
  </si>
  <si>
    <t>Time discount rate</t>
  </si>
  <si>
    <t>mu_c</t>
  </si>
  <si>
    <t>Normal-times consumption growth mean</t>
  </si>
  <si>
    <t>sigma_c</t>
  </si>
  <si>
    <t>Normal-times consumption growth volatility</t>
  </si>
  <si>
    <t>beta_ap</t>
  </si>
  <si>
    <t>Discount factor</t>
  </si>
  <si>
    <t>Year</t>
  </si>
  <si>
    <t>2026f</t>
  </si>
  <si>
    <t>2027e</t>
  </si>
  <si>
    <t>Firm</t>
  </si>
  <si>
    <t>Amazon</t>
  </si>
  <si>
    <t>Alphabet</t>
  </si>
  <si>
    <t>Microsoft</t>
  </si>
  <si>
    <t>Meta</t>
  </si>
  <si>
    <t>Oracle</t>
  </si>
  <si>
    <t>Item</t>
  </si>
  <si>
    <t>U.S. nominal GDP ($T)</t>
  </si>
  <si>
    <t>Chart Helper</t>
  </si>
  <si>
    <t>2022</t>
  </si>
  <si>
    <t>2023</t>
  </si>
  <si>
    <t>2024</t>
  </si>
  <si>
    <t>2025</t>
  </si>
  <si>
    <t>Total</t>
  </si>
  <si>
    <t>AI capex ($B)</t>
  </si>
  <si>
    <t>U.S. gross private fixed investment ($T)</t>
  </si>
  <si>
    <t>Share of GDP (%)</t>
  </si>
  <si>
    <t>Boom size calibration</t>
  </si>
  <si>
    <t>Input</t>
  </si>
  <si>
    <t>I_pre ($B)</t>
  </si>
  <si>
    <t>I_bar ($B)</t>
  </si>
  <si>
    <t>K_0 = I_pre/delta_a</t>
  </si>
  <si>
    <t>K_2028</t>
  </si>
  <si>
    <t>Output</t>
  </si>
  <si>
    <t>Capital stock roll-forward</t>
  </si>
  <si>
    <t>Investment I(t) ($B)</t>
  </si>
  <si>
    <t>Capital entering year K(t) ($B)</t>
  </si>
  <si>
    <t>Survival weight (1 − delta_a)^(2027 − t)</t>
  </si>
  <si>
    <t>Per-firm calibration</t>
  </si>
  <si>
    <t>K_2028,i ($B)</t>
  </si>
  <si>
    <t>K_i ($B)</t>
  </si>
  <si>
    <t>e^xi_i</t>
  </si>
  <si>
    <t>xi_i</t>
  </si>
  <si>
    <t>Selected universe</t>
  </si>
  <si>
    <t>Sensitivity analysis, boom-size</t>
  </si>
  <si>
    <t>K_0</t>
  </si>
  <si>
    <t>Valuation-implied p* (rounded to two decimals, sets p_star on Parameters)</t>
  </si>
  <si>
    <t>Implied real discount rate r</t>
  </si>
  <si>
    <t>Implied long-run growth g</t>
  </si>
  <si>
    <t>Implied p*</t>
  </si>
  <si>
    <t>Model 1 - Investment and GDP Paths</t>
  </si>
  <si>
    <t>Toggles</t>
  </si>
  <si>
    <t>Investment Friction</t>
  </si>
  <si>
    <t>Scenario</t>
  </si>
  <si>
    <t>Selected Scenario</t>
  </si>
  <si>
    <t>Scenario Assumptions</t>
  </si>
  <si>
    <t>Moderate</t>
  </si>
  <si>
    <t>Transformative-a</t>
  </si>
  <si>
    <t>Transformative-b</t>
  </si>
  <si>
    <t>Singularity</t>
  </si>
  <si>
    <t>Investment and GDP Paths</t>
  </si>
  <si>
    <t>z_at</t>
  </si>
  <si>
    <t>p_t</t>
  </si>
  <si>
    <t>omega(p_t)</t>
  </si>
  <si>
    <t>K_t (entry)</t>
  </si>
  <si>
    <t>K* (z, p)</t>
  </si>
  <si>
    <t>I*</t>
  </si>
  <si>
    <t>Y_a</t>
  </si>
  <si>
    <t>GDP ($T)</t>
  </si>
  <si>
    <t>Cum. GDP Growth</t>
  </si>
  <si>
    <t>AI Share</t>
  </si>
  <si>
    <t>Scenario Analysis</t>
  </si>
  <si>
    <t>Investment I* ($B)</t>
  </si>
  <si>
    <t>No friction / Moderate</t>
  </si>
  <si>
    <t>No friction / Trans-a</t>
  </si>
  <si>
    <t>No friction / Trans-b</t>
  </si>
  <si>
    <t>No friction / Singularity</t>
  </si>
  <si>
    <t>Friction / Moderate</t>
  </si>
  <si>
    <t>Friction / Trans-a</t>
  </si>
  <si>
    <t>Friction / Trans-b</t>
  </si>
  <si>
    <t>Friction / Singularity</t>
  </si>
  <si>
    <t>GDP Growth (%)</t>
  </si>
  <si>
    <t>AI Share (%)</t>
  </si>
  <si>
    <t>Value Creation (post-window steady state)</t>
  </si>
  <si>
    <t>Omega_star</t>
  </si>
  <si>
    <t>K_star</t>
  </si>
  <si>
    <t>Capital Claim on Y_a</t>
  </si>
  <si>
    <t>Y_a/Y</t>
  </si>
  <si>
    <t>GDP level gain</t>
  </si>
  <si>
    <t>Post-window I_a ($B/yr)</t>
  </si>
  <si>
    <t>Long Run GDP, fully adjusted</t>
  </si>
  <si>
    <t>Fully adjusted (Appendix C, Figure C.2): capital at its optimal level each year from 2030. Exact binomial distribution; 2030 is the starting state and new random booms begin in 2031. The main-text version with partial adjustment is further down (row 271).</t>
  </si>
  <si>
    <t>Moderate - GDP Growth (%)</t>
  </si>
  <si>
    <t>Mean</t>
  </si>
  <si>
    <t>P10</t>
  </si>
  <si>
    <t>P25</t>
  </si>
  <si>
    <t>P75</t>
  </si>
  <si>
    <t>P90</t>
  </si>
  <si>
    <t>Moderate - AI Share (%)</t>
  </si>
  <si>
    <t>Transformative - GDP Growth (%)</t>
  </si>
  <si>
    <t>Transformative - AI Share (%)</t>
  </si>
  <si>
    <t>Singularity - GDP Growth (%)</t>
  </si>
  <si>
    <t>Singularity - AI Share (%)</t>
  </si>
  <si>
    <t>Moderate (P10)</t>
  </si>
  <si>
    <t>Moderate (P90 - P10)</t>
  </si>
  <si>
    <t>Moderate (Mean)</t>
  </si>
  <si>
    <t>Transformative (P10)</t>
  </si>
  <si>
    <t>Transformative (P90 - P10)</t>
  </si>
  <si>
    <t>Transformative (Mean)</t>
  </si>
  <si>
    <t>Singularity (P10)</t>
  </si>
  <si>
    <t>Singularity (P90 - P10)</t>
  </si>
  <si>
    <t>Singularity (Mean)</t>
  </si>
  <si>
    <t>Long Run GDP, partial adjustment (main-text Figure 3)</t>
  </si>
  <si>
    <t>Exact enumeration of all 2^20 boom histories after 2030.  From the partial-adjustment state entering 2030, booms arrive from 2031 at rate p_star and capital closes 1/theta_a of the gap each year.</t>
  </si>
  <si>
    <t>Expected cumulative GDP growth in 2050</t>
  </si>
  <si>
    <t>Transformative</t>
  </si>
  <si>
    <t>Partial adjustment (main text, Figure 3)</t>
  </si>
  <si>
    <t>Fully adjusted (Appendix C, Figure C.2)</t>
  </si>
  <si>
    <t>Moderate - GDP Growth (%), partial adjustment</t>
  </si>
  <si>
    <t>Moderate - AI Share (%), partial adjustment</t>
  </si>
  <si>
    <t>Transformative - GDP Growth (%), partial adjustment</t>
  </si>
  <si>
    <t>Transformative - AI Share (%), partial adjustment</t>
  </si>
  <si>
    <t>Singularity - GDP Growth (%), partial adjustment</t>
  </si>
  <si>
    <t>Singularity - AI Share (%), partial adjustment</t>
  </si>
  <si>
    <t>Model 2</t>
  </si>
  <si>
    <t>Consumption Boom Size</t>
  </si>
  <si>
    <t>s_a</t>
  </si>
  <si>
    <t>xi_b</t>
  </si>
  <si>
    <t>p_b</t>
  </si>
  <si>
    <t>No AI</t>
  </si>
  <si>
    <t>Absorbing limit</t>
  </si>
  <si>
    <t>Risk-free rate and ERP</t>
  </si>
  <si>
    <t>gamma</t>
  </si>
  <si>
    <t>Phi_d(1)</t>
  </si>
  <si>
    <t>Phi_d(-gamma)</t>
  </si>
  <si>
    <t>Phi_d(1- gamma)</t>
  </si>
  <si>
    <t>Phi_b(1)</t>
  </si>
  <si>
    <t>Phi_b(-gamma)</t>
  </si>
  <si>
    <t>Phi_b(1- gamma)</t>
  </si>
  <si>
    <t>r_f</t>
  </si>
  <si>
    <t>ERP</t>
  </si>
  <si>
    <t>Absorbing Limit</t>
  </si>
  <si>
    <t>Scenario calculations</t>
  </si>
  <si>
    <t>Frictionless / Moderate</t>
  </si>
  <si>
    <t>Productivity z</t>
  </si>
  <si>
    <t>Boom probability</t>
  </si>
  <si>
    <t>Option factor</t>
  </si>
  <si>
    <t>Entry capital</t>
  </si>
  <si>
    <t>Target capital</t>
  </si>
  <si>
    <t>Investment</t>
  </si>
  <si>
    <t>AI output</t>
  </si>
  <si>
    <t>AI share</t>
  </si>
  <si>
    <t>Frictionless / Transformative-a</t>
  </si>
  <si>
    <t>Frictionless / Transformative-b</t>
  </si>
  <si>
    <t>Frictionless / Singularity</t>
  </si>
  <si>
    <t>With friction / Moderate</t>
  </si>
  <si>
    <t>With friction / Transformative-a</t>
  </si>
  <si>
    <t>With friction / Transformative-b</t>
  </si>
  <si>
    <t>With friction / Singularity</t>
  </si>
  <si>
    <t>Long-run distribution</t>
  </si>
  <si>
    <t>2030 uses n=0. For each later year, n counts draws since 2030.</t>
  </si>
  <si>
    <t>Draws n</t>
  </si>
  <si>
    <t>AI output by total additional boom count</t>
  </si>
  <si>
    <t>Starting scenario</t>
  </si>
  <si>
    <t>AI share by additional boom count</t>
  </si>
  <si>
    <t>Moderate AI share</t>
  </si>
  <si>
    <t>Transformative AI share</t>
  </si>
  <si>
    <t>Singularity AI share</t>
  </si>
  <si>
    <t>Quantile boom counts</t>
  </si>
  <si>
    <t>Capital expenditure by firm ($ billions), Table 1 of the paper</t>
  </si>
  <si>
    <t>AI investment relative to the U.S. economy, Table 2 of the paper</t>
  </si>
  <si>
    <t>Share of gross private fixed investment (%)</t>
  </si>
  <si>
    <t>I_bar (cumulative 2024–2027)</t>
  </si>
  <si>
    <t>Capital expenditure of hyperscalers (Table 1)</t>
  </si>
  <si>
    <t>Investment and GDP paths under various scenarios and investment friction settings</t>
  </si>
  <si>
    <t>Endowment economy model, and derived riskfreee and equity risk premium</t>
  </si>
  <si>
    <t>Run the macro LongRunPartial to recompute numbers with updated input parameters. The fully adjusted version is in the section above (Appendix C, Figure C.2).</t>
  </si>
  <si>
    <t xml:space="preserve">Change the yellow inputs (Parameters, and the selectors on the model sheets). </t>
  </si>
  <si>
    <t>All tables and charts update automatically, except the long-run GDP tables with partial adjustment on Model 1 - Inv &amp; GDP Paths (row 271 onward), which is computed by a macro.</t>
  </si>
  <si>
    <t>To update those tables, open the file with macros enabled and run the macro LongRunPartial: Alt+F8 on Windows, Option+F8 or Tools › Macro › Macros on a Mac.</t>
  </si>
  <si>
    <t>Excel model by Frank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</si>
</sst>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00"/>
    <numFmt numFmtId="165" formatCode="0.00\×"/>
    <numFmt numFmtId="166" formatCode="#,##0.0"/>
    <numFmt numFmtId="167" formatCode="0.0%"/>
    <numFmt numFmtId="170" formatCode="0.0"/>
  </numFmts>
  <fonts count="25" x14ac:knownFonts="1">
    <font>
      <sz val="11"/>
      <color theme="1"/>
      <name val="Calibri"/>
      <family val="2"/>
      <charset val="1"/>
    </font>
    <font>
      <b/>
      <sz val="13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sz val="10"/>
      <color rgb="FF0000FF"/>
      <name val="Arial"/>
      <family val="2"/>
    </font>
    <font>
      <sz val="10"/>
      <color rgb="FF008000"/>
      <name val="Arial"/>
      <family val="2"/>
    </font>
    <font>
      <i/>
      <sz val="10"/>
      <color rgb="FF595959"/>
      <name val="Arial"/>
      <family val="2"/>
    </font>
    <font>
      <sz val="10"/>
      <name val="Arial"/>
      <family val="2"/>
    </font>
    <font>
      <b/>
      <u val="singleAccounting"/>
      <sz val="10"/>
      <name val="Arial"/>
      <family val="2"/>
    </font>
    <font>
      <sz val="10"/>
      <color rgb="FF000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1"/>
    </font>
    <font>
      <b/>
      <sz val="10"/>
      <color rgb="FF000000"/>
      <name val="Arial"/>
      <family val="2"/>
    </font>
    <font>
      <b/>
      <u val="singleAccounting"/>
      <sz val="10"/>
      <color rgb="FFFFFFFF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u val="singleAccounting"/>
      <sz val="10"/>
      <color theme="1"/>
      <name val="Arial"/>
      <family val="2"/>
    </font>
    <font>
      <sz val="11"/>
      <color theme="1"/>
      <name val="Calibri"/>
      <family val="2"/>
    </font>
    <font>
      <i/>
      <sz val="10"/>
      <color theme="1"/>
      <name val="Arial"/>
      <family val="2"/>
    </font>
    <font>
      <sz val="10"/>
      <color theme="0" tint="-0.34998626667073579"/>
      <name val="Arial"/>
      <family val="2"/>
    </font>
    <font>
      <sz val="11"/>
      <color theme="1"/>
      <name val="Arial"/>
      <family val="2"/>
    </font>
    <font>
      <u val="singleAccounting"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11F5B"/>
        <bgColor indexed="64"/>
      </patternFill>
    </fill>
    <fill>
      <patternFill patternType="solid">
        <fgColor rgb="FF011F5B"/>
        <bgColor rgb="FF7D5FA0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3" fillId="0" borderId="0" applyFont="0" applyFill="0" applyBorder="0" applyAlignment="0" applyProtection="0"/>
    <xf numFmtId="0" fontId="20" fillId="0" borderId="0"/>
  </cellStyleXfs>
  <cellXfs count="13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3" fontId="7" fillId="0" borderId="0" xfId="0" applyNumberFormat="1" applyFont="1"/>
    <xf numFmtId="164" fontId="7" fillId="0" borderId="0" xfId="0" applyNumberFormat="1" applyFont="1"/>
    <xf numFmtId="164" fontId="4" fillId="0" borderId="0" xfId="0" applyNumberFormat="1" applyFont="1"/>
    <xf numFmtId="10" fontId="4" fillId="0" borderId="0" xfId="0" applyNumberFormat="1" applyFont="1"/>
    <xf numFmtId="165" fontId="4" fillId="0" borderId="0" xfId="0" applyNumberFormat="1" applyFont="1"/>
    <xf numFmtId="10" fontId="7" fillId="0" borderId="0" xfId="0" applyNumberFormat="1" applyFont="1"/>
    <xf numFmtId="3" fontId="4" fillId="0" borderId="0" xfId="0" applyNumberFormat="1" applyFont="1"/>
    <xf numFmtId="0" fontId="9" fillId="0" borderId="0" xfId="0" applyFont="1"/>
    <xf numFmtId="0" fontId="0" fillId="2" borderId="0" xfId="0" applyFill="1"/>
    <xf numFmtId="44" fontId="10" fillId="0" borderId="0" xfId="0" applyNumberFormat="1" applyFont="1" applyAlignment="1">
      <alignment horizontal="center" wrapText="1"/>
    </xf>
    <xf numFmtId="0" fontId="9" fillId="0" borderId="1" xfId="0" applyFont="1" applyBorder="1"/>
    <xf numFmtId="3" fontId="4" fillId="0" borderId="1" xfId="0" applyNumberFormat="1" applyFont="1" applyBorder="1"/>
    <xf numFmtId="0" fontId="3" fillId="0" borderId="2" xfId="0" applyFont="1" applyBorder="1"/>
    <xf numFmtId="3" fontId="4" fillId="0" borderId="2" xfId="0" applyNumberFormat="1" applyFont="1" applyBorder="1"/>
    <xf numFmtId="0" fontId="5" fillId="3" borderId="0" xfId="0" applyFont="1" applyFill="1" applyAlignment="1">
      <alignment horizontal="left"/>
    </xf>
    <xf numFmtId="3" fontId="7" fillId="0" borderId="1" xfId="0" applyNumberFormat="1" applyFont="1" applyBorder="1"/>
    <xf numFmtId="0" fontId="5" fillId="0" borderId="0" xfId="0" applyFont="1" applyAlignment="1">
      <alignment horizontal="left"/>
    </xf>
    <xf numFmtId="3" fontId="9" fillId="0" borderId="0" xfId="0" applyNumberFormat="1" applyFont="1"/>
    <xf numFmtId="165" fontId="4" fillId="0" borderId="3" xfId="0" applyNumberFormat="1" applyFont="1" applyBorder="1"/>
    <xf numFmtId="0" fontId="4" fillId="0" borderId="0" xfId="0" applyFont="1" applyAlignment="1">
      <alignment horizontal="left" indent="1"/>
    </xf>
    <xf numFmtId="0" fontId="11" fillId="4" borderId="0" xfId="0" applyFont="1" applyFill="1" applyAlignment="1">
      <alignment horizontal="left" indent="1"/>
    </xf>
    <xf numFmtId="0" fontId="11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12" fillId="0" borderId="0" xfId="0" applyFont="1"/>
    <xf numFmtId="0" fontId="12" fillId="2" borderId="0" xfId="0" applyFont="1" applyFill="1"/>
    <xf numFmtId="165" fontId="4" fillId="0" borderId="2" xfId="0" applyNumberFormat="1" applyFont="1" applyBorder="1"/>
    <xf numFmtId="0" fontId="3" fillId="0" borderId="0" xfId="0" applyFont="1" applyAlignment="1">
      <alignment horizontal="left"/>
    </xf>
    <xf numFmtId="3" fontId="12" fillId="0" borderId="0" xfId="0" applyNumberFormat="1" applyFont="1"/>
    <xf numFmtId="2" fontId="4" fillId="0" borderId="0" xfId="0" applyNumberFormat="1" applyFont="1"/>
    <xf numFmtId="2" fontId="11" fillId="0" borderId="0" xfId="0" applyNumberFormat="1" applyFont="1"/>
    <xf numFmtId="44" fontId="10" fillId="0" borderId="0" xfId="0" applyNumberFormat="1" applyFont="1" applyAlignment="1">
      <alignment horizontal="centerContinuous"/>
    </xf>
    <xf numFmtId="0" fontId="14" fillId="0" borderId="0" xfId="0" applyFont="1"/>
    <xf numFmtId="165" fontId="7" fillId="0" borderId="0" xfId="0" applyNumberFormat="1" applyFont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indent="1"/>
    </xf>
    <xf numFmtId="44" fontId="4" fillId="0" borderId="0" xfId="0" applyNumberFormat="1" applyFont="1" applyAlignment="1">
      <alignment horizontal="center"/>
    </xf>
    <xf numFmtId="44" fontId="9" fillId="0" borderId="0" xfId="0" applyNumberFormat="1" applyFont="1" applyAlignment="1">
      <alignment horizontal="center"/>
    </xf>
    <xf numFmtId="44" fontId="10" fillId="0" borderId="0" xfId="0" applyNumberFormat="1" applyFont="1" applyAlignment="1">
      <alignment horizontal="center"/>
    </xf>
    <xf numFmtId="1" fontId="12" fillId="0" borderId="0" xfId="0" applyNumberFormat="1" applyFont="1"/>
    <xf numFmtId="0" fontId="5" fillId="0" borderId="0" xfId="0" applyFont="1" applyAlignment="1">
      <alignment horizontal="left" vertical="center"/>
    </xf>
    <xf numFmtId="44" fontId="15" fillId="0" borderId="0" xfId="0" applyNumberFormat="1" applyFont="1" applyAlignment="1">
      <alignment horizontal="centerContinuous"/>
    </xf>
    <xf numFmtId="0" fontId="5" fillId="0" borderId="0" xfId="0" applyFont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5" fillId="0" borderId="5" xfId="0" applyFont="1" applyBorder="1" applyAlignment="1">
      <alignment horizontal="centerContinuous"/>
    </xf>
    <xf numFmtId="0" fontId="9" fillId="0" borderId="5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10" fontId="12" fillId="0" borderId="0" xfId="0" applyNumberFormat="1" applyFont="1"/>
    <xf numFmtId="44" fontId="2" fillId="0" borderId="0" xfId="0" applyNumberFormat="1" applyFont="1" applyAlignment="1">
      <alignment horizontal="left"/>
    </xf>
    <xf numFmtId="2" fontId="9" fillId="0" borderId="0" xfId="0" applyNumberFormat="1" applyFont="1"/>
    <xf numFmtId="2" fontId="3" fillId="0" borderId="0" xfId="0" applyNumberFormat="1" applyFont="1"/>
    <xf numFmtId="2" fontId="9" fillId="0" borderId="0" xfId="0" applyNumberFormat="1" applyFont="1" applyAlignment="1">
      <alignment horizontal="center"/>
    </xf>
    <xf numFmtId="1" fontId="9" fillId="0" borderId="0" xfId="0" applyNumberFormat="1" applyFont="1" applyAlignment="1">
      <alignment horizontal="center"/>
    </xf>
    <xf numFmtId="1" fontId="9" fillId="0" borderId="0" xfId="0" applyNumberFormat="1" applyFont="1" applyAlignment="1">
      <alignment horizontal="right" wrapText="1"/>
    </xf>
    <xf numFmtId="1" fontId="9" fillId="0" borderId="0" xfId="0" applyNumberFormat="1" applyFont="1" applyAlignment="1">
      <alignment horizontal="right"/>
    </xf>
    <xf numFmtId="167" fontId="9" fillId="0" borderId="0" xfId="0" applyNumberFormat="1" applyFont="1" applyAlignment="1">
      <alignment horizontal="right" wrapText="1"/>
    </xf>
    <xf numFmtId="167" fontId="9" fillId="0" borderId="0" xfId="0" applyNumberFormat="1" applyFont="1" applyAlignment="1">
      <alignment horizontal="right"/>
    </xf>
    <xf numFmtId="164" fontId="12" fillId="0" borderId="0" xfId="0" applyNumberFormat="1" applyFont="1"/>
    <xf numFmtId="0" fontId="12" fillId="0" borderId="0" xfId="0" applyFont="1" applyAlignment="1">
      <alignment horizontal="right"/>
    </xf>
    <xf numFmtId="3" fontId="16" fillId="0" borderId="0" xfId="0" applyNumberFormat="1" applyFont="1"/>
    <xf numFmtId="1" fontId="16" fillId="0" borderId="0" xfId="0" applyNumberFormat="1" applyFont="1"/>
    <xf numFmtId="0" fontId="16" fillId="0" borderId="0" xfId="0" applyFont="1"/>
    <xf numFmtId="167" fontId="12" fillId="0" borderId="0" xfId="1" applyNumberFormat="1" applyFont="1"/>
    <xf numFmtId="0" fontId="17" fillId="0" borderId="0" xfId="0" applyFont="1"/>
    <xf numFmtId="0" fontId="18" fillId="2" borderId="0" xfId="0" applyFont="1" applyFill="1"/>
    <xf numFmtId="0" fontId="8" fillId="0" borderId="0" xfId="0" applyFont="1"/>
    <xf numFmtId="44" fontId="19" fillId="0" borderId="0" xfId="0" applyNumberFormat="1" applyFont="1" applyAlignment="1">
      <alignment horizontal="center"/>
    </xf>
    <xf numFmtId="10" fontId="12" fillId="0" borderId="0" xfId="1" applyNumberFormat="1" applyFont="1"/>
    <xf numFmtId="10" fontId="11" fillId="0" borderId="0" xfId="0" applyNumberFormat="1" applyFont="1" applyAlignment="1">
      <alignment horizontal="right" vertical="top"/>
    </xf>
    <xf numFmtId="164" fontId="9" fillId="0" borderId="0" xfId="0" applyNumberFormat="1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12" fillId="0" borderId="0" xfId="0" applyFont="1" applyAlignment="1">
      <alignment horizontal="center"/>
    </xf>
    <xf numFmtId="164" fontId="12" fillId="0" borderId="0" xfId="0" applyNumberFormat="1" applyFont="1" applyAlignment="1">
      <alignment horizontal="center"/>
    </xf>
    <xf numFmtId="49" fontId="17" fillId="0" borderId="0" xfId="0" applyNumberFormat="1" applyFont="1" applyAlignment="1">
      <alignment horizontal="center"/>
    </xf>
    <xf numFmtId="44" fontId="19" fillId="0" borderId="0" xfId="0" applyNumberFormat="1" applyFont="1" applyAlignment="1">
      <alignment horizontal="centerContinuous"/>
    </xf>
    <xf numFmtId="10" fontId="12" fillId="0" borderId="0" xfId="0" applyNumberFormat="1" applyFont="1" applyAlignment="1">
      <alignment horizontal="center"/>
    </xf>
    <xf numFmtId="0" fontId="17" fillId="0" borderId="14" xfId="2" applyFont="1" applyBorder="1"/>
    <xf numFmtId="44" fontId="17" fillId="0" borderId="0" xfId="0" applyNumberFormat="1" applyFont="1"/>
    <xf numFmtId="0" fontId="17" fillId="0" borderId="0" xfId="0" applyFont="1" applyAlignment="1">
      <alignment horizontal="left" indent="1"/>
    </xf>
    <xf numFmtId="0" fontId="12" fillId="0" borderId="0" xfId="0" applyFont="1" applyAlignment="1">
      <alignment horizontal="left" indent="1"/>
    </xf>
    <xf numFmtId="0" fontId="4" fillId="0" borderId="0" xfId="0" applyFont="1" applyAlignment="1">
      <alignment horizontal="left" indent="2"/>
    </xf>
    <xf numFmtId="10" fontId="22" fillId="5" borderId="0" xfId="1" applyNumberFormat="1" applyFont="1" applyFill="1"/>
    <xf numFmtId="3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2" fontId="6" fillId="6" borderId="0" xfId="0" applyNumberFormat="1" applyFont="1" applyFill="1" applyProtection="1">
      <protection locked="0"/>
    </xf>
    <xf numFmtId="10" fontId="6" fillId="6" borderId="0" xfId="0" applyNumberFormat="1" applyFont="1" applyFill="1" applyProtection="1">
      <protection locked="0"/>
    </xf>
    <xf numFmtId="3" fontId="6" fillId="6" borderId="0" xfId="0" applyNumberFormat="1" applyFont="1" applyFill="1" applyProtection="1">
      <protection locked="0"/>
    </xf>
    <xf numFmtId="164" fontId="6" fillId="6" borderId="0" xfId="0" applyNumberFormat="1" applyFont="1" applyFill="1" applyProtection="1">
      <protection locked="0"/>
    </xf>
    <xf numFmtId="0" fontId="11" fillId="7" borderId="2" xfId="0" applyFont="1" applyFill="1" applyBorder="1" applyAlignment="1" applyProtection="1">
      <alignment horizontal="center"/>
      <protection locked="0"/>
    </xf>
    <xf numFmtId="0" fontId="11" fillId="7" borderId="2" xfId="0" applyFont="1" applyFill="1" applyBorder="1" applyAlignment="1" applyProtection="1">
      <alignment horizontal="center" vertical="top"/>
      <protection locked="0"/>
    </xf>
    <xf numFmtId="10" fontId="12" fillId="0" borderId="0" xfId="1" applyNumberFormat="1" applyFont="1" applyAlignment="1">
      <alignment horizontal="center"/>
    </xf>
    <xf numFmtId="0" fontId="5" fillId="3" borderId="0" xfId="0" applyFont="1" applyFill="1" applyAlignment="1">
      <alignment horizontal="left" vertical="center"/>
    </xf>
    <xf numFmtId="10" fontId="10" fillId="0" borderId="0" xfId="0" applyNumberFormat="1" applyFont="1" applyAlignment="1">
      <alignment horizontal="center"/>
    </xf>
    <xf numFmtId="4" fontId="12" fillId="0" borderId="0" xfId="0" applyNumberFormat="1" applyFont="1"/>
    <xf numFmtId="0" fontId="21" fillId="0" borderId="0" xfId="0" applyFont="1"/>
    <xf numFmtId="167" fontId="7" fillId="0" borderId="0" xfId="0" applyNumberFormat="1" applyFont="1"/>
    <xf numFmtId="167" fontId="4" fillId="0" borderId="0" xfId="0" applyNumberFormat="1" applyFont="1"/>
    <xf numFmtId="44" fontId="10" fillId="0" borderId="0" xfId="0" applyNumberFormat="1" applyFont="1" applyAlignment="1">
      <alignment horizontal="centerContinuous" wrapText="1"/>
    </xf>
    <xf numFmtId="0" fontId="23" fillId="0" borderId="0" xfId="0" applyFont="1"/>
    <xf numFmtId="0" fontId="23" fillId="2" borderId="0" xfId="0" applyFont="1" applyFill="1"/>
    <xf numFmtId="0" fontId="12" fillId="0" borderId="5" xfId="0" applyFont="1" applyBorder="1" applyAlignment="1">
      <alignment horizontal="centerContinuous"/>
    </xf>
    <xf numFmtId="0" fontId="12" fillId="0" borderId="4" xfId="0" applyFont="1" applyBorder="1" applyAlignment="1">
      <alignment horizontal="centerContinuous"/>
    </xf>
    <xf numFmtId="0" fontId="12" fillId="0" borderId="3" xfId="0" applyFont="1" applyBorder="1" applyAlignment="1">
      <alignment horizontal="centerContinuous"/>
    </xf>
    <xf numFmtId="0" fontId="17" fillId="0" borderId="3" xfId="0" applyFont="1" applyBorder="1" applyAlignment="1">
      <alignment horizontal="centerContinuous"/>
    </xf>
    <xf numFmtId="0" fontId="12" fillId="0" borderId="9" xfId="0" applyFont="1" applyBorder="1" applyAlignment="1">
      <alignment horizontal="centerContinuous"/>
    </xf>
    <xf numFmtId="3" fontId="9" fillId="0" borderId="1" xfId="0" applyNumberFormat="1" applyFont="1" applyBorder="1"/>
    <xf numFmtId="3" fontId="9" fillId="0" borderId="11" xfId="0" applyNumberFormat="1" applyFont="1" applyBorder="1"/>
    <xf numFmtId="3" fontId="9" fillId="0" borderId="12" xfId="0" applyNumberFormat="1" applyFont="1" applyBorder="1"/>
    <xf numFmtId="3" fontId="9" fillId="0" borderId="7" xfId="0" applyNumberFormat="1" applyFont="1" applyBorder="1"/>
    <xf numFmtId="3" fontId="9" fillId="0" borderId="10" xfId="0" applyNumberFormat="1" applyFont="1" applyBorder="1"/>
    <xf numFmtId="3" fontId="9" fillId="0" borderId="6" xfId="0" applyNumberFormat="1" applyFont="1" applyBorder="1"/>
    <xf numFmtId="3" fontId="9" fillId="0" borderId="8" xfId="0" applyNumberFormat="1" applyFont="1" applyBorder="1"/>
    <xf numFmtId="10" fontId="7" fillId="0" borderId="0" xfId="0" applyNumberFormat="1" applyFont="1" applyAlignment="1">
      <alignment horizontal="right" vertical="top"/>
    </xf>
    <xf numFmtId="164" fontId="9" fillId="0" borderId="0" xfId="1" applyNumberFormat="1" applyFont="1" applyAlignment="1">
      <alignment horizontal="center" vertical="top"/>
    </xf>
    <xf numFmtId="10" fontId="9" fillId="0" borderId="0" xfId="1" applyNumberFormat="1" applyFont="1" applyAlignment="1">
      <alignment horizontal="center" vertical="top"/>
    </xf>
    <xf numFmtId="0" fontId="12" fillId="0" borderId="0" xfId="0" applyFont="1" applyAlignment="1">
      <alignment wrapText="1"/>
    </xf>
    <xf numFmtId="44" fontId="24" fillId="0" borderId="0" xfId="0" applyNumberFormat="1" applyFont="1" applyAlignment="1">
      <alignment horizontal="center"/>
    </xf>
    <xf numFmtId="2" fontId="12" fillId="0" borderId="0" xfId="0" applyNumberFormat="1" applyFont="1"/>
    <xf numFmtId="1" fontId="3" fillId="0" borderId="15" xfId="0" applyNumberFormat="1" applyFont="1" applyBorder="1" applyAlignment="1">
      <alignment horizontal="center"/>
    </xf>
    <xf numFmtId="3" fontId="11" fillId="0" borderId="0" xfId="0" applyNumberFormat="1" applyFont="1"/>
    <xf numFmtId="166" fontId="11" fillId="0" borderId="0" xfId="0" applyNumberFormat="1" applyFont="1"/>
    <xf numFmtId="4" fontId="11" fillId="0" borderId="0" xfId="0" applyNumberFormat="1" applyFont="1"/>
    <xf numFmtId="0" fontId="5" fillId="2" borderId="0" xfId="0" applyFont="1" applyFill="1"/>
    <xf numFmtId="166" fontId="11" fillId="0" borderId="0" xfId="2" applyNumberFormat="1" applyFont="1"/>
    <xf numFmtId="0" fontId="5" fillId="3" borderId="0" xfId="0" applyFont="1" applyFill="1" applyAlignment="1">
      <alignment horizontal="left" vertical="center"/>
    </xf>
    <xf numFmtId="2" fontId="7" fillId="0" borderId="0" xfId="0" applyNumberFormat="1" applyFont="1"/>
    <xf numFmtId="10" fontId="7" fillId="0" borderId="0" xfId="1" applyNumberFormat="1" applyFont="1"/>
    <xf numFmtId="2" fontId="9" fillId="0" borderId="1" xfId="0" applyNumberFormat="1" applyFont="1" applyBorder="1"/>
    <xf numFmtId="167" fontId="12" fillId="0" borderId="0" xfId="0" applyNumberFormat="1" applyFont="1"/>
    <xf numFmtId="170" fontId="12" fillId="0" borderId="0" xfId="0" applyNumberFormat="1" applyFont="1"/>
  </cellXfs>
  <cellStyles count="3">
    <cellStyle name="Normal" xfId="0" builtinId="0"/>
    <cellStyle name="Normal 2" xfId="2" xr:uid="{379C80D9-A0DA-1347-8626-9F6D9260304E}"/>
    <cellStyle name="Percent" xfId="1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4F81BD"/>
      <rgbColor rgb="FFC0C0C0"/>
      <rgbColor rgb="FF878787"/>
      <rgbColor rgb="FF8064A2"/>
      <rgbColor rgb="FFBE4B48"/>
      <rgbColor rgb="FFFFFACD"/>
      <rgbColor rgb="FFCCE5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4BACC6"/>
      <rgbColor rgb="FF98B855"/>
      <rgbColor rgb="FFFFCC00"/>
      <rgbColor rgb="FFF79646"/>
      <rgbColor rgb="FFFF6600"/>
      <rgbColor rgb="FF7D5FA0"/>
      <rgbColor rgb="FF9BBB59"/>
      <rgbColor rgb="FF003366"/>
      <rgbColor rgb="FF46AAC4"/>
      <rgbColor rgb="FF003300"/>
      <rgbColor rgb="FF333300"/>
      <rgbColor rgb="FF993300"/>
      <rgbColor rgb="FFC0504D"/>
      <rgbColor rgb="FF333399"/>
      <rgbColor rgb="FF59595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008000"/>
      <color rgb="FF011F5B"/>
      <color rgb="FF000FFF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frictionless: Moderate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'Model 1 - Inv &amp; GDP Paths'!$D$35</c:f>
              <c:strCache>
                <c:ptCount val="1"/>
                <c:pt idx="0">
                  <c:v> No friction / Moderate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BFB-4A73-92AE-7131855A3E20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FB-4A73-92AE-7131855A3E20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BFB-4A73-92AE-7131855A3E20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BFB-4A73-92AE-7131855A3E20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BFB-4A73-92AE-7131855A3E20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BFB-4A73-92AE-7131855A3E20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BFB-4A73-92AE-7131855A3E20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BFB-4A73-92AE-7131855A3E20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BFB-4A73-92AE-7131855A3E20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BFB-4A73-92AE-7131855A3E20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BFB-4A73-92AE-7131855A3E20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Paths'!$D$36:$D$46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3020.8216890792382</c:v>
                </c:pt>
                <c:pt idx="7">
                  <c:v>1170.0257347698096</c:v>
                </c:pt>
                <c:pt idx="8">
                  <c:v>-1167.4504732321755</c:v>
                </c:pt>
                <c:pt idx="9">
                  <c:v>585.65668276931365</c:v>
                </c:pt>
                <c:pt idx="10">
                  <c:v>585.65668276931331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FB-4A73-92AE-7131855A3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7-EBFB-4A73-92AE-7131855A3E2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FB-4A73-92AE-7131855A3E2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FB-4A73-92AE-7131855A3E2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FB-4A73-92AE-7131855A3E2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FB-4A73-92AE-7131855A3E20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FB-4A73-92AE-7131855A3E2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FB-4A73-92AE-7131855A3E20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frictionless: Transformative (a)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'Model 1 - Inv &amp; GDP Paths'!$E$35</c:f>
              <c:strCache>
                <c:ptCount val="1"/>
                <c:pt idx="0">
                  <c:v> No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79-4135-8413-CD31C9D7E48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79-4135-8413-CD31C9D7E48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79-4135-8413-CD31C9D7E48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79-4135-8413-CD31C9D7E48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79-4135-8413-CD31C9D7E48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79-4135-8413-CD31C9D7E48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79-4135-8413-CD31C9D7E48A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79-4135-8413-CD31C9D7E48A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79-4135-8413-CD31C9D7E48A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79-4135-8413-CD31C9D7E48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79-4135-8413-CD31C9D7E48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Paths'!$E$36:$E$46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3020.8216890792382</c:v>
                </c:pt>
                <c:pt idx="7">
                  <c:v>12770.021443246278</c:v>
                </c:pt>
                <c:pt idx="8">
                  <c:v>-4061.0664162217518</c:v>
                </c:pt>
                <c:pt idx="9">
                  <c:v>2037.2518923612572</c:v>
                </c:pt>
                <c:pt idx="10">
                  <c:v>2037.2518923612572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E379-4135-8413-CD31C9D7E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379-4135-8413-CD31C9D7E48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E379-4135-8413-CD31C9D7E48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E379-4135-8413-CD31C9D7E48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E379-4135-8413-CD31C9D7E48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E379-4135-8413-CD31C9D7E48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E379-4135-8413-CD31C9D7E48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E379-4135-8413-CD31C9D7E48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379-4135-8413-CD31C9D7E48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379-4135-8413-CD31C9D7E48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379-4135-8413-CD31C9D7E48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379-4135-8413-CD31C9D7E48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379-4135-8413-CD31C9D7E48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379-4135-8413-CD31C9D7E48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frictionless: Transformative (b)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'Model 1 - Inv &amp; GDP Paths'!$F$35</c:f>
              <c:strCache>
                <c:ptCount val="1"/>
                <c:pt idx="0">
                  <c:v> No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6A4-4187-9255-0454AFFADDE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6A4-4187-9255-0454AFFADDE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6A4-4187-9255-0454AFFADDE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6A4-4187-9255-0454AFFADDE8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6A4-4187-9255-0454AFFADDE8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6A4-4187-9255-0454AFFADD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6A4-4187-9255-0454AFFADD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6A4-4187-9255-0454AFFADD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6A4-4187-9255-0454AFFADD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6A4-4187-9255-0454AFFADD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F6A4-4187-9255-0454AFFADDE8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Paths'!$F$36:$F$46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3020.8216890792382</c:v>
                </c:pt>
                <c:pt idx="7">
                  <c:v>1170.0257347698096</c:v>
                </c:pt>
                <c:pt idx="8">
                  <c:v>4638.9303651356004</c:v>
                </c:pt>
                <c:pt idx="9">
                  <c:v>2037.2518923612572</c:v>
                </c:pt>
                <c:pt idx="10">
                  <c:v>2037.2518923612572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F6A4-4187-9255-0454AFFAD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F6A4-4187-9255-0454AFFADDE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F6A4-4187-9255-0454AFFADDE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F6A4-4187-9255-0454AFFADDE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F6A4-4187-9255-0454AFFADDE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F6A4-4187-9255-0454AFFADDE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F6A4-4187-9255-0454AFFADDE8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F6A4-4187-9255-0454AFFADDE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6A4-4187-9255-0454AFFADDE8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6A4-4187-9255-0454AFFADDE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6A4-4187-9255-0454AFFADDE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6A4-4187-9255-0454AFFADDE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6A4-4187-9255-0454AFFADDE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6A4-4187-9255-0454AFFADDE8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frictionless: Singularity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'Model 1 - Inv &amp; GDP Paths'!$G$35</c:f>
              <c:strCache>
                <c:ptCount val="1"/>
                <c:pt idx="0">
                  <c:v> No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5CF-4EF1-9B37-894F05D252A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CF-4EF1-9B37-894F05D252A8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5CF-4EF1-9B37-894F05D252A8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5CF-4EF1-9B37-894F05D252A8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5CF-4EF1-9B37-894F05D252A8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5CF-4EF1-9B37-894F05D252A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5CF-4EF1-9B37-894F05D252A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5CF-4EF1-9B37-894F05D252A8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85CF-4EF1-9B37-894F05D252A8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85CF-4EF1-9B37-894F05D252A8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85CF-4EF1-9B37-894F05D252A8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Paths'!$G$36:$G$46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3020.8216890792382</c:v>
                </c:pt>
                <c:pt idx="7">
                  <c:v>12770.021443246278</c:v>
                </c:pt>
                <c:pt idx="8">
                  <c:v>16136.876676991937</c:v>
                </c:pt>
                <c:pt idx="9">
                  <c:v>7086.7376656646793</c:v>
                </c:pt>
                <c:pt idx="10">
                  <c:v>7086.7376656646793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16-85CF-4EF1-9B37-894F05D25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85CF-4EF1-9B37-894F05D252A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85CF-4EF1-9B37-894F05D252A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85CF-4EF1-9B37-894F05D252A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85CF-4EF1-9B37-894F05D252A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85CF-4EF1-9B37-894F05D252A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85CF-4EF1-9B37-894F05D252A8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85CF-4EF1-9B37-894F05D252A8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5CF-4EF1-9B37-894F05D252A8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85CF-4EF1-9B37-894F05D252A8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85CF-4EF1-9B37-894F05D252A8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85CF-4EF1-9B37-894F05D252A8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85CF-4EF1-9B37-894F05D252A8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85CF-4EF1-9B37-894F05D252A8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5CF-4EF1-9B37-894F05D252A8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5CF-4EF1-9B37-894F05D252A8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5CF-4EF1-9B37-894F05D252A8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5CF-4EF1-9B37-894F05D252A8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5CF-4EF1-9B37-894F05D252A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5CF-4EF1-9B37-894F05D252A8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20000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Moderate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1 - Inv &amp; GDP Paths'!$H$35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06-40C3-A1D1-674D2B8903E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06-40C3-A1D1-674D2B8903E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06-40C3-A1D1-674D2B8903E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06-40C3-A1D1-674D2B8903E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06-40C3-A1D1-674D2B8903E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06-40C3-A1D1-674D2B8903EA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06-40C3-A1D1-674D2B8903EA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906-40C3-A1D1-674D2B8903EA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06-40C3-A1D1-674D2B8903EA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906-40C3-A1D1-674D2B8903EA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906-40C3-A1D1-674D2B8903E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Paths'!$H$36:$H$46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1375.6697296930793</c:v>
                </c:pt>
                <c:pt idx="7">
                  <c:v>1307.1217313853228</c:v>
                </c:pt>
                <c:pt idx="8">
                  <c:v>482.26432984615673</c:v>
                </c:pt>
                <c:pt idx="9">
                  <c:v>516.728447487209</c:v>
                </c:pt>
                <c:pt idx="10">
                  <c:v>539.70452591457706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906-40C3-A1D1-674D2B890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6906-40C3-A1D1-674D2B8903E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6906-40C3-A1D1-674D2B8903E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6906-40C3-A1D1-674D2B8903E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6906-40C3-A1D1-674D2B8903E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6906-40C3-A1D1-674D2B8903E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6906-40C3-A1D1-674D2B8903E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6906-40C3-A1D1-674D2B8903E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906-40C3-A1D1-674D2B8903E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906-40C3-A1D1-674D2B8903E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906-40C3-A1D1-674D2B8903E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906-40C3-A1D1-674D2B8903E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906-40C3-A1D1-674D2B8903E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906-40C3-A1D1-674D2B8903E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Transformative (a)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1 - Inv &amp; GDP Paths'!$I$35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08-441A-A3A8-21D8B0303563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908-441A-A3A8-21D8B0303563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908-441A-A3A8-21D8B0303563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908-441A-A3A8-21D8B0303563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908-441A-A3A8-21D8B0303563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908-441A-A3A8-21D8B030356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908-441A-A3A8-21D8B030356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908-441A-A3A8-21D8B030356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908-441A-A3A8-21D8B030356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908-441A-A3A8-21D8B030356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1908-441A-A3A8-21D8B0303563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Paths'!$I$36:$I$46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1375.6697296930793</c:v>
                </c:pt>
                <c:pt idx="7">
                  <c:v>5173.7869675441461</c:v>
                </c:pt>
                <c:pt idx="8">
                  <c:v>2095.5025062888467</c:v>
                </c:pt>
                <c:pt idx="9">
                  <c:v>2076.08563497965</c:v>
                </c:pt>
                <c:pt idx="10">
                  <c:v>2063.1410541068526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1908-441A-A3A8-21D8B0303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1908-441A-A3A8-21D8B0303563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1908-441A-A3A8-21D8B0303563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1908-441A-A3A8-21D8B0303563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1908-441A-A3A8-21D8B0303563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1908-441A-A3A8-21D8B0303563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1908-441A-A3A8-21D8B0303563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1908-441A-A3A8-21D8B030356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1908-441A-A3A8-21D8B0303563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1908-441A-A3A8-21D8B0303563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1908-441A-A3A8-21D8B0303563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1908-441A-A3A8-21D8B0303563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1908-441A-A3A8-21D8B0303563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1908-441A-A3A8-21D8B0303563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908-441A-A3A8-21D8B030356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908-441A-A3A8-21D8B030356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908-441A-A3A8-21D8B0303563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908-441A-A3A8-21D8B0303563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908-441A-A3A8-21D8B030356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908-441A-A3A8-21D8B0303563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Transformative (b)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1 - Inv &amp; GDP Paths'!$J$35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B0-4FFD-8C6E-8DB2470BEFD9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B0-4FFD-8C6E-8DB2470BEFD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3B0-4FFD-8C6E-8DB2470BEFD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3B0-4FFD-8C6E-8DB2470BEFD9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3B0-4FFD-8C6E-8DB2470BEFD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3B0-4FFD-8C6E-8DB2470BEFD9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3B0-4FFD-8C6E-8DB2470BEFD9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3B0-4FFD-8C6E-8DB2470BEFD9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3B0-4FFD-8C6E-8DB2470BEFD9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3B0-4FFD-8C6E-8DB2470BEFD9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3B0-4FFD-8C6E-8DB2470BEFD9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Paths'!$J$36:$J$46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1375.6697296930793</c:v>
                </c:pt>
                <c:pt idx="7">
                  <c:v>1307.1217313853228</c:v>
                </c:pt>
                <c:pt idx="8">
                  <c:v>2417.7246093020822</c:v>
                </c:pt>
                <c:pt idx="9">
                  <c:v>2290.9003703218068</c:v>
                </c:pt>
                <c:pt idx="10">
                  <c:v>2206.3508776682902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63B0-4FFD-8C6E-8DB2470BE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63B0-4FFD-8C6E-8DB2470BEFD9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63B0-4FFD-8C6E-8DB2470BEFD9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63B0-4FFD-8C6E-8DB2470BEFD9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63B0-4FFD-8C6E-8DB2470BEFD9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63B0-4FFD-8C6E-8DB2470BEFD9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63B0-4FFD-8C6E-8DB2470BEFD9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63B0-4FFD-8C6E-8DB2470BEFD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3B0-4FFD-8C6E-8DB2470BEFD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63B0-4FFD-8C6E-8DB2470BEFD9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63B0-4FFD-8C6E-8DB2470BEFD9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63B0-4FFD-8C6E-8DB2470BEFD9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C-63B0-4FFD-8C6E-8DB2470BEFD9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63B0-4FFD-8C6E-8DB2470BEFD9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63B0-4FFD-8C6E-8DB2470BEFD9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3B0-4FFD-8C6E-8DB2470BEFD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3B0-4FFD-8C6E-8DB2470BEFD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3B0-4FFD-8C6E-8DB2470BEFD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3B0-4FFD-8C6E-8DB2470BEFD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3B0-4FFD-8C6E-8DB2470BEFD9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Singularity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1 - Inv &amp; GDP Paths'!$K$35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F8-4E53-AC98-C997A6ED2A6A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F8-4E53-AC98-C997A6ED2A6A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F8-4E53-AC98-C997A6ED2A6A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8F8-4E53-AC98-C997A6ED2A6A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F8-4E53-AC98-C997A6ED2A6A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F8-4E53-AC98-C997A6ED2A6A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8F8-4E53-AC98-C997A6ED2A6A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8F8-4E53-AC98-C997A6ED2A6A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8F8-4E53-AC98-C997A6ED2A6A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8F8-4E53-AC98-C997A6ED2A6A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8F8-4E53-AC98-C997A6ED2A6A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Paths'!$K$36:$K$46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1375.6697296930793</c:v>
                </c:pt>
                <c:pt idx="7">
                  <c:v>5173.7869675441461</c:v>
                </c:pt>
                <c:pt idx="8">
                  <c:v>8828.1502040267442</c:v>
                </c:pt>
                <c:pt idx="9">
                  <c:v>8247.6793579060541</c:v>
                </c:pt>
                <c:pt idx="10">
                  <c:v>7860.698793825597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6-A8F8-4E53-AC98-C997A6ED2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E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0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22-A8F8-4E53-AC98-C997A6ED2A6A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23-A8F8-4E53-AC98-C997A6ED2A6A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7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A8F8-4E53-AC98-C997A6ED2A6A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8F8-4E53-AC98-C997A6ED2A6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8F8-4E53-AC98-C997A6ED2A6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8F8-4E53-AC98-C997A6ED2A6A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8F8-4E53-AC98-C997A6ED2A6A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8F8-4E53-AC98-C997A6ED2A6A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8F8-4E53-AC98-C997A6ED2A6A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8F8-4E53-AC98-C997A6ED2A6A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8F8-4E53-AC98-C997A6ED2A6A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8F8-4E53-AC98-C997A6ED2A6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8F8-4E53-AC98-C997A6ED2A6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8F8-4E53-AC98-C997A6ED2A6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8F8-4E53-AC98-C997A6ED2A6A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Cumulative GDP level gain: frictionless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'Model 1 - Inv &amp; GDP Paths'!$D$50</c:f>
              <c:strCache>
                <c:ptCount val="1"/>
                <c:pt idx="0">
                  <c:v> No friction /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Paths'!$D$51:$D$61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4.08541082337599E-2</c:v>
                </c:pt>
                <c:pt idx="3">
                  <c:v>4.393348537154762E-2</c:v>
                </c:pt>
                <c:pt idx="4">
                  <c:v>5.1404204942523402E-2</c:v>
                </c:pt>
                <c:pt idx="5">
                  <c:v>6.4986888741632942E-2</c:v>
                </c:pt>
                <c:pt idx="6">
                  <c:v>7.843665145505474E-2</c:v>
                </c:pt>
                <c:pt idx="7">
                  <c:v>0.10966770922384672</c:v>
                </c:pt>
                <c:pt idx="8">
                  <c:v>0.10966770922384672</c:v>
                </c:pt>
                <c:pt idx="9">
                  <c:v>8.0555928173807745E-2</c:v>
                </c:pt>
                <c:pt idx="10">
                  <c:v>8.0555928173807745E-2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3-4CCE-AEE7-9F527160253E}"/>
            </c:ext>
          </c:extLst>
        </c:ser>
        <c:ser>
          <c:idx val="2"/>
          <c:order val="2"/>
          <c:tx>
            <c:strRef>
              <c:f>'Model 1 - Inv &amp; GDP Paths'!$E$50</c:f>
              <c:strCache>
                <c:ptCount val="1"/>
                <c:pt idx="0">
                  <c:v> No friction / Trans-a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Paths'!$E$51:$E$61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4.08541082337599E-2</c:v>
                </c:pt>
                <c:pt idx="3">
                  <c:v>4.393348537154762E-2</c:v>
                </c:pt>
                <c:pt idx="4">
                  <c:v>5.1404204942523402E-2</c:v>
                </c:pt>
                <c:pt idx="5">
                  <c:v>6.4986888741632942E-2</c:v>
                </c:pt>
                <c:pt idx="6">
                  <c:v>7.843665145505474E-2</c:v>
                </c:pt>
                <c:pt idx="7">
                  <c:v>0.29278207928576627</c:v>
                </c:pt>
                <c:pt idx="8">
                  <c:v>0.45992422723195414</c:v>
                </c:pt>
                <c:pt idx="9">
                  <c:v>0.35865665396060153</c:v>
                </c:pt>
                <c:pt idx="10">
                  <c:v>0.35865665396060153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3-4CCE-AEE7-9F527160253E}"/>
            </c:ext>
          </c:extLst>
        </c:ser>
        <c:ser>
          <c:idx val="3"/>
          <c:order val="3"/>
          <c:tx>
            <c:strRef>
              <c:f>'Model 1 - Inv &amp; GDP Paths'!$F$50</c:f>
              <c:strCache>
                <c:ptCount val="1"/>
                <c:pt idx="0">
                  <c:v> No friction / Trans-b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Paths'!$F$51:$F$61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4.08541082337599E-2</c:v>
                </c:pt>
                <c:pt idx="3">
                  <c:v>4.393348537154762E-2</c:v>
                </c:pt>
                <c:pt idx="4">
                  <c:v>5.1404204942523402E-2</c:v>
                </c:pt>
                <c:pt idx="5">
                  <c:v>6.4986888741632942E-2</c:v>
                </c:pt>
                <c:pt idx="6">
                  <c:v>7.843665145505474E-2</c:v>
                </c:pt>
                <c:pt idx="7">
                  <c:v>0.10966770922384672</c:v>
                </c:pt>
                <c:pt idx="8">
                  <c:v>0.29278207928576627</c:v>
                </c:pt>
                <c:pt idx="9">
                  <c:v>0.35865665396060153</c:v>
                </c:pt>
                <c:pt idx="10">
                  <c:v>0.35865665396060153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3-4CCE-AEE7-9F527160253E}"/>
            </c:ext>
          </c:extLst>
        </c:ser>
        <c:ser>
          <c:idx val="4"/>
          <c:order val="4"/>
          <c:tx>
            <c:strRef>
              <c:f>'Model 1 - Inv &amp; GDP Paths'!$G$50</c:f>
              <c:strCache>
                <c:ptCount val="1"/>
                <c:pt idx="0">
                  <c:v> No friction /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Paths'!$G$51:$G$61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4.08541082337599E-2</c:v>
                </c:pt>
                <c:pt idx="3">
                  <c:v>4.393348537154762E-2</c:v>
                </c:pt>
                <c:pt idx="4">
                  <c:v>5.1404204942523402E-2</c:v>
                </c:pt>
                <c:pt idx="5">
                  <c:v>6.4986888741632942E-2</c:v>
                </c:pt>
                <c:pt idx="6">
                  <c:v>7.843665145505474E-2</c:v>
                </c:pt>
                <c:pt idx="7">
                  <c:v>0.29278207928576627</c:v>
                </c:pt>
                <c:pt idx="8">
                  <c:v>1.0969016713604756</c:v>
                </c:pt>
                <c:pt idx="9">
                  <c:v>1.3260514546092788</c:v>
                </c:pt>
                <c:pt idx="10">
                  <c:v>1.3260514546092788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3-4CCE-AEE7-9F5271602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920111"/>
        <c:axId val="1415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Paths'!$C$50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223-4CCE-AEE7-9F527160253E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Paths'!$H$50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Paths'!$H$51:$H$61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4.08541082337599E-2</c:v>
                      </c:pt>
                      <c:pt idx="3">
                        <c:v>4.393348537154762E-2</c:v>
                      </c:pt>
                      <c:pt idx="4">
                        <c:v>5.1404204942523402E-2</c:v>
                      </c:pt>
                      <c:pt idx="5">
                        <c:v>6.4986888741632942E-2</c:v>
                      </c:pt>
                      <c:pt idx="6">
                        <c:v>7.843665145505474E-2</c:v>
                      </c:pt>
                      <c:pt idx="7">
                        <c:v>9.066996077286138E-2</c:v>
                      </c:pt>
                      <c:pt idx="8">
                        <c:v>9.7633106695506955E-2</c:v>
                      </c:pt>
                      <c:pt idx="9">
                        <c:v>9.2454903428015767E-2</c:v>
                      </c:pt>
                      <c:pt idx="10">
                        <c:v>8.874704178399373E-2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223-4CCE-AEE7-9F52716025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Paths'!$I$50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Paths'!$I$51:$I$61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4.08541082337599E-2</c:v>
                      </c:pt>
                      <c:pt idx="3">
                        <c:v>4.393348537154762E-2</c:v>
                      </c:pt>
                      <c:pt idx="4">
                        <c:v>5.1404204942523402E-2</c:v>
                      </c:pt>
                      <c:pt idx="5">
                        <c:v>6.4986888741632942E-2</c:v>
                      </c:pt>
                      <c:pt idx="6">
                        <c:v>7.843665145505474E-2</c:v>
                      </c:pt>
                      <c:pt idx="7">
                        <c:v>0.2491670116158744</c:v>
                      </c:pt>
                      <c:pt idx="8">
                        <c:v>0.34716161215055696</c:v>
                      </c:pt>
                      <c:pt idx="9">
                        <c:v>0.35107027296178939</c:v>
                      </c:pt>
                      <c:pt idx="10">
                        <c:v>0.35363233500340896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223-4CCE-AEE7-9F527160253E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Paths'!$J$50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Paths'!$J$51:$J$61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4.08541082337599E-2</c:v>
                      </c:pt>
                      <c:pt idx="3">
                        <c:v>4.393348537154762E-2</c:v>
                      </c:pt>
                      <c:pt idx="4">
                        <c:v>5.1404204942523402E-2</c:v>
                      </c:pt>
                      <c:pt idx="5">
                        <c:v>6.4986888741632942E-2</c:v>
                      </c:pt>
                      <c:pt idx="6">
                        <c:v>7.843665145505474E-2</c:v>
                      </c:pt>
                      <c:pt idx="7">
                        <c:v>9.066996077286138E-2</c:v>
                      </c:pt>
                      <c:pt idx="8">
                        <c:v>0.26515301550444415</c:v>
                      </c:pt>
                      <c:pt idx="9">
                        <c:v>0.30232207003395328</c:v>
                      </c:pt>
                      <c:pt idx="10">
                        <c:v>0.32312340427320563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223-4CCE-AEE7-9F527160253E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Paths'!$K$50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Paths'!$K$51:$K$61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4.08541082337599E-2</c:v>
                      </c:pt>
                      <c:pt idx="3">
                        <c:v>4.393348537154762E-2</c:v>
                      </c:pt>
                      <c:pt idx="4">
                        <c:v>5.1404204942523402E-2</c:v>
                      </c:pt>
                      <c:pt idx="5">
                        <c:v>6.4986888741632942E-2</c:v>
                      </c:pt>
                      <c:pt idx="6">
                        <c:v>7.843665145505474E-2</c:v>
                      </c:pt>
                      <c:pt idx="7">
                        <c:v>0.2491670116158744</c:v>
                      </c:pt>
                      <c:pt idx="8">
                        <c:v>0.83802104136908317</c:v>
                      </c:pt>
                      <c:pt idx="9">
                        <c:v>1.0520620869601327</c:v>
                      </c:pt>
                      <c:pt idx="10">
                        <c:v>1.1577800158338247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223-4CCE-AEE7-9F527160253E}"/>
                  </c:ext>
                </c:extLst>
              </c15:ser>
            </c15:filteredLineSeries>
          </c:ext>
        </c:extLst>
      </c:lineChart>
      <c:catAx>
        <c:axId val="2103920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Cumulative GDP level gain: partial adjustment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'Model 1 - Inv &amp; GDP Paths'!$H$50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Paths'!$H$51:$H$61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4.08541082337599E-2</c:v>
                </c:pt>
                <c:pt idx="3">
                  <c:v>4.393348537154762E-2</c:v>
                </c:pt>
                <c:pt idx="4">
                  <c:v>5.1404204942523402E-2</c:v>
                </c:pt>
                <c:pt idx="5">
                  <c:v>6.4986888741632942E-2</c:v>
                </c:pt>
                <c:pt idx="6">
                  <c:v>7.843665145505474E-2</c:v>
                </c:pt>
                <c:pt idx="7">
                  <c:v>9.066996077286138E-2</c:v>
                </c:pt>
                <c:pt idx="8">
                  <c:v>9.7633106695506955E-2</c:v>
                </c:pt>
                <c:pt idx="9">
                  <c:v>9.2454903428015767E-2</c:v>
                </c:pt>
                <c:pt idx="10">
                  <c:v>8.874704178399373E-2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39-477E-BEBC-7836A6322999}"/>
            </c:ext>
          </c:extLst>
        </c:ser>
        <c:ser>
          <c:idx val="6"/>
          <c:order val="6"/>
          <c:tx>
            <c:strRef>
              <c:f>'Model 1 - Inv &amp; GDP Paths'!$I$50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Paths'!$I$51:$I$61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4.08541082337599E-2</c:v>
                </c:pt>
                <c:pt idx="3">
                  <c:v>4.393348537154762E-2</c:v>
                </c:pt>
                <c:pt idx="4">
                  <c:v>5.1404204942523402E-2</c:v>
                </c:pt>
                <c:pt idx="5">
                  <c:v>6.4986888741632942E-2</c:v>
                </c:pt>
                <c:pt idx="6">
                  <c:v>7.843665145505474E-2</c:v>
                </c:pt>
                <c:pt idx="7">
                  <c:v>0.2491670116158744</c:v>
                </c:pt>
                <c:pt idx="8">
                  <c:v>0.34716161215055696</c:v>
                </c:pt>
                <c:pt idx="9">
                  <c:v>0.35107027296178939</c:v>
                </c:pt>
                <c:pt idx="10">
                  <c:v>0.35363233500340896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39-477E-BEBC-7836A6322999}"/>
            </c:ext>
          </c:extLst>
        </c:ser>
        <c:ser>
          <c:idx val="7"/>
          <c:order val="7"/>
          <c:tx>
            <c:strRef>
              <c:f>'Model 1 - Inv &amp; GDP Paths'!$J$50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Paths'!$J$51:$J$61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4.08541082337599E-2</c:v>
                </c:pt>
                <c:pt idx="3">
                  <c:v>4.393348537154762E-2</c:v>
                </c:pt>
                <c:pt idx="4">
                  <c:v>5.1404204942523402E-2</c:v>
                </c:pt>
                <c:pt idx="5">
                  <c:v>6.4986888741632942E-2</c:v>
                </c:pt>
                <c:pt idx="6">
                  <c:v>7.843665145505474E-2</c:v>
                </c:pt>
                <c:pt idx="7">
                  <c:v>9.066996077286138E-2</c:v>
                </c:pt>
                <c:pt idx="8">
                  <c:v>0.26515301550444415</c:v>
                </c:pt>
                <c:pt idx="9">
                  <c:v>0.30232207003395328</c:v>
                </c:pt>
                <c:pt idx="10">
                  <c:v>0.32312340427320563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39-477E-BEBC-7836A6322999}"/>
            </c:ext>
          </c:extLst>
        </c:ser>
        <c:ser>
          <c:idx val="8"/>
          <c:order val="8"/>
          <c:tx>
            <c:strRef>
              <c:f>'Model 1 - Inv &amp; GDP Paths'!$K$50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Paths'!$C$51:$C$61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</c:numRef>
          </c:cat>
          <c:val>
            <c:numRef>
              <c:f>'Model 1 - Inv &amp; GDP Paths'!$K$51:$K$61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4.08541082337599E-2</c:v>
                </c:pt>
                <c:pt idx="3">
                  <c:v>4.393348537154762E-2</c:v>
                </c:pt>
                <c:pt idx="4">
                  <c:v>5.1404204942523402E-2</c:v>
                </c:pt>
                <c:pt idx="5">
                  <c:v>6.4986888741632942E-2</c:v>
                </c:pt>
                <c:pt idx="6">
                  <c:v>7.843665145505474E-2</c:v>
                </c:pt>
                <c:pt idx="7">
                  <c:v>0.2491670116158744</c:v>
                </c:pt>
                <c:pt idx="8">
                  <c:v>0.83802104136908317</c:v>
                </c:pt>
                <c:pt idx="9">
                  <c:v>1.0520620869601327</c:v>
                </c:pt>
                <c:pt idx="10">
                  <c:v>1.1577800158338247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39-477E-BEBC-7836A6322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3920111"/>
        <c:axId val="141581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Paths'!$C$50</c15:sqref>
                        </c15:formulaRef>
                      </c:ext>
                    </c:extLst>
                    <c:strCache>
                      <c:ptCount val="1"/>
                      <c:pt idx="0">
                        <c:v> Year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5A39-477E-BEBC-7836A632299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Paths'!$D$50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Paths'!$D$51:$D$61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4.08541082337599E-2</c:v>
                      </c:pt>
                      <c:pt idx="3">
                        <c:v>4.393348537154762E-2</c:v>
                      </c:pt>
                      <c:pt idx="4">
                        <c:v>5.1404204942523402E-2</c:v>
                      </c:pt>
                      <c:pt idx="5">
                        <c:v>6.4986888741632942E-2</c:v>
                      </c:pt>
                      <c:pt idx="6">
                        <c:v>7.843665145505474E-2</c:v>
                      </c:pt>
                      <c:pt idx="7">
                        <c:v>0.10966770922384672</c:v>
                      </c:pt>
                      <c:pt idx="8">
                        <c:v>0.10966770922384672</c:v>
                      </c:pt>
                      <c:pt idx="9">
                        <c:v>8.0555928173807745E-2</c:v>
                      </c:pt>
                      <c:pt idx="10">
                        <c:v>8.0555928173807745E-2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A39-477E-BEBC-7836A632299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Paths'!$E$50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Paths'!$E$51:$E$61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4.08541082337599E-2</c:v>
                      </c:pt>
                      <c:pt idx="3">
                        <c:v>4.393348537154762E-2</c:v>
                      </c:pt>
                      <c:pt idx="4">
                        <c:v>5.1404204942523402E-2</c:v>
                      </c:pt>
                      <c:pt idx="5">
                        <c:v>6.4986888741632942E-2</c:v>
                      </c:pt>
                      <c:pt idx="6">
                        <c:v>7.843665145505474E-2</c:v>
                      </c:pt>
                      <c:pt idx="7">
                        <c:v>0.29278207928576627</c:v>
                      </c:pt>
                      <c:pt idx="8">
                        <c:v>0.45992422723195414</c:v>
                      </c:pt>
                      <c:pt idx="9">
                        <c:v>0.35865665396060153</c:v>
                      </c:pt>
                      <c:pt idx="10">
                        <c:v>0.35865665396060153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A39-477E-BEBC-7836A632299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Paths'!$F$50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Paths'!$F$51:$F$61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4.08541082337599E-2</c:v>
                      </c:pt>
                      <c:pt idx="3">
                        <c:v>4.393348537154762E-2</c:v>
                      </c:pt>
                      <c:pt idx="4">
                        <c:v>5.1404204942523402E-2</c:v>
                      </c:pt>
                      <c:pt idx="5">
                        <c:v>6.4986888741632942E-2</c:v>
                      </c:pt>
                      <c:pt idx="6">
                        <c:v>7.843665145505474E-2</c:v>
                      </c:pt>
                      <c:pt idx="7">
                        <c:v>0.10966770922384672</c:v>
                      </c:pt>
                      <c:pt idx="8">
                        <c:v>0.29278207928576627</c:v>
                      </c:pt>
                      <c:pt idx="9">
                        <c:v>0.35865665396060153</c:v>
                      </c:pt>
                      <c:pt idx="10">
                        <c:v>0.35865665396060153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A39-477E-BEBC-7836A632299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Paths'!$G$50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Paths'!$C$51:$C$61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Paths'!$G$51:$G$61</c15:sqref>
                        </c15:formulaRef>
                      </c:ext>
                    </c:extLst>
                    <c:numCache>
                      <c:formatCode>0.0%</c:formatCode>
                      <c:ptCount val="11"/>
                      <c:pt idx="0">
                        <c:v>0</c:v>
                      </c:pt>
                      <c:pt idx="1">
                        <c:v>0</c:v>
                      </c:pt>
                      <c:pt idx="2">
                        <c:v>4.08541082337599E-2</c:v>
                      </c:pt>
                      <c:pt idx="3">
                        <c:v>4.393348537154762E-2</c:v>
                      </c:pt>
                      <c:pt idx="4">
                        <c:v>5.1404204942523402E-2</c:v>
                      </c:pt>
                      <c:pt idx="5">
                        <c:v>6.4986888741632942E-2</c:v>
                      </c:pt>
                      <c:pt idx="6">
                        <c:v>7.843665145505474E-2</c:v>
                      </c:pt>
                      <c:pt idx="7">
                        <c:v>0.29278207928576627</c:v>
                      </c:pt>
                      <c:pt idx="8">
                        <c:v>1.0969016713604756</c:v>
                      </c:pt>
                      <c:pt idx="9">
                        <c:v>1.3260514546092788</c:v>
                      </c:pt>
                      <c:pt idx="10">
                        <c:v>1.3260514546092788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A39-477E-BEBC-7836A6322999}"/>
                  </c:ext>
                </c:extLst>
              </c15:ser>
            </c15:filteredLineSeries>
          </c:ext>
        </c:extLst>
      </c:lineChart>
      <c:catAx>
        <c:axId val="2103920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Post-window AI share of output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1"/>
          <c:tx>
            <c:strRef>
              <c:f>'Model 1 - Inv &amp; GDP Paths'!$C$85</c:f>
              <c:strCache>
                <c:ptCount val="1"/>
                <c:pt idx="0">
                  <c:v>Moderate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Paths'!$D$85:$I$85</c15:sqref>
                  </c15:fullRef>
                </c:ext>
              </c:extLst>
              <c:f>'Model 1 - Inv &amp; GDP Paths'!$I$85</c:f>
              <c:numCache>
                <c:formatCode>#,##0</c:formatCode>
                <c:ptCount val="1"/>
                <c:pt idx="0" formatCode="0.0%">
                  <c:v>0.10383707571385835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C-4C65-B011-58F2E983EDF1}"/>
            </c:ext>
          </c:extLst>
        </c:ser>
        <c:ser>
          <c:idx val="11"/>
          <c:order val="2"/>
          <c:tx>
            <c:strRef>
              <c:f>'Model 1 - Inv &amp; GDP Paths'!$C$86</c:f>
              <c:strCache>
                <c:ptCount val="1"/>
                <c:pt idx="0">
                  <c:v>Transformative-a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Paths'!$D$86:$I$86</c15:sqref>
                  </c15:fullRef>
                </c:ext>
              </c:extLst>
              <c:f>'Model 1 - Inv &amp; GDP Paths'!$I$86</c:f>
              <c:numCache>
                <c:formatCode>#,##0</c:formatCode>
                <c:ptCount val="1"/>
                <c:pt idx="0" formatCode="0.0%">
                  <c:v>0.28727088067163287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C-4C65-B011-58F2E983EDF1}"/>
            </c:ext>
          </c:extLst>
        </c:ser>
        <c:ser>
          <c:idx val="12"/>
          <c:order val="3"/>
          <c:tx>
            <c:strRef>
              <c:f>'Model 1 - Inv &amp; GDP Paths'!$C$87</c:f>
              <c:strCache>
                <c:ptCount val="1"/>
                <c:pt idx="0">
                  <c:v>Transformative-b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Paths'!$D$87:$I$87</c15:sqref>
                  </c15:fullRef>
                </c:ext>
              </c:extLst>
              <c:f>'Model 1 - Inv &amp; GDP Paths'!$I$87</c:f>
              <c:numCache>
                <c:formatCode>#,##0</c:formatCode>
                <c:ptCount val="1"/>
                <c:pt idx="0" formatCode="0.0%">
                  <c:v>0.28727088067163287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C-4C65-B011-58F2E983EDF1}"/>
            </c:ext>
          </c:extLst>
        </c:ser>
        <c:ser>
          <c:idx val="13"/>
          <c:order val="4"/>
          <c:tx>
            <c:strRef>
              <c:f>'Model 1 - Inv &amp; GDP Paths'!$C$88</c:f>
              <c:strCache>
                <c:ptCount val="1"/>
                <c:pt idx="0">
                  <c:v>Singularity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'Model 1 - Inv &amp; GDP Paths'!$D$83:$I$83</c15:sqref>
                  </c15:fullRef>
                </c:ext>
              </c:extLst>
              <c:f>'Model 1 - Inv &amp; GDP Paths'!$I$83</c:f>
              <c:strCache>
                <c:ptCount val="1"/>
                <c:pt idx="0">
                  <c:v> Y_a/Y 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'Model 1 - Inv &amp; GDP Paths'!$D$88:$I$88</c15:sqref>
                  </c15:fullRef>
                </c:ext>
              </c:extLst>
              <c:f>'Model 1 - Inv &amp; GDP Paths'!$I$88</c:f>
              <c:numCache>
                <c:formatCode>#,##0</c:formatCode>
                <c:ptCount val="1"/>
                <c:pt idx="0" formatCode="0.0%">
                  <c:v>0.58369185749176533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C-4C65-B011-58F2E983E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3920111"/>
        <c:axId val="14158112"/>
        <c:extLst>
          <c:ext xmlns:c15="http://schemas.microsoft.com/office/drawing/2012/chart" uri="{02D57815-91ED-43cb-92C2-25804820EDAC}">
            <c15:filteredBarSeries>
              <c15:ser>
                <c:idx val="9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Paths'!$C$84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'Model 1 - Inv &amp; GDP Paths'!$D$83:$I$83</c15:sqref>
                        </c15:fullRef>
                        <c15:formulaRef>
                          <c15:sqref>'Model 1 - Inv &amp; GDP Paths'!$I$83</c15:sqref>
                        </c15:formulaRef>
                      </c:ext>
                    </c:extLst>
                    <c:strCache>
                      <c:ptCount val="1"/>
                      <c:pt idx="0">
                        <c:v> Y_a/Y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'Model 1 - Inv &amp; GDP Paths'!$D$84:$I$84</c15:sqref>
                        </c15:fullRef>
                        <c15:formulaRef>
                          <c15:sqref>'Model 1 - Inv &amp; GDP Paths'!$I$84</c15:sqref>
                        </c15:formulaRef>
                      </c:ext>
                    </c:extLst>
                    <c:numCache>
                      <c:formatCode>#,##0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6FC-4C65-B011-58F2E983EDF1}"/>
                  </c:ext>
                </c:extLst>
              </c15:ser>
            </c15:filteredBarSeries>
          </c:ext>
        </c:extLst>
      </c:barChart>
      <c:catAx>
        <c:axId val="21039201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Scenario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8112"/>
        <c:crosses val="autoZero"/>
        <c:auto val="1"/>
        <c:lblAlgn val="ctr"/>
        <c:lblOffset val="100"/>
        <c:noMultiLvlLbl val="0"/>
      </c:catAx>
      <c:valAx>
        <c:axId val="141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AI share of output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20111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rgbClr val="D9D9D9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Long-run cumulative GDP level gain (expected)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Paths'!$F$433:$F$460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0.09066996077286138</c:v>
                </c:pt>
                <c:pt idx="7">
                  <c:v>0.09763310669550694</c:v>
                </c:pt>
                <c:pt idx="8">
                  <c:v>0.09727920291774203</c:v>
                </c:pt>
                <c:pt idx="9">
                  <c:v>0.09989267600507613</c:v>
                </c:pt>
                <c:pt idx="10">
                  <c:v>0.1048602428399464</c:v>
                </c:pt>
                <c:pt idx="11">
                  <c:v>0.11172026084267851</c:v>
                </c:pt>
                <c:pt idx="12">
                  <c:v>0.12014845405099357</c:v>
                </c:pt>
                <c:pt idx="13">
                  <c:v>0.12992953780844396</c:v>
                </c:pt>
                <c:pt idx="14">
                  <c:v>0.14093181170944125</c:v>
                </c:pt>
                <c:pt idx="15">
                  <c:v>0.1530859192440597</c:v>
                </c:pt>
                <c:pt idx="16">
                  <c:v>0.16636827506387633</c:v>
                </c:pt>
                <c:pt idx="17">
                  <c:v>0.1807888341508188</c:v>
                </c:pt>
                <c:pt idx="18">
                  <c:v>0.19638243793208193</c:v>
                </c:pt>
                <c:pt idx="19">
                  <c:v>0.21320289432634207</c:v>
                </c:pt>
                <c:pt idx="20">
                  <c:v>0.23131905346475237</c:v>
                </c:pt>
                <c:pt idx="21">
                  <c:v>0.25081230060339144</c:v>
                </c:pt>
                <c:pt idx="22">
                  <c:v>0.2717750404263928</c:v>
                </c:pt>
                <c:pt idx="23">
                  <c:v>0.2943098710293937</c:v>
                </c:pt>
                <c:pt idx="24">
                  <c:v>0.3185292390039708</c:v>
                </c:pt>
                <c:pt idx="25">
                  <c:v>0.34455543389848137</c:v>
                </c:pt>
                <c:pt idx="26">
                  <c:v>0.37252082708078627</c:v>
                </c:pt>
                <c:pt idx="27">
                  <c:v>0.4025682922115118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3-4B39-8AD9-57C109D7A59D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Paths'!$I$433:$I$460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0.2491670116158744</c:v>
                </c:pt>
                <c:pt idx="7">
                  <c:v>0.34716161215055696</c:v>
                </c:pt>
                <c:pt idx="8">
                  <c:v>0.3659480013457142</c:v>
                </c:pt>
                <c:pt idx="9">
                  <c:v>0.3904979582945276</c:v>
                </c:pt>
                <c:pt idx="10">
                  <c:v>0.41892315462994567</c:v>
                </c:pt>
                <c:pt idx="11">
                  <c:v>0.45058383737370394</c:v>
                </c:pt>
                <c:pt idx="12">
                  <c:v>0.4852643719436187</c:v>
                </c:pt>
                <c:pt idx="13">
                  <c:v>0.522936699148621</c:v>
                </c:pt>
                <c:pt idx="14">
                  <c:v>0.5636734364166667</c:v>
                </c:pt>
                <c:pt idx="15">
                  <c:v>0.607609728260776</c:v>
                </c:pt>
                <c:pt idx="16">
                  <c:v>0.6549245718724231</c:v>
                </c:pt>
                <c:pt idx="17">
                  <c:v>0.7058311131372127</c:v>
                </c:pt>
                <c:pt idx="18">
                  <c:v>0.7605715446211047</c:v>
                </c:pt>
                <c:pt idx="19">
                  <c:v>0.8194145755703215</c:v>
                </c:pt>
                <c:pt idx="20">
                  <c:v>0.8826544444842556</c:v>
                </c:pt>
                <c:pt idx="21">
                  <c:v>0.9506109151458042</c:v>
                </c:pt>
                <c:pt idx="22">
                  <c:v>1.023629936459159</c:v>
                </c:pt>
                <c:pt idx="23">
                  <c:v>1.1020847769426054</c:v>
                </c:pt>
                <c:pt idx="24">
                  <c:v>1.1863775199801125</c:v>
                </c:pt>
                <c:pt idx="25">
                  <c:v>1.276940851375403</c:v>
                </c:pt>
                <c:pt idx="26">
                  <c:v>1.3742400992077295</c:v>
                </c:pt>
                <c:pt idx="27">
                  <c:v>1.4787755043698727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03-4B39-8AD9-57C109D7A59D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Paths'!$L$433:$L$460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0.2491670116158744</c:v>
                </c:pt>
                <c:pt idx="7">
                  <c:v>0.8380210413690821</c:v>
                </c:pt>
                <c:pt idx="8">
                  <c:v>1.094190211831135</c:v>
                </c:pt>
                <c:pt idx="9">
                  <c:v>1.2781157235191374</c:v>
                </c:pt>
                <c:pt idx="10">
                  <c:v>1.4344475722077132</c:v>
                </c:pt>
                <c:pt idx="11">
                  <c:v>1.5800925310005984</c:v>
                </c:pt>
                <c:pt idx="12">
                  <c:v>1.723356635640443</c:v>
                </c:pt>
                <c:pt idx="13">
                  <c:v>1.8690692662639175</c:v>
                </c:pt>
                <c:pt idx="14">
                  <c:v>2.0203815034700705</c:v>
                </c:pt>
                <c:pt idx="15">
                  <c:v>2.179549665527728</c:v>
                </c:pt>
                <c:pt idx="16">
                  <c:v>2.3483290639809984</c:v>
                </c:pt>
                <c:pt idx="17">
                  <c:v>2.528192365165759</c:v>
                </c:pt>
                <c:pt idx="18">
                  <c:v>2.7204595293682625</c:v>
                </c:pt>
                <c:pt idx="19">
                  <c:v>2.926379351861364</c:v>
                </c:pt>
                <c:pt idx="20">
                  <c:v>3.147182925820551</c:v>
                </c:pt>
                <c:pt idx="21">
                  <c:v>3.3841201665117113</c:v>
                </c:pt>
                <c:pt idx="22">
                  <c:v>3.6384858741853447</c:v>
                </c:pt>
                <c:pt idx="23">
                  <c:v>3.9116392727520677</c:v>
                </c:pt>
                <c:pt idx="24">
                  <c:v>4.205019497221879</c:v>
                </c:pt>
                <c:pt idx="25">
                  <c:v>4.520158622285039</c:v>
                </c:pt>
                <c:pt idx="26">
                  <c:v>4.8586932780844165</c:v>
                </c:pt>
                <c:pt idx="27">
                  <c:v>5.2223755529576135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03-4B39-8AD9-57C109D7A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Risk-free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ERP'!$D$33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ERP'!$D$35:$D$40</c:f>
              <c:numCache>
                <c:formatCode>0.00%</c:formatCode>
                <c:ptCount val="6"/>
                <c:pt idx="0">
                  <c:v>3.8990872960193934E-2</c:v>
                </c:pt>
                <c:pt idx="1">
                  <c:v>3.7692866178037729E-2</c:v>
                </c:pt>
                <c:pt idx="2">
                  <c:v>3.6263500892810566E-2</c:v>
                </c:pt>
                <c:pt idx="3">
                  <c:v>3.4685998823678205E-2</c:v>
                </c:pt>
                <c:pt idx="4">
                  <c:v>3.2942222037019429E-2</c:v>
                </c:pt>
                <c:pt idx="5">
                  <c:v>3.1012821646448835E-2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4A-4074-A7D8-8BB63BBE0566}"/>
            </c:ext>
          </c:extLst>
        </c:ser>
        <c:ser>
          <c:idx val="1"/>
          <c:order val="1"/>
          <c:tx>
            <c:strRef>
              <c:f>'Model 2 - Riskfree and ERP'!$F$33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ERP'!$F$35:$F$40</c:f>
              <c:numCache>
                <c:formatCode>0.00%</c:formatCode>
                <c:ptCount val="6"/>
                <c:pt idx="0">
                  <c:v>4.1474305769771444E-2</c:v>
                </c:pt>
                <c:pt idx="1">
                  <c:v>3.9976409172369255E-2</c:v>
                </c:pt>
                <c:pt idx="2">
                  <c:v>3.8362839843922414E-2</c:v>
                </c:pt>
                <c:pt idx="3">
                  <c:v>3.6615651232820727E-2</c:v>
                </c:pt>
                <c:pt idx="4">
                  <c:v>3.4715614375910649E-2</c:v>
                </c:pt>
                <c:pt idx="5">
                  <c:v>3.2642363051865297E-2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4A-4074-A7D8-8BB63BBE0566}"/>
            </c:ext>
          </c:extLst>
        </c:ser>
        <c:ser>
          <c:idx val="2"/>
          <c:order val="2"/>
          <c:tx>
            <c:strRef>
              <c:f>'Model 2 - Riskfree and ERP'!$H$33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ERP'!$H$35:$H$40</c:f>
              <c:numCache>
                <c:formatCode>0.00%</c:formatCode>
                <c:ptCount val="6"/>
                <c:pt idx="0">
                  <c:v>4.5382803904628177E-2</c:v>
                </c:pt>
                <c:pt idx="1">
                  <c:v>4.2756168673598452E-2</c:v>
                </c:pt>
                <c:pt idx="2">
                  <c:v>4.0269561235141839E-2</c:v>
                </c:pt>
                <c:pt idx="3">
                  <c:v>3.7852569346005172E-2</c:v>
                </c:pt>
                <c:pt idx="4">
                  <c:v>3.5443339033502094E-2</c:v>
                </c:pt>
                <c:pt idx="5">
                  <c:v>3.2987152503738307E-2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4A-4074-A7D8-8BB63BBE0566}"/>
            </c:ext>
          </c:extLst>
        </c:ser>
        <c:ser>
          <c:idx val="3"/>
          <c:order val="3"/>
          <c:tx>
            <c:strRef>
              <c:f>'Model 2 - Riskfree and ERP'!$L$33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ERP'!$L$35:$L$40</c:f>
              <c:numCache>
                <c:formatCode>0.00%</c:formatCode>
                <c:ptCount val="6"/>
                <c:pt idx="0">
                  <c:v>5.6068540404935648E-2</c:v>
                </c:pt>
                <c:pt idx="1">
                  <c:v>4.5223682411141317E-2</c:v>
                </c:pt>
                <c:pt idx="2">
                  <c:v>3.9561571314436009E-2</c:v>
                </c:pt>
                <c:pt idx="3">
                  <c:v>3.6125972388570494E-2</c:v>
                </c:pt>
                <c:pt idx="4">
                  <c:v>3.3570091206667527E-2</c:v>
                </c:pt>
                <c:pt idx="5">
                  <c:v>3.1286430722735778E-2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4A-4074-A7D8-8BB63BBE0566}"/>
            </c:ext>
          </c:extLst>
        </c:ser>
        <c:ser>
          <c:idx val="4"/>
          <c:order val="4"/>
          <c:tx>
            <c:strRef>
              <c:f>'Model 2 - Riskfree and ERP'!$J$33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ERP'!$J$35:$J$40</c:f>
              <c:numCache>
                <c:formatCode>0.00%</c:formatCode>
                <c:ptCount val="6"/>
                <c:pt idx="0">
                  <c:v>5.0588724507854559E-2</c:v>
                </c:pt>
                <c:pt idx="1">
                  <c:v>4.4900423439532121E-2</c:v>
                </c:pt>
                <c:pt idx="2">
                  <c:v>4.0726722775749721E-2</c:v>
                </c:pt>
                <c:pt idx="3">
                  <c:v>3.7443668328034488E-2</c:v>
                </c:pt>
                <c:pt idx="4">
                  <c:v>3.4643738364612604E-2</c:v>
                </c:pt>
                <c:pt idx="5">
                  <c:v>3.2061781654775419E-2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4A-4074-A7D8-8BB63BBE0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Risk aversion (γ)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6.0000000000000012E-2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Annual rate (%)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Equity risk premium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ERP'!$D$33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ERP'!$E$35:$E$40</c:f>
              <c:numCache>
                <c:formatCode>0.00%</c:formatCode>
                <c:ptCount val="6"/>
                <c:pt idx="0">
                  <c:v>1.1819993323024418E-3</c:v>
                </c:pt>
                <c:pt idx="1">
                  <c:v>2.4800061144585341E-3</c:v>
                </c:pt>
                <c:pt idx="2">
                  <c:v>3.9093713996859059E-3</c:v>
                </c:pt>
                <c:pt idx="3">
                  <c:v>5.4868734688181342E-3</c:v>
                </c:pt>
                <c:pt idx="4">
                  <c:v>7.2306502554769841E-3</c:v>
                </c:pt>
                <c:pt idx="5">
                  <c:v>9.1600506460474997E-3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1-445A-802F-7BBEE970C54A}"/>
            </c:ext>
          </c:extLst>
        </c:ser>
        <c:ser>
          <c:idx val="1"/>
          <c:order val="1"/>
          <c:tx>
            <c:strRef>
              <c:f>'Model 2 - Riskfree and ERP'!$F$33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ERP'!$G$35:$G$40</c:f>
              <c:numCache>
                <c:formatCode>0.00%</c:formatCode>
                <c:ptCount val="6"/>
                <c:pt idx="0">
                  <c:v>1.3988237962039461E-3</c:v>
                </c:pt>
                <c:pt idx="1">
                  <c:v>2.8967203936061756E-3</c:v>
                </c:pt>
                <c:pt idx="2">
                  <c:v>4.5102897220532547E-3</c:v>
                </c:pt>
                <c:pt idx="3">
                  <c:v>6.2574783331547281E-3</c:v>
                </c:pt>
                <c:pt idx="4">
                  <c:v>8.1575151900647614E-3</c:v>
                </c:pt>
                <c:pt idx="5">
                  <c:v>1.0230766514110165E-2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F1-445A-802F-7BBEE970C54A}"/>
            </c:ext>
          </c:extLst>
        </c:ser>
        <c:ser>
          <c:idx val="2"/>
          <c:order val="2"/>
          <c:tx>
            <c:strRef>
              <c:f>'Model 2 - Riskfree and ERP'!$H$33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ERP'!$I$35:$I$40</c:f>
              <c:numCache>
                <c:formatCode>0.00%</c:formatCode>
                <c:ptCount val="6"/>
                <c:pt idx="0">
                  <c:v>2.8471917803246493E-3</c:v>
                </c:pt>
                <c:pt idx="1">
                  <c:v>5.4738270113544561E-3</c:v>
                </c:pt>
                <c:pt idx="2">
                  <c:v>7.9604344498111594E-3</c:v>
                </c:pt>
                <c:pt idx="3">
                  <c:v>1.0377426338947617E-2</c:v>
                </c:pt>
                <c:pt idx="4">
                  <c:v>1.2786656651450935E-2</c:v>
                </c:pt>
                <c:pt idx="5">
                  <c:v>1.5242843181214735E-2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F1-445A-802F-7BBEE970C54A}"/>
            </c:ext>
          </c:extLst>
        </c:ser>
        <c:ser>
          <c:idx val="3"/>
          <c:order val="3"/>
          <c:tx>
            <c:strRef>
              <c:f>'Model 2 - Riskfree and ERP'!$L$33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'Model 2 - Riskfree and ERP'!$M$35:$M$40</c:f>
              <c:numCache>
                <c:formatCode>0.00%</c:formatCode>
                <c:ptCount val="6"/>
                <c:pt idx="0">
                  <c:v>2.2241822099766745E-2</c:v>
                </c:pt>
                <c:pt idx="1">
                  <c:v>3.3086680093560916E-2</c:v>
                </c:pt>
                <c:pt idx="2">
                  <c:v>3.8748791190266342E-2</c:v>
                </c:pt>
                <c:pt idx="3">
                  <c:v>4.2184390116131565E-2</c:v>
                </c:pt>
                <c:pt idx="4">
                  <c:v>4.4740271298034762E-2</c:v>
                </c:pt>
                <c:pt idx="5">
                  <c:v>4.7023931781966469E-2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F1-445A-802F-7BBEE970C54A}"/>
            </c:ext>
          </c:extLst>
        </c:ser>
        <c:ser>
          <c:idx val="4"/>
          <c:order val="4"/>
          <c:tx>
            <c:strRef>
              <c:f>'Model 2 - Riskfree and ERP'!$J$33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ERP'!$K$35:$K$40</c:f>
              <c:numCache>
                <c:formatCode>0.00%</c:formatCode>
                <c:ptCount val="6"/>
                <c:pt idx="0">
                  <c:v>8.1408268141791411E-3</c:v>
                </c:pt>
                <c:pt idx="1">
                  <c:v>1.3829127882501419E-2</c:v>
                </c:pt>
                <c:pt idx="2">
                  <c:v>1.8002828546284086E-2</c:v>
                </c:pt>
                <c:pt idx="3">
                  <c:v>2.1285882993999083E-2</c:v>
                </c:pt>
                <c:pt idx="4">
                  <c:v>2.4085812957421158E-2</c:v>
                </c:pt>
                <c:pt idx="5">
                  <c:v>2.6667769667258125E-2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F1-445A-802F-7BBEE970C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Risk aversion (γ)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Annual rate (%)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AI capex by firm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'Capex Build'!$C$8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Build'!$D$8:$I$8</c:f>
              <c:numCache>
                <c:formatCode>#,##0</c:formatCode>
                <c:ptCount val="6"/>
                <c:pt idx="0">
                  <c:v>64</c:v>
                </c:pt>
                <c:pt idx="1">
                  <c:v>53</c:v>
                </c:pt>
                <c:pt idx="2">
                  <c:v>83</c:v>
                </c:pt>
                <c:pt idx="3">
                  <c:v>132</c:v>
                </c:pt>
                <c:pt idx="4">
                  <c:v>200</c:v>
                </c:pt>
                <c:pt idx="5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0-468B-B950-37894B3B1DCC}"/>
            </c:ext>
          </c:extLst>
        </c:ser>
        <c:ser>
          <c:idx val="1"/>
          <c:order val="1"/>
          <c:tx>
            <c:strRef>
              <c:f>'Capex Build'!$C$9</c:f>
              <c:strCache>
                <c:ptCount val="1"/>
                <c:pt idx="0">
                  <c:v>Alphabet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Build'!$D$9:$I$9</c:f>
              <c:numCache>
                <c:formatCode>#,##0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53</c:v>
                </c:pt>
                <c:pt idx="3">
                  <c:v>91</c:v>
                </c:pt>
                <c:pt idx="4">
                  <c:v>185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60-468B-B950-37894B3B1DCC}"/>
            </c:ext>
          </c:extLst>
        </c:ser>
        <c:ser>
          <c:idx val="2"/>
          <c:order val="2"/>
          <c:tx>
            <c:strRef>
              <c:f>'Capex Build'!$C$10</c:f>
              <c:strCache>
                <c:ptCount val="1"/>
                <c:pt idx="0">
                  <c:v>Microsoft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Build'!$D$10:$I$10</c:f>
              <c:numCache>
                <c:formatCode>#,##0</c:formatCode>
                <c:ptCount val="6"/>
                <c:pt idx="0">
                  <c:v>25</c:v>
                </c:pt>
                <c:pt idx="1">
                  <c:v>35</c:v>
                </c:pt>
                <c:pt idx="2">
                  <c:v>56</c:v>
                </c:pt>
                <c:pt idx="3">
                  <c:v>83</c:v>
                </c:pt>
                <c:pt idx="4">
                  <c:v>169</c:v>
                </c:pt>
                <c:pt idx="5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60-468B-B950-37894B3B1DCC}"/>
            </c:ext>
          </c:extLst>
        </c:ser>
        <c:ser>
          <c:idx val="3"/>
          <c:order val="3"/>
          <c:tx>
            <c:strRef>
              <c:f>'Capex Build'!$C$11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Build'!$D$11:$I$11</c:f>
              <c:numCache>
                <c:formatCode>#,##0</c:formatCode>
                <c:ptCount val="6"/>
                <c:pt idx="0">
                  <c:v>32</c:v>
                </c:pt>
                <c:pt idx="1">
                  <c:v>28</c:v>
                </c:pt>
                <c:pt idx="2">
                  <c:v>39</c:v>
                </c:pt>
                <c:pt idx="3">
                  <c:v>72</c:v>
                </c:pt>
                <c:pt idx="4">
                  <c:v>138</c:v>
                </c:pt>
                <c:pt idx="5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60-468B-B950-37894B3B1DCC}"/>
            </c:ext>
          </c:extLst>
        </c:ser>
        <c:ser>
          <c:idx val="4"/>
          <c:order val="4"/>
          <c:tx>
            <c:strRef>
              <c:f>'Capex Build'!$C$12</c:f>
              <c:strCache>
                <c:ptCount val="1"/>
                <c:pt idx="0">
                  <c:v>Oracle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Build'!$D$12:$I$12</c:f>
              <c:numCache>
                <c:formatCode>#,##0</c:formatCode>
                <c:ptCount val="6"/>
                <c:pt idx="0">
                  <c:v>7</c:v>
                </c:pt>
                <c:pt idx="1">
                  <c:v>7</c:v>
                </c:pt>
                <c:pt idx="2">
                  <c:v>11</c:v>
                </c:pt>
                <c:pt idx="3">
                  <c:v>35</c:v>
                </c:pt>
                <c:pt idx="4">
                  <c:v>92</c:v>
                </c:pt>
                <c:pt idx="5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60-468B-B950-37894B3B1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16934"/>
        <c:axId val="60545454"/>
      </c:barChart>
      <c:catAx>
        <c:axId val="142169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60545454"/>
        <c:crosses val="autoZero"/>
        <c:auto val="1"/>
        <c:lblAlgn val="ctr"/>
        <c:lblOffset val="100"/>
        <c:noMultiLvlLbl val="0"/>
      </c:catAx>
      <c:valAx>
        <c:axId val="60545454"/>
        <c:scaling>
          <c:orientation val="minMax"/>
        </c:scaling>
        <c:delete val="0"/>
        <c:axPos val="l"/>
        <c:majorGridlines>
          <c:spPr>
            <a:ln w="9360" cap="flat" cmpd="sng" algn="ctr">
              <a:solidFill>
                <a:srgbClr val="878787"/>
              </a:solidFill>
              <a:prstDash val="solid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Capex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14216934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uFillTx/>
              <a:latin typeface="Calibri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AI investment as a share of GDP and of private fixed investment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'Capex Build'!$C$23</c:f>
              <c:strCache>
                <c:ptCount val="1"/>
                <c:pt idx="0">
                  <c:v>Share of GDP 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'Capex Build'!$D$19:$I$19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Build'!$D$23:$I$23</c:f>
              <c:numCache>
                <c:formatCode>0.00%</c:formatCode>
                <c:ptCount val="6"/>
                <c:pt idx="0">
                  <c:v>6.0919540229885053E-3</c:v>
                </c:pt>
                <c:pt idx="1">
                  <c:v>5.5755395683453239E-3</c:v>
                </c:pt>
                <c:pt idx="2">
                  <c:v>8.2312925170068031E-3</c:v>
                </c:pt>
                <c:pt idx="3">
                  <c:v>1.3365695792880258E-2</c:v>
                </c:pt>
                <c:pt idx="4">
                  <c:v>2.4654088050314465E-2</c:v>
                </c:pt>
                <c:pt idx="5">
                  <c:v>3.3333333333333333E-2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ED8-849B-3A0B5362FD65}"/>
            </c:ext>
          </c:extLst>
        </c:ser>
        <c:ser>
          <c:idx val="4"/>
          <c:order val="1"/>
          <c:tx>
            <c:strRef>
              <c:f>'Capex Build'!$C$24</c:f>
              <c:strCache>
                <c:ptCount val="1"/>
                <c:pt idx="0">
                  <c:v>Share of gross private fixed investment (%)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'Capex Build'!$D$19:$I$19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Build'!$D$24:$I$24</c:f>
              <c:numCache>
                <c:formatCode>0.00%</c:formatCode>
                <c:ptCount val="6"/>
                <c:pt idx="0">
                  <c:v>3.3829787234042556E-2</c:v>
                </c:pt>
                <c:pt idx="1">
                  <c:v>3.1E-2</c:v>
                </c:pt>
                <c:pt idx="2">
                  <c:v>4.5660377358490566E-2</c:v>
                </c:pt>
                <c:pt idx="3">
                  <c:v>7.3749999999999996E-2</c:v>
                </c:pt>
                <c:pt idx="4">
                  <c:v>0.1375438596491228</c:v>
                </c:pt>
                <c:pt idx="5">
                  <c:v>0.18474576271186441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1-4ED8-849B-3A0B5362F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75830"/>
        <c:axId val="7081392"/>
        <c:extLst/>
      </c:lineChart>
      <c:catAx>
        <c:axId val="669758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1392"/>
        <c:crosses val="autoZero"/>
        <c:auto val="1"/>
        <c:lblAlgn val="ctr"/>
        <c:lblOffset val="100"/>
        <c:noMultiLvlLbl val="0"/>
      </c:catAx>
      <c:valAx>
        <c:axId val="70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583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Moderate: cumulative GDP level gain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'Model 1 - Inv &amp; GDP Paths'!$D$240</c:f>
              <c:strCache>
                <c:ptCount val="1"/>
                <c:pt idx="0">
                  <c:v> Moderate (P10) 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Paths'!$D$433:$D$460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0.09066996077286138</c:v>
                </c:pt>
                <c:pt idx="7">
                  <c:v>0.09763310669550694</c:v>
                </c:pt>
                <c:pt idx="8">
                  <c:v>0.09245490342801563</c:v>
                </c:pt>
                <c:pt idx="9">
                  <c:v>0.0887470417839938</c:v>
                </c:pt>
                <c:pt idx="10">
                  <c:v>0.08614227340738136</c:v>
                </c:pt>
                <c:pt idx="11">
                  <c:v>0.08433962968092233</c:v>
                </c:pt>
                <c:pt idx="12">
                  <c:v>0.08310601860555589</c:v>
                </c:pt>
                <c:pt idx="13">
                  <c:v>0.08226864275812476</c:v>
                </c:pt>
                <c:pt idx="14">
                  <c:v>0.08170347917736048</c:v>
                </c:pt>
                <c:pt idx="15">
                  <c:v>0.08132354967543728</c:v>
                </c:pt>
                <c:pt idx="16">
                  <c:v>0.08106883668198124</c:v>
                </c:pt>
                <c:pt idx="17">
                  <c:v>0.08089838636660479</c:v>
                </c:pt>
                <c:pt idx="18">
                  <c:v>0.08078446536030966</c:v>
                </c:pt>
                <c:pt idx="19">
                  <c:v>0.08070838957752882</c:v>
                </c:pt>
                <c:pt idx="20">
                  <c:v>0.0806576150980623</c:v>
                </c:pt>
                <c:pt idx="21">
                  <c:v>0.08062373992165142</c:v>
                </c:pt>
                <c:pt idx="22">
                  <c:v>0.08060114510889181</c:v>
                </c:pt>
                <c:pt idx="23">
                  <c:v>0.08058607684532204</c:v>
                </c:pt>
                <c:pt idx="24">
                  <c:v>0.08057602908798844</c:v>
                </c:pt>
                <c:pt idx="25">
                  <c:v>0.08056932958338846</c:v>
                </c:pt>
                <c:pt idx="26">
                  <c:v>0.08056486280253249</c:v>
                </c:pt>
                <c:pt idx="27">
                  <c:v>0.080561884751051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7-4034-B349-C0F494EC463C}"/>
            </c:ext>
          </c:extLst>
        </c:ser>
        <c:ser>
          <c:idx val="2"/>
          <c:order val="2"/>
          <c:tx>
            <c:v>10th-90th Percentile</c:v>
          </c:tx>
          <c:spPr>
            <a:solidFill>
              <a:schemeClr val="tx2">
                <a:lumMod val="60000"/>
                <a:lumOff val="40000"/>
                <a:alpha val="27000"/>
              </a:schemeClr>
            </a:solidFill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Paths'!$E$433:$E$460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0.15029419555973095</c:v>
                </c:pt>
                <c:pt idx="12">
                  <c:v>0.20406558648266054</c:v>
                </c:pt>
                <c:pt idx="13">
                  <c:v>0.232089273346911</c:v>
                </c:pt>
                <c:pt idx="14">
                  <c:v>0.24864179563822414</c:v>
                </c:pt>
                <c:pt idx="15">
                  <c:v>0.258941835424499</c:v>
                </c:pt>
                <c:pt idx="16">
                  <c:v>0.2655267656028885</c:v>
                </c:pt>
                <c:pt idx="17">
                  <c:v>0.27260859734730125</c:v>
                </c:pt>
                <c:pt idx="18">
                  <c:v>0.2744543299088206</c:v>
                </c:pt>
                <c:pt idx="19">
                  <c:v>0.2756763885248458</c:v>
                </c:pt>
                <c:pt idx="20">
                  <c:v>0.276487406998948</c:v>
                </c:pt>
                <c:pt idx="21">
                  <c:v>0.27738521964810514</c:v>
                </c:pt>
                <c:pt idx="22">
                  <c:v>0.27762395175032656</c:v>
                </c:pt>
                <c:pt idx="23">
                  <c:v>0.2778889537117052</c:v>
                </c:pt>
                <c:pt idx="24">
                  <c:v>0.27795956139184125</c:v>
                </c:pt>
                <c:pt idx="25">
                  <c:v>0.6106863091038672</c:v>
                </c:pt>
                <c:pt idx="26">
                  <c:v>0.9156984150183912</c:v>
                </c:pt>
                <c:pt idx="27">
                  <c:v>1.059569174528566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7-4034-B349-C0F494EC4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</c:areaChart>
      <c:lineChart>
        <c:grouping val="standard"/>
        <c:varyColors val="0"/>
        <c:ser>
          <c:idx val="3"/>
          <c:order val="3"/>
          <c:tx>
            <c:v>Mean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Paths'!$F$433:$F$460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0.09066996077286138</c:v>
                </c:pt>
                <c:pt idx="7">
                  <c:v>0.09763310669550694</c:v>
                </c:pt>
                <c:pt idx="8">
                  <c:v>0.09727920291774203</c:v>
                </c:pt>
                <c:pt idx="9">
                  <c:v>0.09989267600507613</c:v>
                </c:pt>
                <c:pt idx="10">
                  <c:v>0.1048602428399464</c:v>
                </c:pt>
                <c:pt idx="11">
                  <c:v>0.11172026084267851</c:v>
                </c:pt>
                <c:pt idx="12">
                  <c:v>0.12014845405099357</c:v>
                </c:pt>
                <c:pt idx="13">
                  <c:v>0.12992953780844396</c:v>
                </c:pt>
                <c:pt idx="14">
                  <c:v>0.14093181170944125</c:v>
                </c:pt>
                <c:pt idx="15">
                  <c:v>0.1530859192440597</c:v>
                </c:pt>
                <c:pt idx="16">
                  <c:v>0.16636827506387633</c:v>
                </c:pt>
                <c:pt idx="17">
                  <c:v>0.1807888341508188</c:v>
                </c:pt>
                <c:pt idx="18">
                  <c:v>0.19638243793208193</c:v>
                </c:pt>
                <c:pt idx="19">
                  <c:v>0.21320289432634207</c:v>
                </c:pt>
                <c:pt idx="20">
                  <c:v>0.23131905346475237</c:v>
                </c:pt>
                <c:pt idx="21">
                  <c:v>0.25081230060339144</c:v>
                </c:pt>
                <c:pt idx="22">
                  <c:v>0.2717750404263928</c:v>
                </c:pt>
                <c:pt idx="23">
                  <c:v>0.2943098710293937</c:v>
                </c:pt>
                <c:pt idx="24">
                  <c:v>0.3185292390039708</c:v>
                </c:pt>
                <c:pt idx="25">
                  <c:v>0.34455543389848137</c:v>
                </c:pt>
                <c:pt idx="26">
                  <c:v>0.37252082708078627</c:v>
                </c:pt>
                <c:pt idx="27">
                  <c:v>0.4025682922115118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7-4034-B349-C0F494EC4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 Year 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General</c:formatCode>
                    <c:ptCount val="28"/>
                    <c:pt idx="0">
                      <c:v>2023</c:v>
                    </c:pt>
                    <c:pt idx="1">
                      <c:v>2024</c:v>
                    </c:pt>
                    <c:pt idx="2">
                      <c:v>2025</c:v>
                    </c:pt>
                    <c:pt idx="3">
                      <c:v>2026</c:v>
                    </c:pt>
                    <c:pt idx="4">
                      <c:v>2027</c:v>
                    </c:pt>
                    <c:pt idx="5">
                      <c:v>2028</c:v>
                    </c:pt>
                    <c:pt idx="6">
                      <c:v>2029</c:v>
                    </c:pt>
                    <c:pt idx="7">
                      <c:v>2030</c:v>
                    </c:pt>
                    <c:pt idx="8">
                      <c:v>2031</c:v>
                    </c:pt>
                    <c:pt idx="9">
                      <c:v>2032</c:v>
                    </c:pt>
                    <c:pt idx="10">
                      <c:v>2033</c:v>
                    </c:pt>
                    <c:pt idx="11">
                      <c:v>2034</c:v>
                    </c:pt>
                    <c:pt idx="12">
                      <c:v>2035</c:v>
                    </c:pt>
                    <c:pt idx="13">
                      <c:v>2036</c:v>
                    </c:pt>
                    <c:pt idx="14">
                      <c:v>2037</c:v>
                    </c:pt>
                    <c:pt idx="15">
                      <c:v>2038</c:v>
                    </c:pt>
                    <c:pt idx="16">
                      <c:v>2039</c:v>
                    </c:pt>
                    <c:pt idx="17">
                      <c:v>2040</c:v>
                    </c:pt>
                    <c:pt idx="18">
                      <c:v>2041</c:v>
                    </c:pt>
                    <c:pt idx="19">
                      <c:v>2042</c:v>
                    </c:pt>
                    <c:pt idx="20">
                      <c:v>2043</c:v>
                    </c:pt>
                    <c:pt idx="21">
                      <c:v>2044</c:v>
                    </c:pt>
                    <c:pt idx="22">
                      <c:v>2045</c:v>
                    </c:pt>
                    <c:pt idx="23">
                      <c:v>2046</c:v>
                    </c:pt>
                    <c:pt idx="24">
                      <c:v>2047</c:v>
                    </c:pt>
                    <c:pt idx="25">
                      <c:v>2048</c:v>
                    </c:pt>
                    <c:pt idx="26">
                      <c:v>2049</c:v>
                    </c:pt>
                    <c:pt idx="27">
                      <c:v>2050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3-95F7-4034-B349-C0F494EC463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 Transformative (P10) 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0.19624318459765622</c:v>
                    </c:pt>
                    <c:pt idx="8">
                      <c:v>0.19624318459765622</c:v>
                    </c:pt>
                    <c:pt idx="9">
                      <c:v>0.19624318459765622</c:v>
                    </c:pt>
                    <c:pt idx="10">
                      <c:v>0.19624318459765622</c:v>
                    </c:pt>
                    <c:pt idx="11">
                      <c:v>0.19624318459765622</c:v>
                    </c:pt>
                    <c:pt idx="12">
                      <c:v>0.19624318459765622</c:v>
                    </c:pt>
                    <c:pt idx="13">
                      <c:v>0.19624318459765622</c:v>
                    </c:pt>
                    <c:pt idx="14">
                      <c:v>0.19624318459765622</c:v>
                    </c:pt>
                    <c:pt idx="15">
                      <c:v>0.19624318459765622</c:v>
                    </c:pt>
                    <c:pt idx="16">
                      <c:v>0.19624318459765622</c:v>
                    </c:pt>
                    <c:pt idx="17">
                      <c:v>0.19624318459765622</c:v>
                    </c:pt>
                    <c:pt idx="18">
                      <c:v>0.19624318459765622</c:v>
                    </c:pt>
                    <c:pt idx="19">
                      <c:v>0.19624318459765622</c:v>
                    </c:pt>
                    <c:pt idx="20">
                      <c:v>0.19624318459765622</c:v>
                    </c:pt>
                    <c:pt idx="21">
                      <c:v>0.19624318459765622</c:v>
                    </c:pt>
                    <c:pt idx="22">
                      <c:v>0.19624318459765622</c:v>
                    </c:pt>
                    <c:pt idx="23">
                      <c:v>0.19624318459765622</c:v>
                    </c:pt>
                    <c:pt idx="24">
                      <c:v>0.19624318459765622</c:v>
                    </c:pt>
                    <c:pt idx="25">
                      <c:v>0.19624318459765622</c:v>
                    </c:pt>
                    <c:pt idx="26">
                      <c:v>0.19624318459765622</c:v>
                    </c:pt>
                    <c:pt idx="27">
                      <c:v>0.19624318459765622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5F7-4034-B349-C0F494EC463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 Transformative (P90 - P10) 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0.38343869448169432</c:v>
                    </c:pt>
                    <c:pt idx="11">
                      <c:v>0.38343869448169432</c:v>
                    </c:pt>
                    <c:pt idx="12">
                      <c:v>0.38343869448169432</c:v>
                    </c:pt>
                    <c:pt idx="13">
                      <c:v>0.38343869448169432</c:v>
                    </c:pt>
                    <c:pt idx="14">
                      <c:v>0.38343869448169432</c:v>
                    </c:pt>
                    <c:pt idx="15">
                      <c:v>0.38343869448169432</c:v>
                    </c:pt>
                    <c:pt idx="16">
                      <c:v>0.38343869448169432</c:v>
                    </c:pt>
                    <c:pt idx="17">
                      <c:v>0.38343869448169432</c:v>
                    </c:pt>
                    <c:pt idx="18">
                      <c:v>0.38343869448169432</c:v>
                    </c:pt>
                    <c:pt idx="19">
                      <c:v>0.38343869448169432</c:v>
                    </c:pt>
                    <c:pt idx="20">
                      <c:v>0.38343869448169432</c:v>
                    </c:pt>
                    <c:pt idx="21">
                      <c:v>1.4143056731020653</c:v>
                    </c:pt>
                    <c:pt idx="22">
                      <c:v>1.4143056731020653</c:v>
                    </c:pt>
                    <c:pt idx="23">
                      <c:v>1.4143056731020653</c:v>
                    </c:pt>
                    <c:pt idx="24">
                      <c:v>1.4143056731020653</c:v>
                    </c:pt>
                    <c:pt idx="25">
                      <c:v>1.4143056731020653</c:v>
                    </c:pt>
                    <c:pt idx="26">
                      <c:v>1.4143056731020653</c:v>
                    </c:pt>
                    <c:pt idx="27">
                      <c:v>1.4143056731020653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5F7-4034-B349-C0F494EC463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 Transformative (Mean) </c:v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0.19624318459765622</c:v>
                    </c:pt>
                    <c:pt idx="8">
                      <c:v>0.21158073237692387</c:v>
                    </c:pt>
                    <c:pt idx="9">
                      <c:v>0.22795416541081348</c:v>
                    </c:pt>
                    <c:pt idx="10">
                      <c:v>0.24543344653016264</c:v>
                    </c:pt>
                    <c:pt idx="11">
                      <c:v>0.26409326379736964</c:v>
                    </c:pt>
                    <c:pt idx="12">
                      <c:v>0.28401334964461444</c:v>
                    </c:pt>
                    <c:pt idx="13">
                      <c:v>0.30527882156640862</c:v>
                    </c:pt>
                    <c:pt idx="14">
                      <c:v>0.3279805458222389</c:v>
                    </c:pt>
                    <c:pt idx="15">
                      <c:v>0.3522155257033841</c:v>
                    </c:pt>
                    <c:pt idx="16">
                      <c:v>0.37808731602295409</c:v>
                    </c:pt>
                    <c:pt idx="17">
                      <c:v>0.40570646560023627</c:v>
                    </c:pt>
                    <c:pt idx="18">
                      <c:v>0.43519098963007496</c:v>
                    </c:pt>
                    <c:pt idx="19">
                      <c:v>0.46666687395567963</c:v>
                    </c:pt>
                    <c:pt idx="20">
                      <c:v>0.50026861339960749</c:v>
                    </c:pt>
                    <c:pt idx="21">
                      <c:v>0.53613978645316696</c:v>
                    </c:pt>
                    <c:pt idx="22">
                      <c:v>0.57443366877987456</c:v>
                    </c:pt>
                    <c:pt idx="23">
                      <c:v>0.61531388815441668</c:v>
                    </c:pt>
                    <c:pt idx="24">
                      <c:v>0.65895512363565611</c:v>
                    </c:pt>
                    <c:pt idx="25">
                      <c:v>0.70554385196119562</c:v>
                    </c:pt>
                    <c:pt idx="26">
                      <c:v>0.75527914435281374</c:v>
                    </c:pt>
                    <c:pt idx="27">
                      <c:v>0.8083735171374804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5F7-4034-B349-C0F494EC463C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 Singularity (P10) </c:v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0.57968187907935054</c:v>
                    </c:pt>
                    <c:pt idx="8">
                      <c:v>0.57968187907935054</c:v>
                    </c:pt>
                    <c:pt idx="9">
                      <c:v>0.57968187907935054</c:v>
                    </c:pt>
                    <c:pt idx="10">
                      <c:v>0.57968187907935054</c:v>
                    </c:pt>
                    <c:pt idx="11">
                      <c:v>0.57968187907935054</c:v>
                    </c:pt>
                    <c:pt idx="12">
                      <c:v>0.57968187907935054</c:v>
                    </c:pt>
                    <c:pt idx="13">
                      <c:v>0.57968187907935054</c:v>
                    </c:pt>
                    <c:pt idx="14">
                      <c:v>0.57968187907935054</c:v>
                    </c:pt>
                    <c:pt idx="15">
                      <c:v>0.57968187907935054</c:v>
                    </c:pt>
                    <c:pt idx="16">
                      <c:v>0.57968187907935054</c:v>
                    </c:pt>
                    <c:pt idx="17">
                      <c:v>0.57968187907935054</c:v>
                    </c:pt>
                    <c:pt idx="18">
                      <c:v>0.57968187907935054</c:v>
                    </c:pt>
                    <c:pt idx="19">
                      <c:v>0.57968187907935054</c:v>
                    </c:pt>
                    <c:pt idx="20">
                      <c:v>0.57968187907935054</c:v>
                    </c:pt>
                    <c:pt idx="21">
                      <c:v>0.57968187907935054</c:v>
                    </c:pt>
                    <c:pt idx="22">
                      <c:v>0.57968187907935054</c:v>
                    </c:pt>
                    <c:pt idx="23">
                      <c:v>0.57968187907935054</c:v>
                    </c:pt>
                    <c:pt idx="24">
                      <c:v>0.57968187907935054</c:v>
                    </c:pt>
                    <c:pt idx="25">
                      <c:v>0.57968187907935054</c:v>
                    </c:pt>
                    <c:pt idx="26">
                      <c:v>0.57968187907935054</c:v>
                    </c:pt>
                    <c:pt idx="27">
                      <c:v>0.57968187907935054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5F7-4034-B349-C0F494EC463C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v> Singularity (P90 - P10) </c:v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1.030866978620371</c:v>
                    </c:pt>
                    <c:pt idx="11">
                      <c:v>1.030866978620371</c:v>
                    </c:pt>
                    <c:pt idx="12">
                      <c:v>1.030866978620371</c:v>
                    </c:pt>
                    <c:pt idx="13">
                      <c:v>1.030866978620371</c:v>
                    </c:pt>
                    <c:pt idx="14">
                      <c:v>1.030866978620371</c:v>
                    </c:pt>
                    <c:pt idx="15">
                      <c:v>1.030866978620371</c:v>
                    </c:pt>
                    <c:pt idx="16">
                      <c:v>1.030866978620371</c:v>
                    </c:pt>
                    <c:pt idx="17">
                      <c:v>1.030866978620371</c:v>
                    </c:pt>
                    <c:pt idx="18">
                      <c:v>1.030866978620371</c:v>
                    </c:pt>
                    <c:pt idx="19">
                      <c:v>1.030866978620371</c:v>
                    </c:pt>
                    <c:pt idx="20">
                      <c:v>1.030866978620371</c:v>
                    </c:pt>
                    <c:pt idx="21">
                      <c:v>3.8023314732154132</c:v>
                    </c:pt>
                    <c:pt idx="22">
                      <c:v>3.8023314732154132</c:v>
                    </c:pt>
                    <c:pt idx="23">
                      <c:v>3.8023314732154132</c:v>
                    </c:pt>
                    <c:pt idx="24">
                      <c:v>3.8023314732154132</c:v>
                    </c:pt>
                    <c:pt idx="25">
                      <c:v>3.8023314732154132</c:v>
                    </c:pt>
                    <c:pt idx="26">
                      <c:v>3.8023314732154132</c:v>
                    </c:pt>
                    <c:pt idx="27">
                      <c:v>3.8023314732154132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5F7-4034-B349-C0F494EC463C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v> Singularity (Mean) </c:v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0.57968187907935054</c:v>
                    </c:pt>
                    <c:pt idx="8">
                      <c:v>0.62091655822416536</c:v>
                    </c:pt>
                    <c:pt idx="9">
                      <c:v>0.66493619339453969</c:v>
                    </c:pt>
                    <c:pt idx="10">
                      <c:v>0.7119288782103379</c:v>
                    </c:pt>
                    <c:pt idx="11">
                      <c:v>0.76209540997848846</c:v>
                    </c:pt>
                    <c:pt idx="12">
                      <c:v>0.81565014768946797</c:v>
                    </c:pt>
                    <c:pt idx="13">
                      <c:v>0.87282192796216229</c:v>
                    </c:pt>
                    <c:pt idx="14">
                      <c:v>0.93385504285087784</c:v>
                    </c:pt>
                    <c:pt idx="15">
                      <c:v>0.99901028369263067</c:v>
                    </c:pt>
                    <c:pt idx="16">
                      <c:v>1.0685660554550132</c:v>
                    </c:pt>
                    <c:pt idx="17">
                      <c:v>1.1428195663461955</c:v>
                    </c:pt>
                    <c:pt idx="18">
                      <c:v>1.222088097770194</c:v>
                    </c:pt>
                    <c:pt idx="19">
                      <c:v>1.306710360053871</c:v>
                    </c:pt>
                    <c:pt idx="20">
                      <c:v>1.3970479397386053</c:v>
                    </c:pt>
                    <c:pt idx="21">
                      <c:v>1.4934868446208487</c:v>
                    </c:pt>
                    <c:pt idx="22">
                      <c:v>1.5964391531434337</c:v>
                    </c:pt>
                    <c:pt idx="23">
                      <c:v>1.7063447751854062</c:v>
                    </c:pt>
                    <c:pt idx="24">
                      <c:v>1.8236733317741405</c:v>
                    </c:pt>
                    <c:pt idx="25">
                      <c:v>1.9489261617516491</c:v>
                    </c:pt>
                    <c:pt idx="26">
                      <c:v>2.0826384639694835</c:v>
                    </c:pt>
                    <c:pt idx="27">
                      <c:v>2.2253815841656799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5F7-4034-B349-C0F494EC463C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Transformative: cumulative GDP level gain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4"/>
          <c:order val="4"/>
          <c:tx>
            <c:strRef>
              <c:f>'Model 1 - Inv &amp; GDP Paths'!$G$240</c:f>
              <c:strCache>
                <c:ptCount val="1"/>
                <c:pt idx="0">
                  <c:v> Transformative (P10) 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Paths'!$G$433:$G$460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0.2491670116158744</c:v>
                </c:pt>
                <c:pt idx="7">
                  <c:v>0.34716161215055696</c:v>
                </c:pt>
                <c:pt idx="8">
                  <c:v>0.35107027296178933</c:v>
                </c:pt>
                <c:pt idx="9">
                  <c:v>0.353632335003409</c:v>
                </c:pt>
                <c:pt idx="10">
                  <c:v>0.3553216255462397</c:v>
                </c:pt>
                <c:pt idx="11">
                  <c:v>0.356439676587907</c:v>
                </c:pt>
                <c:pt idx="12">
                  <c:v>0.35718147983473697</c:v>
                </c:pt>
                <c:pt idx="13">
                  <c:v>0.3576744471962347</c:v>
                </c:pt>
                <c:pt idx="14">
                  <c:v>0.35800239980515564</c:v>
                </c:pt>
                <c:pt idx="15">
                  <c:v>0.3582207285548862</c:v>
                </c:pt>
                <c:pt idx="16">
                  <c:v>0.3583661453133265</c:v>
                </c:pt>
                <c:pt idx="17">
                  <c:v>0.35846302960811777</c:v>
                </c:pt>
                <c:pt idx="18">
                  <c:v>0.3585275924126731</c:v>
                </c:pt>
                <c:pt idx="19">
                  <c:v>0.35857062241483445</c:v>
                </c:pt>
                <c:pt idx="20">
                  <c:v>0.3585993038115481</c:v>
                </c:pt>
                <c:pt idx="21">
                  <c:v>0.3586184224007574</c:v>
                </c:pt>
                <c:pt idx="22">
                  <c:v>0.35863116708630693</c:v>
                </c:pt>
                <c:pt idx="23">
                  <c:v>0.35863966308093526</c:v>
                </c:pt>
                <c:pt idx="24">
                  <c:v>0.35864532687186446</c:v>
                </c:pt>
                <c:pt idx="25">
                  <c:v>0.35864910264116223</c:v>
                </c:pt>
                <c:pt idx="26">
                  <c:v>0.3586516197801087</c:v>
                </c:pt>
                <c:pt idx="27">
                  <c:v>0.35865329785470235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E4F-45D7-BAC2-CDF62A14EDDF}"/>
            </c:ext>
          </c:extLst>
        </c:ser>
        <c:ser>
          <c:idx val="5"/>
          <c:order val="5"/>
          <c:tx>
            <c:v>10th-90th Percentile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Paths'!$H$433:$H$460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0.5028819630770563</c:v>
                </c:pt>
                <c:pt idx="12">
                  <c:v>0.704171503000458</c:v>
                </c:pt>
                <c:pt idx="13">
                  <c:v>0.8052691386525406</c:v>
                </c:pt>
                <c:pt idx="14">
                  <c:v>0.8640943897855848</c:v>
                </c:pt>
                <c:pt idx="15">
                  <c:v>0.9004055052711137</c:v>
                </c:pt>
                <c:pt idx="16">
                  <c:v>0.9235086734814142</c:v>
                </c:pt>
                <c:pt idx="17">
                  <c:v>0.9482475688312413</c:v>
                </c:pt>
                <c:pt idx="18">
                  <c:v>0.9546918670469013</c:v>
                </c:pt>
                <c:pt idx="19">
                  <c:v>0.9589533186451458</c:v>
                </c:pt>
                <c:pt idx="20">
                  <c:v>0.961779102340816</c:v>
                </c:pt>
                <c:pt idx="21">
                  <c:v>0.9649047501711978</c:v>
                </c:pt>
                <c:pt idx="22">
                  <c:v>0.9657358139316952</c:v>
                </c:pt>
                <c:pt idx="23">
                  <c:v>0.9666579832339917</c:v>
                </c:pt>
                <c:pt idx="24">
                  <c:v>0.9669036819196984</c:v>
                </c:pt>
                <c:pt idx="25">
                  <c:v>2.1241824382709193</c:v>
                </c:pt>
                <c:pt idx="26">
                  <c:v>3.185300589865534</c:v>
                </c:pt>
                <c:pt idx="27">
                  <c:v>3.6857847590396693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E4F-45D7-BAC2-CDF62A14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v> Moderate (P10) </c:v>
                </c:tx>
                <c:spPr>
                  <a:noFill/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6.3155039788767686E-2</c:v>
                    </c:pt>
                    <c:pt idx="7">
                      <c:v>5.3620290009847471E-2</c:v>
                    </c:pt>
                    <c:pt idx="8">
                      <c:v>5.3620290009847471E-2</c:v>
                    </c:pt>
                    <c:pt idx="9">
                      <c:v>5.3620290009847471E-2</c:v>
                    </c:pt>
                    <c:pt idx="10">
                      <c:v>5.3620290009847471E-2</c:v>
                    </c:pt>
                    <c:pt idx="11">
                      <c:v>5.3620290009847471E-2</c:v>
                    </c:pt>
                    <c:pt idx="12">
                      <c:v>5.3620290009847471E-2</c:v>
                    </c:pt>
                    <c:pt idx="13">
                      <c:v>5.3620290009847471E-2</c:v>
                    </c:pt>
                    <c:pt idx="14">
                      <c:v>5.3620290009847471E-2</c:v>
                    </c:pt>
                    <c:pt idx="15">
                      <c:v>5.3620290009847471E-2</c:v>
                    </c:pt>
                    <c:pt idx="16">
                      <c:v>5.3620290009847471E-2</c:v>
                    </c:pt>
                    <c:pt idx="17">
                      <c:v>5.3620290009847471E-2</c:v>
                    </c:pt>
                    <c:pt idx="18">
                      <c:v>5.3620290009847471E-2</c:v>
                    </c:pt>
                    <c:pt idx="19">
                      <c:v>5.3620290009847471E-2</c:v>
                    </c:pt>
                    <c:pt idx="20">
                      <c:v>5.3620290009847471E-2</c:v>
                    </c:pt>
                    <c:pt idx="21">
                      <c:v>5.3620290009847471E-2</c:v>
                    </c:pt>
                    <c:pt idx="22">
                      <c:v>5.3620290009847471E-2</c:v>
                    </c:pt>
                    <c:pt idx="23">
                      <c:v>5.3620290009847471E-2</c:v>
                    </c:pt>
                    <c:pt idx="24">
                      <c:v>5.3620290009847471E-2</c:v>
                    </c:pt>
                    <c:pt idx="25">
                      <c:v>5.3620290009847471E-2</c:v>
                    </c:pt>
                    <c:pt idx="26">
                      <c:v>5.3620290009847471E-2</c:v>
                    </c:pt>
                    <c:pt idx="27">
                      <c:v>5.3620290009847471E-2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4-0E4F-45D7-BAC2-CDF62A14EDDF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0.14262289458780875</c:v>
                    </c:pt>
                    <c:pt idx="11">
                      <c:v>0.14262289458780875</c:v>
                    </c:pt>
                    <c:pt idx="12">
                      <c:v>0.14262289458780875</c:v>
                    </c:pt>
                    <c:pt idx="13">
                      <c:v>0.14262289458780875</c:v>
                    </c:pt>
                    <c:pt idx="14">
                      <c:v>0.14262289458780875</c:v>
                    </c:pt>
                    <c:pt idx="15">
                      <c:v>0.14262289458780875</c:v>
                    </c:pt>
                    <c:pt idx="16">
                      <c:v>0.14262289458780875</c:v>
                    </c:pt>
                    <c:pt idx="17">
                      <c:v>0.14262289458780875</c:v>
                    </c:pt>
                    <c:pt idx="18">
                      <c:v>0.14262289458780875</c:v>
                    </c:pt>
                    <c:pt idx="19">
                      <c:v>0.14262289458780875</c:v>
                    </c:pt>
                    <c:pt idx="20">
                      <c:v>0.14262289458780875</c:v>
                    </c:pt>
                    <c:pt idx="21">
                      <c:v>0.52606158906950307</c:v>
                    </c:pt>
                    <c:pt idx="22">
                      <c:v>0.52606158906950307</c:v>
                    </c:pt>
                    <c:pt idx="23">
                      <c:v>0.52606158906950307</c:v>
                    </c:pt>
                    <c:pt idx="24">
                      <c:v>0.52606158906950307</c:v>
                    </c:pt>
                    <c:pt idx="25">
                      <c:v>0.52606158906950307</c:v>
                    </c:pt>
                    <c:pt idx="26">
                      <c:v>0.52606158906950307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E4F-45D7-BAC2-CDF62A14EDDF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6"/>
          <c:order val="6"/>
          <c:tx>
            <c:v>Mean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Paths'!$I$433:$I$460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0.2491670116158744</c:v>
                </c:pt>
                <c:pt idx="7">
                  <c:v>0.34716161215055696</c:v>
                </c:pt>
                <c:pt idx="8">
                  <c:v>0.3659480013457142</c:v>
                </c:pt>
                <c:pt idx="9">
                  <c:v>0.3904979582945276</c:v>
                </c:pt>
                <c:pt idx="10">
                  <c:v>0.41892315462994567</c:v>
                </c:pt>
                <c:pt idx="11">
                  <c:v>0.45058383737370394</c:v>
                </c:pt>
                <c:pt idx="12">
                  <c:v>0.4852643719436187</c:v>
                </c:pt>
                <c:pt idx="13">
                  <c:v>0.522936699148621</c:v>
                </c:pt>
                <c:pt idx="14">
                  <c:v>0.5636734364166667</c:v>
                </c:pt>
                <c:pt idx="15">
                  <c:v>0.607609728260776</c:v>
                </c:pt>
                <c:pt idx="16">
                  <c:v>0.6549245718724231</c:v>
                </c:pt>
                <c:pt idx="17">
                  <c:v>0.7058311131372127</c:v>
                </c:pt>
                <c:pt idx="18">
                  <c:v>0.7605715446211047</c:v>
                </c:pt>
                <c:pt idx="19">
                  <c:v>0.8194145755703215</c:v>
                </c:pt>
                <c:pt idx="20">
                  <c:v>0.8826544444842556</c:v>
                </c:pt>
                <c:pt idx="21">
                  <c:v>0.9506109151458042</c:v>
                </c:pt>
                <c:pt idx="22">
                  <c:v>1.023629936459159</c:v>
                </c:pt>
                <c:pt idx="23">
                  <c:v>1.1020847769426054</c:v>
                </c:pt>
                <c:pt idx="24">
                  <c:v>1.1863775199801125</c:v>
                </c:pt>
                <c:pt idx="25">
                  <c:v>1.276940851375403</c:v>
                </c:pt>
                <c:pt idx="26">
                  <c:v>1.3742400992077295</c:v>
                </c:pt>
                <c:pt idx="27">
                  <c:v>1.4787755043698727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E4F-45D7-BAC2-CDF62A14E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 Year 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General</c:formatCode>
                    <c:ptCount val="28"/>
                    <c:pt idx="0">
                      <c:v>2023</c:v>
                    </c:pt>
                    <c:pt idx="1">
                      <c:v>2024</c:v>
                    </c:pt>
                    <c:pt idx="2">
                      <c:v>2025</c:v>
                    </c:pt>
                    <c:pt idx="3">
                      <c:v>2026</c:v>
                    </c:pt>
                    <c:pt idx="4">
                      <c:v>2027</c:v>
                    </c:pt>
                    <c:pt idx="5">
                      <c:v>2028</c:v>
                    </c:pt>
                    <c:pt idx="6">
                      <c:v>2029</c:v>
                    </c:pt>
                    <c:pt idx="7">
                      <c:v>2030</c:v>
                    </c:pt>
                    <c:pt idx="8">
                      <c:v>2031</c:v>
                    </c:pt>
                    <c:pt idx="9">
                      <c:v>2032</c:v>
                    </c:pt>
                    <c:pt idx="10">
                      <c:v>2033</c:v>
                    </c:pt>
                    <c:pt idx="11">
                      <c:v>2034</c:v>
                    </c:pt>
                    <c:pt idx="12">
                      <c:v>2035</c:v>
                    </c:pt>
                    <c:pt idx="13">
                      <c:v>2036</c:v>
                    </c:pt>
                    <c:pt idx="14">
                      <c:v>2037</c:v>
                    </c:pt>
                    <c:pt idx="15">
                      <c:v>2038</c:v>
                    </c:pt>
                    <c:pt idx="16">
                      <c:v>2039</c:v>
                    </c:pt>
                    <c:pt idx="17">
                      <c:v>2040</c:v>
                    </c:pt>
                    <c:pt idx="18">
                      <c:v>2041</c:v>
                    </c:pt>
                    <c:pt idx="19">
                      <c:v>2042</c:v>
                    </c:pt>
                    <c:pt idx="20">
                      <c:v>2043</c:v>
                    </c:pt>
                    <c:pt idx="21">
                      <c:v>2044</c:v>
                    </c:pt>
                    <c:pt idx="22">
                      <c:v>2045</c:v>
                    </c:pt>
                    <c:pt idx="23">
                      <c:v>2046</c:v>
                    </c:pt>
                    <c:pt idx="24">
                      <c:v>2047</c:v>
                    </c:pt>
                    <c:pt idx="25">
                      <c:v>2048</c:v>
                    </c:pt>
                    <c:pt idx="26">
                      <c:v>2049</c:v>
                    </c:pt>
                    <c:pt idx="27">
                      <c:v>2050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3-0E4F-45D7-BAC2-CDF62A14EDD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6.3155039788767686E-2</c:v>
                    </c:pt>
                    <c:pt idx="7">
                      <c:v>5.3620290009847471E-2</c:v>
                    </c:pt>
                    <c:pt idx="8">
                      <c:v>5.9325205793359759E-2</c:v>
                    </c:pt>
                    <c:pt idx="9">
                      <c:v>6.5415426856702208E-2</c:v>
                    </c:pt>
                    <c:pt idx="10">
                      <c:v>7.1916976398866739E-2</c:v>
                    </c:pt>
                    <c:pt idx="11">
                      <c:v>7.8857635204118592E-2</c:v>
                    </c:pt>
                    <c:pt idx="12">
                      <c:v>8.6267060347848812E-2</c:v>
                    </c:pt>
                    <c:pt idx="13">
                      <c:v>9.4176911919719331E-2</c:v>
                    </c:pt>
                    <c:pt idx="14">
                      <c:v>0.10262098830558686</c:v>
                    </c:pt>
                    <c:pt idx="15">
                      <c:v>0.11163537060625295</c:v>
                    </c:pt>
                    <c:pt idx="16">
                      <c:v>0.12125857681013819</c:v>
                    </c:pt>
                    <c:pt idx="17">
                      <c:v>0.13153172637865085</c:v>
                    </c:pt>
                    <c:pt idx="18">
                      <c:v>0.14249871594751418</c:v>
                    </c:pt>
                    <c:pt idx="19">
                      <c:v>0.15420640689481657</c:v>
                    </c:pt>
                    <c:pt idx="20">
                      <c:v>0.16670482557725119</c:v>
                    </c:pt>
                    <c:pt idx="21">
                      <c:v>0.1800473770901454</c:v>
                    </c:pt>
                    <c:pt idx="22">
                      <c:v>0.19429107346466634</c:v>
                    </c:pt>
                    <c:pt idx="23">
                      <c:v>0.20949677727727467</c:v>
                    </c:pt>
                    <c:pt idx="24">
                      <c:v>0.22572946171236041</c:v>
                    </c:pt>
                    <c:pt idx="25">
                      <c:v>0.2430584881892921</c:v>
                    </c:pt>
                    <c:pt idx="26">
                      <c:v>0.26155790274016821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4F-45D7-BAC2-CDF62A14EDDF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 Singularity (P10) </c:v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0.57968187907935054</c:v>
                    </c:pt>
                    <c:pt idx="8">
                      <c:v>0.57968187907935054</c:v>
                    </c:pt>
                    <c:pt idx="9">
                      <c:v>0.57968187907935054</c:v>
                    </c:pt>
                    <c:pt idx="10">
                      <c:v>0.57968187907935054</c:v>
                    </c:pt>
                    <c:pt idx="11">
                      <c:v>0.57968187907935054</c:v>
                    </c:pt>
                    <c:pt idx="12">
                      <c:v>0.57968187907935054</c:v>
                    </c:pt>
                    <c:pt idx="13">
                      <c:v>0.57968187907935054</c:v>
                    </c:pt>
                    <c:pt idx="14">
                      <c:v>0.57968187907935054</c:v>
                    </c:pt>
                    <c:pt idx="15">
                      <c:v>0.57968187907935054</c:v>
                    </c:pt>
                    <c:pt idx="16">
                      <c:v>0.57968187907935054</c:v>
                    </c:pt>
                    <c:pt idx="17">
                      <c:v>0.57968187907935054</c:v>
                    </c:pt>
                    <c:pt idx="18">
                      <c:v>0.57968187907935054</c:v>
                    </c:pt>
                    <c:pt idx="19">
                      <c:v>0.57968187907935054</c:v>
                    </c:pt>
                    <c:pt idx="20">
                      <c:v>0.57968187907935054</c:v>
                    </c:pt>
                    <c:pt idx="21">
                      <c:v>0.57968187907935054</c:v>
                    </c:pt>
                    <c:pt idx="22">
                      <c:v>0.57968187907935054</c:v>
                    </c:pt>
                    <c:pt idx="23">
                      <c:v>0.57968187907935054</c:v>
                    </c:pt>
                    <c:pt idx="24">
                      <c:v>0.57968187907935054</c:v>
                    </c:pt>
                    <c:pt idx="25">
                      <c:v>0.57968187907935054</c:v>
                    </c:pt>
                    <c:pt idx="26">
                      <c:v>0.57968187907935054</c:v>
                    </c:pt>
                    <c:pt idx="27">
                      <c:v>0.57968187907935054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E4F-45D7-BAC2-CDF62A14EDDF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v> Singularity (P90 - P10) </c:v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1.030866978620371</c:v>
                    </c:pt>
                    <c:pt idx="11">
                      <c:v>1.030866978620371</c:v>
                    </c:pt>
                    <c:pt idx="12">
                      <c:v>1.030866978620371</c:v>
                    </c:pt>
                    <c:pt idx="13">
                      <c:v>1.030866978620371</c:v>
                    </c:pt>
                    <c:pt idx="14">
                      <c:v>1.030866978620371</c:v>
                    </c:pt>
                    <c:pt idx="15">
                      <c:v>1.030866978620371</c:v>
                    </c:pt>
                    <c:pt idx="16">
                      <c:v>1.030866978620371</c:v>
                    </c:pt>
                    <c:pt idx="17">
                      <c:v>1.030866978620371</c:v>
                    </c:pt>
                    <c:pt idx="18">
                      <c:v>1.030866978620371</c:v>
                    </c:pt>
                    <c:pt idx="19">
                      <c:v>1.030866978620371</c:v>
                    </c:pt>
                    <c:pt idx="20">
                      <c:v>1.030866978620371</c:v>
                    </c:pt>
                    <c:pt idx="21">
                      <c:v>3.8023314732154132</c:v>
                    </c:pt>
                    <c:pt idx="22">
                      <c:v>3.8023314732154132</c:v>
                    </c:pt>
                    <c:pt idx="23">
                      <c:v>3.8023314732154132</c:v>
                    </c:pt>
                    <c:pt idx="24">
                      <c:v>3.8023314732154132</c:v>
                    </c:pt>
                    <c:pt idx="25">
                      <c:v>3.8023314732154132</c:v>
                    </c:pt>
                    <c:pt idx="26">
                      <c:v>3.8023314732154132</c:v>
                    </c:pt>
                    <c:pt idx="27">
                      <c:v>3.8023314732154132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4F-45D7-BAC2-CDF62A14EDDF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v> Singularity (Mean) </c:v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0.57968187907935054</c:v>
                    </c:pt>
                    <c:pt idx="8">
                      <c:v>0.62091655822416536</c:v>
                    </c:pt>
                    <c:pt idx="9">
                      <c:v>0.66493619339453969</c:v>
                    </c:pt>
                    <c:pt idx="10">
                      <c:v>0.7119288782103379</c:v>
                    </c:pt>
                    <c:pt idx="11">
                      <c:v>0.76209540997848846</c:v>
                    </c:pt>
                    <c:pt idx="12">
                      <c:v>0.81565014768946797</c:v>
                    </c:pt>
                    <c:pt idx="13">
                      <c:v>0.87282192796216229</c:v>
                    </c:pt>
                    <c:pt idx="14">
                      <c:v>0.93385504285087784</c:v>
                    </c:pt>
                    <c:pt idx="15">
                      <c:v>0.99901028369263067</c:v>
                    </c:pt>
                    <c:pt idx="16">
                      <c:v>1.0685660554550132</c:v>
                    </c:pt>
                    <c:pt idx="17">
                      <c:v>1.1428195663461955</c:v>
                    </c:pt>
                    <c:pt idx="18">
                      <c:v>1.222088097770194</c:v>
                    </c:pt>
                    <c:pt idx="19">
                      <c:v>1.306710360053871</c:v>
                    </c:pt>
                    <c:pt idx="20">
                      <c:v>1.3970479397386053</c:v>
                    </c:pt>
                    <c:pt idx="21">
                      <c:v>1.4934868446208487</c:v>
                    </c:pt>
                    <c:pt idx="22">
                      <c:v>1.5964391531434337</c:v>
                    </c:pt>
                    <c:pt idx="23">
                      <c:v>1.7063447751854062</c:v>
                    </c:pt>
                    <c:pt idx="24">
                      <c:v>1.8236733317741405</c:v>
                    </c:pt>
                    <c:pt idx="25">
                      <c:v>1.9489261617516491</c:v>
                    </c:pt>
                    <c:pt idx="26">
                      <c:v>2.0826384639694835</c:v>
                    </c:pt>
                    <c:pt idx="27">
                      <c:v>2.2253815841656799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E4F-45D7-BAC2-CDF62A14EDDF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Singularity: cumulative GDP level gain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cked"/>
        <c:varyColors val="0"/>
        <c:ser>
          <c:idx val="7"/>
          <c:order val="7"/>
          <c:tx>
            <c:strRef>
              <c:f>'Model 1 - Inv &amp; GDP Paths'!$J$240</c:f>
              <c:strCache>
                <c:ptCount val="1"/>
                <c:pt idx="0">
                  <c:v> Singularity (P10) 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Paths'!$J$433:$J$460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0.2491670116158744</c:v>
                </c:pt>
                <c:pt idx="7">
                  <c:v>0.8380210413690821</c:v>
                </c:pt>
                <c:pt idx="8">
                  <c:v>1.052062086960132</c:v>
                </c:pt>
                <c:pt idx="9">
                  <c:v>1.1577800158338238</c:v>
                </c:pt>
                <c:pt idx="10">
                  <c:v>1.2189773124106187</c:v>
                </c:pt>
                <c:pt idx="11">
                  <c:v>1.256664571912315</c:v>
                </c:pt>
                <c:pt idx="12">
                  <c:v>1.2806136352604693</c:v>
                </c:pt>
                <c:pt idx="13">
                  <c:v>1.296106434902566</c:v>
                </c:pt>
                <c:pt idx="14">
                  <c:v>1.3062374210314691</c:v>
                </c:pt>
                <c:pt idx="15">
                  <c:v>1.3129070917934818</c:v>
                </c:pt>
                <c:pt idx="16">
                  <c:v>1.3173170389564974</c:v>
                </c:pt>
                <c:pt idx="17">
                  <c:v>1.3202410603429509</c:v>
                </c:pt>
                <c:pt idx="18">
                  <c:v>1.3221834026695847</c:v>
                </c:pt>
                <c:pt idx="19">
                  <c:v>1.3234752076390908</c:v>
                </c:pt>
                <c:pt idx="20">
                  <c:v>1.3243350445582136</c:v>
                </c:pt>
                <c:pt idx="21">
                  <c:v>1.3249076639156827</c:v>
                </c:pt>
                <c:pt idx="22">
                  <c:v>1.325289141750643</c:v>
                </c:pt>
                <c:pt idx="23">
                  <c:v>1.3255433411938435</c:v>
                </c:pt>
                <c:pt idx="24">
                  <c:v>1.3257127546023242</c:v>
                </c:pt>
                <c:pt idx="25">
                  <c:v>1.3258256733847988</c:v>
                </c:pt>
                <c:pt idx="26">
                  <c:v>1.3259009421377665</c:v>
                </c:pt>
                <c:pt idx="27">
                  <c:v>1.3259511166698361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C222-4B8D-A075-441AE174FC3E}"/>
            </c:ext>
          </c:extLst>
        </c:ser>
        <c:ser>
          <c:idx val="8"/>
          <c:order val="8"/>
          <c:tx>
            <c:v>10th-90th Percentile</c:v>
          </c:tx>
          <c:spPr>
            <a:solidFill>
              <a:srgbClr val="C00000">
                <a:alpha val="20000"/>
              </a:srgbClr>
            </a:solidFill>
            <a:ln>
              <a:noFill/>
            </a:ln>
            <a:effectLst/>
          </c:spP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Paths'!$K$433:$K$460</c:f>
              <c:numCache>
                <c:formatCode>0.00%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1.6693951251069574</c:v>
                </c:pt>
                <c:pt idx="12">
                  <c:v>2.4289493666619975</c:v>
                </c:pt>
                <c:pt idx="13">
                  <c:v>2.7940150115397677</c:v>
                </c:pt>
                <c:pt idx="14">
                  <c:v>3.0030283366971493</c:v>
                </c:pt>
                <c:pt idx="15">
                  <c:v>3.1309851520510175</c:v>
                </c:pt>
                <c:pt idx="16">
                  <c:v>3.2120121603095964</c:v>
                </c:pt>
                <c:pt idx="17">
                  <c:v>3.2984219376337722</c:v>
                </c:pt>
                <c:pt idx="18">
                  <c:v>3.3209121420307977</c:v>
                </c:pt>
                <c:pt idx="19">
                  <c:v>3.3357678774575037</c:v>
                </c:pt>
                <c:pt idx="20">
                  <c:v>3.3456116115649905</c:v>
                </c:pt>
                <c:pt idx="21">
                  <c:v>3.35649247429612</c:v>
                </c:pt>
                <c:pt idx="22">
                  <c:v>3.3593850848451066</c:v>
                </c:pt>
                <c:pt idx="23">
                  <c:v>3.362593915889847</c:v>
                </c:pt>
                <c:pt idx="24">
                  <c:v>3.363448794474473</c:v>
                </c:pt>
                <c:pt idx="25">
                  <c:v>7.3886279954286955</c:v>
                </c:pt>
                <c:pt idx="26">
                  <c:v>11.080214493803549</c:v>
                </c:pt>
                <c:pt idx="27">
                  <c:v>12.821255891230246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222-4B8D-A075-441AE174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01279"/>
        <c:axId val="2145807519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v> Moderate (P10) </c:v>
                </c:tx>
                <c:spPr>
                  <a:noFill/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6.3155039788767686E-2</c:v>
                    </c:pt>
                    <c:pt idx="7">
                      <c:v>5.3620290009847471E-2</c:v>
                    </c:pt>
                    <c:pt idx="8">
                      <c:v>5.3620290009847471E-2</c:v>
                    </c:pt>
                    <c:pt idx="9">
                      <c:v>5.3620290009847471E-2</c:v>
                    </c:pt>
                    <c:pt idx="10">
                      <c:v>5.3620290009847471E-2</c:v>
                    </c:pt>
                    <c:pt idx="11">
                      <c:v>5.3620290009847471E-2</c:v>
                    </c:pt>
                    <c:pt idx="12">
                      <c:v>5.3620290009847471E-2</c:v>
                    </c:pt>
                    <c:pt idx="13">
                      <c:v>5.3620290009847471E-2</c:v>
                    </c:pt>
                    <c:pt idx="14">
                      <c:v>5.3620290009847471E-2</c:v>
                    </c:pt>
                    <c:pt idx="15">
                      <c:v>5.3620290009847471E-2</c:v>
                    </c:pt>
                    <c:pt idx="16">
                      <c:v>5.3620290009847471E-2</c:v>
                    </c:pt>
                    <c:pt idx="17">
                      <c:v>5.3620290009847471E-2</c:v>
                    </c:pt>
                    <c:pt idx="18">
                      <c:v>5.3620290009847471E-2</c:v>
                    </c:pt>
                    <c:pt idx="19">
                      <c:v>5.3620290009847471E-2</c:v>
                    </c:pt>
                    <c:pt idx="20">
                      <c:v>5.3620290009847471E-2</c:v>
                    </c:pt>
                    <c:pt idx="21">
                      <c:v>5.3620290009847471E-2</c:v>
                    </c:pt>
                    <c:pt idx="22">
                      <c:v>5.3620290009847471E-2</c:v>
                    </c:pt>
                    <c:pt idx="23">
                      <c:v>5.3620290009847471E-2</c:v>
                    </c:pt>
                    <c:pt idx="24">
                      <c:v>5.3620290009847471E-2</c:v>
                    </c:pt>
                    <c:pt idx="25">
                      <c:v>5.3620290009847471E-2</c:v>
                    </c:pt>
                    <c:pt idx="26">
                      <c:v>5.3620290009847471E-2</c:v>
                    </c:pt>
                    <c:pt idx="27">
                      <c:v>5.3620290009847471E-2</c:v>
                    </c:pt>
                  </c:numLit>
                </c:val>
                <c:extLst>
                  <c:ext xmlns:c16="http://schemas.microsoft.com/office/drawing/2014/chart" uri="{C3380CC4-5D6E-409C-BE32-E72D297353CC}">
                    <c16:uniqueId val="{00000004-C222-4B8D-A075-441AE174FC3E}"/>
                  </c:ext>
                </c:extLst>
              </c15:ser>
            </c15:filteredAreaSeries>
            <c15:filteredAreaSeries>
              <c15:ser>
                <c:idx val="2"/>
                <c:order val="2"/>
                <c:tx>
                  <c:v>10th-90th Percentile</c:v>
                </c:tx>
                <c:spPr>
                  <a:solidFill>
                    <a:schemeClr val="tx2">
                      <a:lumMod val="60000"/>
                      <a:lumOff val="40000"/>
                      <a:alpha val="27000"/>
                    </a:schemeClr>
                  </a:solidFill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0.14262289458780875</c:v>
                    </c:pt>
                    <c:pt idx="11">
                      <c:v>0.14262289458780875</c:v>
                    </c:pt>
                    <c:pt idx="12">
                      <c:v>0.14262289458780875</c:v>
                    </c:pt>
                    <c:pt idx="13">
                      <c:v>0.14262289458780875</c:v>
                    </c:pt>
                    <c:pt idx="14">
                      <c:v>0.14262289458780875</c:v>
                    </c:pt>
                    <c:pt idx="15">
                      <c:v>0.14262289458780875</c:v>
                    </c:pt>
                    <c:pt idx="16">
                      <c:v>0.14262289458780875</c:v>
                    </c:pt>
                    <c:pt idx="17">
                      <c:v>0.14262289458780875</c:v>
                    </c:pt>
                    <c:pt idx="18">
                      <c:v>0.14262289458780875</c:v>
                    </c:pt>
                    <c:pt idx="19">
                      <c:v>0.14262289458780875</c:v>
                    </c:pt>
                    <c:pt idx="20">
                      <c:v>0.14262289458780875</c:v>
                    </c:pt>
                    <c:pt idx="21">
                      <c:v>0.52606158906950307</c:v>
                    </c:pt>
                    <c:pt idx="22">
                      <c:v>0.52606158906950307</c:v>
                    </c:pt>
                    <c:pt idx="23">
                      <c:v>0.52606158906950307</c:v>
                    </c:pt>
                    <c:pt idx="24">
                      <c:v>0.52606158906950307</c:v>
                    </c:pt>
                    <c:pt idx="25">
                      <c:v>0.52606158906950307</c:v>
                    </c:pt>
                    <c:pt idx="26">
                      <c:v>0.52606158906950307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222-4B8D-A075-441AE174FC3E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v> Transformative (P10) </c:v>
                </c:tx>
                <c:spPr>
                  <a:solidFill>
                    <a:schemeClr val="bg1"/>
                  </a:solidFill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8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0.19624318459765622</c:v>
                    </c:pt>
                    <c:pt idx="8">
                      <c:v>0.19624318459765622</c:v>
                    </c:pt>
                    <c:pt idx="9">
                      <c:v>0.19624318459765622</c:v>
                    </c:pt>
                    <c:pt idx="10">
                      <c:v>0.19624318459765622</c:v>
                    </c:pt>
                    <c:pt idx="11">
                      <c:v>0.19624318459765622</c:v>
                    </c:pt>
                    <c:pt idx="12">
                      <c:v>0.19624318459765622</c:v>
                    </c:pt>
                    <c:pt idx="13">
                      <c:v>0.19624318459765622</c:v>
                    </c:pt>
                    <c:pt idx="14">
                      <c:v>0.19624318459765622</c:v>
                    </c:pt>
                    <c:pt idx="15">
                      <c:v>0.19624318459765622</c:v>
                    </c:pt>
                    <c:pt idx="16">
                      <c:v>0.19624318459765622</c:v>
                    </c:pt>
                    <c:pt idx="17">
                      <c:v>0.19624318459765622</c:v>
                    </c:pt>
                    <c:pt idx="18">
                      <c:v>0.19624318459765622</c:v>
                    </c:pt>
                    <c:pt idx="19">
                      <c:v>0.19624318459765622</c:v>
                    </c:pt>
                    <c:pt idx="20">
                      <c:v>0.19624318459765622</c:v>
                    </c:pt>
                    <c:pt idx="21">
                      <c:v>0.19624318459765622</c:v>
                    </c:pt>
                    <c:pt idx="22">
                      <c:v>0.19624318459765622</c:v>
                    </c:pt>
                    <c:pt idx="23">
                      <c:v>0.19624318459765622</c:v>
                    </c:pt>
                    <c:pt idx="24">
                      <c:v>0.19624318459765622</c:v>
                    </c:pt>
                    <c:pt idx="25">
                      <c:v>0.19624318459765622</c:v>
                    </c:pt>
                    <c:pt idx="26">
                      <c:v>0.19624318459765622</c:v>
                    </c:pt>
                    <c:pt idx="27">
                      <c:v>0.19624318459765622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222-4B8D-A075-441AE174FC3E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v>10th-90th Percentile</c:v>
                </c:tx>
                <c:spPr>
                  <a:solidFill>
                    <a:schemeClr val="accent6">
                      <a:lumMod val="40000"/>
                      <a:lumOff val="60000"/>
                    </a:schemeClr>
                  </a:solidFill>
                  <a:ln>
                    <a:noFill/>
                  </a:ln>
                  <a:effectLst/>
                </c:spP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0</c:v>
                    </c:pt>
                    <c:pt idx="2">
                      <c:v>0</c:v>
                    </c:pt>
                    <c:pt idx="3">
                      <c:v>0</c:v>
                    </c:pt>
                    <c:pt idx="4">
                      <c:v>0</c:v>
                    </c:pt>
                    <c:pt idx="5">
                      <c:v>0</c:v>
                    </c:pt>
                    <c:pt idx="6">
                      <c:v>0</c:v>
                    </c:pt>
                    <c:pt idx="7">
                      <c:v>0</c:v>
                    </c:pt>
                    <c:pt idx="8">
                      <c:v>0</c:v>
                    </c:pt>
                    <c:pt idx="9">
                      <c:v>0</c:v>
                    </c:pt>
                    <c:pt idx="10">
                      <c:v>0.38343869448169432</c:v>
                    </c:pt>
                    <c:pt idx="11">
                      <c:v>0.38343869448169432</c:v>
                    </c:pt>
                    <c:pt idx="12">
                      <c:v>0.38343869448169432</c:v>
                    </c:pt>
                    <c:pt idx="13">
                      <c:v>0.38343869448169432</c:v>
                    </c:pt>
                    <c:pt idx="14">
                      <c:v>0.38343869448169432</c:v>
                    </c:pt>
                    <c:pt idx="15">
                      <c:v>0.38343869448169432</c:v>
                    </c:pt>
                    <c:pt idx="16">
                      <c:v>0.38343869448169432</c:v>
                    </c:pt>
                    <c:pt idx="17">
                      <c:v>0.38343869448169432</c:v>
                    </c:pt>
                    <c:pt idx="18">
                      <c:v>0.38343869448169432</c:v>
                    </c:pt>
                    <c:pt idx="19">
                      <c:v>0.38343869448169432</c:v>
                    </c:pt>
                    <c:pt idx="20">
                      <c:v>0.38343869448169432</c:v>
                    </c:pt>
                    <c:pt idx="21">
                      <c:v>1.4143056731020653</c:v>
                    </c:pt>
                    <c:pt idx="22">
                      <c:v>1.4143056731020653</c:v>
                    </c:pt>
                    <c:pt idx="23">
                      <c:v>1.4143056731020653</c:v>
                    </c:pt>
                    <c:pt idx="24">
                      <c:v>1.4143056731020653</c:v>
                    </c:pt>
                    <c:pt idx="25">
                      <c:v>1.4143056731020653</c:v>
                    </c:pt>
                    <c:pt idx="26">
                      <c:v>1.4143056731020653</c:v>
                    </c:pt>
                  </c:numLit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222-4B8D-A075-441AE174FC3E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9"/>
          <c:order val="9"/>
          <c:tx>
            <c:v>Mean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Paths'!$C$433:$C$460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Paths'!$L$433:$L$460</c:f>
              <c:numCache>
                <c:formatCode>0.00%</c:formatCode>
                <c:ptCount val="28"/>
                <c:pt idx="0">
                  <c:v>0</c:v>
                </c:pt>
                <c:pt idx="1">
                  <c:v>0.0408541082337599</c:v>
                </c:pt>
                <c:pt idx="2">
                  <c:v>0.04393348537154762</c:v>
                </c:pt>
                <c:pt idx="3">
                  <c:v>0.0514042049425234</c:v>
                </c:pt>
                <c:pt idx="4">
                  <c:v>0.06498688874163294</c:v>
                </c:pt>
                <c:pt idx="5">
                  <c:v>0.07843665145505474</c:v>
                </c:pt>
                <c:pt idx="6">
                  <c:v>0.2491670116158744</c:v>
                </c:pt>
                <c:pt idx="7">
                  <c:v>0.8380210413690821</c:v>
                </c:pt>
                <c:pt idx="8">
                  <c:v>1.094190211831135</c:v>
                </c:pt>
                <c:pt idx="9">
                  <c:v>1.2781157235191374</c:v>
                </c:pt>
                <c:pt idx="10">
                  <c:v>1.4344475722077132</c:v>
                </c:pt>
                <c:pt idx="11">
                  <c:v>1.5800925310005984</c:v>
                </c:pt>
                <c:pt idx="12">
                  <c:v>1.723356635640443</c:v>
                </c:pt>
                <c:pt idx="13">
                  <c:v>1.8690692662639175</c:v>
                </c:pt>
                <c:pt idx="14">
                  <c:v>2.0203815034700705</c:v>
                </c:pt>
                <c:pt idx="15">
                  <c:v>2.179549665527728</c:v>
                </c:pt>
                <c:pt idx="16">
                  <c:v>2.3483290639809984</c:v>
                </c:pt>
                <c:pt idx="17">
                  <c:v>2.528192365165759</c:v>
                </c:pt>
                <c:pt idx="18">
                  <c:v>2.7204595293682625</c:v>
                </c:pt>
                <c:pt idx="19">
                  <c:v>2.926379351861364</c:v>
                </c:pt>
                <c:pt idx="20">
                  <c:v>3.147182925820551</c:v>
                </c:pt>
                <c:pt idx="21">
                  <c:v>3.3841201665117113</c:v>
                </c:pt>
                <c:pt idx="22">
                  <c:v>3.6384858741853447</c:v>
                </c:pt>
                <c:pt idx="23">
                  <c:v>3.9116392727520677</c:v>
                </c:pt>
                <c:pt idx="24">
                  <c:v>4.205019497221879</c:v>
                </c:pt>
                <c:pt idx="25">
                  <c:v>4.520158622285039</c:v>
                </c:pt>
                <c:pt idx="26">
                  <c:v>4.8586932780844165</c:v>
                </c:pt>
                <c:pt idx="27">
                  <c:v>5.2223755529576135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22-4B8D-A075-441AE174F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801279"/>
        <c:axId val="2145807519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 Year 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General</c:formatCode>
                    <c:ptCount val="28"/>
                    <c:pt idx="0">
                      <c:v>2023</c:v>
                    </c:pt>
                    <c:pt idx="1">
                      <c:v>2024</c:v>
                    </c:pt>
                    <c:pt idx="2">
                      <c:v>2025</c:v>
                    </c:pt>
                    <c:pt idx="3">
                      <c:v>2026</c:v>
                    </c:pt>
                    <c:pt idx="4">
                      <c:v>2027</c:v>
                    </c:pt>
                    <c:pt idx="5">
                      <c:v>2028</c:v>
                    </c:pt>
                    <c:pt idx="6">
                      <c:v>2029</c:v>
                    </c:pt>
                    <c:pt idx="7">
                      <c:v>2030</c:v>
                    </c:pt>
                    <c:pt idx="8">
                      <c:v>2031</c:v>
                    </c:pt>
                    <c:pt idx="9">
                      <c:v>2032</c:v>
                    </c:pt>
                    <c:pt idx="10">
                      <c:v>2033</c:v>
                    </c:pt>
                    <c:pt idx="11">
                      <c:v>2034</c:v>
                    </c:pt>
                    <c:pt idx="12">
                      <c:v>2035</c:v>
                    </c:pt>
                    <c:pt idx="13">
                      <c:v>2036</c:v>
                    </c:pt>
                    <c:pt idx="14">
                      <c:v>2037</c:v>
                    </c:pt>
                    <c:pt idx="15">
                      <c:v>2038</c:v>
                    </c:pt>
                    <c:pt idx="16">
                      <c:v>2039</c:v>
                    </c:pt>
                    <c:pt idx="17">
                      <c:v>2040</c:v>
                    </c:pt>
                    <c:pt idx="18">
                      <c:v>2041</c:v>
                    </c:pt>
                    <c:pt idx="19">
                      <c:v>2042</c:v>
                    </c:pt>
                    <c:pt idx="20">
                      <c:v>2043</c:v>
                    </c:pt>
                    <c:pt idx="21">
                      <c:v>2044</c:v>
                    </c:pt>
                    <c:pt idx="22">
                      <c:v>2045</c:v>
                    </c:pt>
                    <c:pt idx="23">
                      <c:v>2046</c:v>
                    </c:pt>
                    <c:pt idx="24">
                      <c:v>2047</c:v>
                    </c:pt>
                    <c:pt idx="25">
                      <c:v>2048</c:v>
                    </c:pt>
                    <c:pt idx="26">
                      <c:v>2049</c:v>
                    </c:pt>
                    <c:pt idx="27">
                      <c:v>2050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3-C222-4B8D-A075-441AE174FC3E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Mean</c:v>
                </c:tx>
                <c:spPr>
                  <a:ln w="28575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6.3155039788767686E-2</c:v>
                    </c:pt>
                    <c:pt idx="7">
                      <c:v>5.3620290009847471E-2</c:v>
                    </c:pt>
                    <c:pt idx="8">
                      <c:v>5.9325205793359759E-2</c:v>
                    </c:pt>
                    <c:pt idx="9">
                      <c:v>6.5415426856702208E-2</c:v>
                    </c:pt>
                    <c:pt idx="10">
                      <c:v>7.1916976398866739E-2</c:v>
                    </c:pt>
                    <c:pt idx="11">
                      <c:v>7.8857635204118592E-2</c:v>
                    </c:pt>
                    <c:pt idx="12">
                      <c:v>8.6267060347848812E-2</c:v>
                    </c:pt>
                    <c:pt idx="13">
                      <c:v>9.4176911919719331E-2</c:v>
                    </c:pt>
                    <c:pt idx="14">
                      <c:v>0.10262098830558686</c:v>
                    </c:pt>
                    <c:pt idx="15">
                      <c:v>0.11163537060625295</c:v>
                    </c:pt>
                    <c:pt idx="16">
                      <c:v>0.12125857681013819</c:v>
                    </c:pt>
                    <c:pt idx="17">
                      <c:v>0.13153172637865085</c:v>
                    </c:pt>
                    <c:pt idx="18">
                      <c:v>0.14249871594751418</c:v>
                    </c:pt>
                    <c:pt idx="19">
                      <c:v>0.15420640689481657</c:v>
                    </c:pt>
                    <c:pt idx="20">
                      <c:v>0.16670482557725119</c:v>
                    </c:pt>
                    <c:pt idx="21">
                      <c:v>0.1800473770901454</c:v>
                    </c:pt>
                    <c:pt idx="22">
                      <c:v>0.19429107346466634</c:v>
                    </c:pt>
                    <c:pt idx="23">
                      <c:v>0.20949677727727467</c:v>
                    </c:pt>
                    <c:pt idx="24">
                      <c:v>0.22572946171236041</c:v>
                    </c:pt>
                    <c:pt idx="25">
                      <c:v>0.2430584881892921</c:v>
                    </c:pt>
                    <c:pt idx="26">
                      <c:v>0.26155790274016821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222-4B8D-A075-441AE174FC3E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Mean</c:v>
                </c:tx>
                <c:spPr>
                  <a:ln w="28575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Lit>
                    <c:ptCount val="28"/>
                    <c:pt idx="0">
                      <c:v> Year </c:v>
                    </c:pt>
                    <c:pt idx="1">
                      <c:v>2023</c:v>
                    </c:pt>
                    <c:pt idx="2">
                      <c:v>2024</c:v>
                    </c:pt>
                    <c:pt idx="3">
                      <c:v>2025</c:v>
                    </c:pt>
                    <c:pt idx="4">
                      <c:v>2026</c:v>
                    </c:pt>
                    <c:pt idx="5">
                      <c:v>2027</c:v>
                    </c:pt>
                    <c:pt idx="6">
                      <c:v>2028</c:v>
                    </c:pt>
                    <c:pt idx="7">
                      <c:v>2029</c:v>
                    </c:pt>
                    <c:pt idx="8">
                      <c:v>2030</c:v>
                    </c:pt>
                    <c:pt idx="9">
                      <c:v>2031</c:v>
                    </c:pt>
                    <c:pt idx="10">
                      <c:v>2032</c:v>
                    </c:pt>
                    <c:pt idx="11">
                      <c:v>2033</c:v>
                    </c:pt>
                    <c:pt idx="12">
                      <c:v>2034</c:v>
                    </c:pt>
                    <c:pt idx="13">
                      <c:v>2035</c:v>
                    </c:pt>
                    <c:pt idx="14">
                      <c:v>2036</c:v>
                    </c:pt>
                    <c:pt idx="15">
                      <c:v>2037</c:v>
                    </c:pt>
                    <c:pt idx="16">
                      <c:v>2038</c:v>
                    </c:pt>
                    <c:pt idx="17">
                      <c:v>2039</c:v>
                    </c:pt>
                    <c:pt idx="18">
                      <c:v>2040</c:v>
                    </c:pt>
                    <c:pt idx="19">
                      <c:v>2041</c:v>
                    </c:pt>
                    <c:pt idx="20">
                      <c:v>2042</c:v>
                    </c:pt>
                    <c:pt idx="21">
                      <c:v>2043</c:v>
                    </c:pt>
                    <c:pt idx="22">
                      <c:v>2044</c:v>
                    </c:pt>
                    <c:pt idx="23">
                      <c:v>2045</c:v>
                    </c:pt>
                    <c:pt idx="24">
                      <c:v>2046</c:v>
                    </c:pt>
                    <c:pt idx="25">
                      <c:v>2047</c:v>
                    </c:pt>
                    <c:pt idx="26">
                      <c:v>2048</c:v>
                    </c:pt>
                    <c:pt idx="27">
                      <c:v>2049</c:v>
                    </c:pt>
                  </c:strLit>
                </c:cat>
                <c:val>
                  <c:numLit>
                    <c:formatCode>0.00%</c:formatCode>
                    <c:ptCount val="27"/>
                    <c:pt idx="0">
                      <c:v>0</c:v>
                    </c:pt>
                    <c:pt idx="1">
                      <c:v>2.8634932125288559E-2</c:v>
                    </c:pt>
                    <c:pt idx="2">
                      <c:v>3.0878582976887614E-2</c:v>
                    </c:pt>
                    <c:pt idx="3">
                      <c:v>3.6595583376072049E-2</c:v>
                    </c:pt>
                    <c:pt idx="4">
                      <c:v>4.7906468677700653E-2</c:v>
                    </c:pt>
                    <c:pt idx="5">
                      <c:v>5.9576281638494821E-2</c:v>
                    </c:pt>
                    <c:pt idx="6">
                      <c:v>0.15090417238577114</c:v>
                    </c:pt>
                    <c:pt idx="7">
                      <c:v>0.19624318459765622</c:v>
                    </c:pt>
                    <c:pt idx="8">
                      <c:v>0.21158073237692387</c:v>
                    </c:pt>
                    <c:pt idx="9">
                      <c:v>0.22795416541081348</c:v>
                    </c:pt>
                    <c:pt idx="10">
                      <c:v>0.24543344653016264</c:v>
                    </c:pt>
                    <c:pt idx="11">
                      <c:v>0.26409326379736964</c:v>
                    </c:pt>
                    <c:pt idx="12">
                      <c:v>0.28401334964461444</c:v>
                    </c:pt>
                    <c:pt idx="13">
                      <c:v>0.30527882156640862</c:v>
                    </c:pt>
                    <c:pt idx="14">
                      <c:v>0.3279805458222389</c:v>
                    </c:pt>
                    <c:pt idx="15">
                      <c:v>0.3522155257033841</c:v>
                    </c:pt>
                    <c:pt idx="16">
                      <c:v>0.37808731602295409</c:v>
                    </c:pt>
                    <c:pt idx="17">
                      <c:v>0.40570646560023627</c:v>
                    </c:pt>
                    <c:pt idx="18">
                      <c:v>0.43519098963007496</c:v>
                    </c:pt>
                    <c:pt idx="19">
                      <c:v>0.46666687395567963</c:v>
                    </c:pt>
                    <c:pt idx="20">
                      <c:v>0.50026861339960749</c:v>
                    </c:pt>
                    <c:pt idx="21">
                      <c:v>0.53613978645316696</c:v>
                    </c:pt>
                    <c:pt idx="22">
                      <c:v>0.57443366877987456</c:v>
                    </c:pt>
                    <c:pt idx="23">
                      <c:v>0.61531388815441668</c:v>
                    </c:pt>
                    <c:pt idx="24">
                      <c:v>0.65895512363565611</c:v>
                    </c:pt>
                    <c:pt idx="25">
                      <c:v>0.70554385196119562</c:v>
                    </c:pt>
                    <c:pt idx="26">
                      <c:v>0.75527914435281374</c:v>
                    </c:pt>
                  </c:numLit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222-4B8D-A075-441AE174FC3E}"/>
                  </c:ext>
                </c:extLst>
              </c15:ser>
            </c15:filteredLineSeries>
          </c:ext>
        </c:extLst>
      </c:lineChart>
      <c:catAx>
        <c:axId val="21458012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7519"/>
        <c:crosses val="autoZero"/>
        <c:auto val="1"/>
        <c:lblAlgn val="ctr"/>
        <c:lblOffset val="100"/>
        <c:noMultiLvlLbl val="0"/>
      </c:catAx>
      <c:valAx>
        <c:axId val="2145807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80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AI capex by firm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'Capex Build'!$C$8</c:f>
              <c:strCache>
                <c:ptCount val="1"/>
                <c:pt idx="0">
                  <c:v>Amazon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Build'!$D$8:$I$8</c:f>
              <c:numCache>
                <c:formatCode>#,##0</c:formatCode>
                <c:ptCount val="6"/>
                <c:pt idx="0">
                  <c:v>64</c:v>
                </c:pt>
                <c:pt idx="1">
                  <c:v>53</c:v>
                </c:pt>
                <c:pt idx="2">
                  <c:v>83</c:v>
                </c:pt>
                <c:pt idx="3">
                  <c:v>132</c:v>
                </c:pt>
                <c:pt idx="4">
                  <c:v>200</c:v>
                </c:pt>
                <c:pt idx="5">
                  <c:v>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0-468B-B950-37894B3B1DCC}"/>
            </c:ext>
          </c:extLst>
        </c:ser>
        <c:ser>
          <c:idx val="1"/>
          <c:order val="1"/>
          <c:tx>
            <c:strRef>
              <c:f>'Capex Build'!$C$9</c:f>
              <c:strCache>
                <c:ptCount val="1"/>
                <c:pt idx="0">
                  <c:v>Alphabet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Build'!$D$9:$I$9</c:f>
              <c:numCache>
                <c:formatCode>#,##0</c:formatCode>
                <c:ptCount val="6"/>
                <c:pt idx="0">
                  <c:v>31</c:v>
                </c:pt>
                <c:pt idx="1">
                  <c:v>32</c:v>
                </c:pt>
                <c:pt idx="2">
                  <c:v>53</c:v>
                </c:pt>
                <c:pt idx="3">
                  <c:v>91</c:v>
                </c:pt>
                <c:pt idx="4">
                  <c:v>185</c:v>
                </c:pt>
                <c:pt idx="5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60-468B-B950-37894B3B1DCC}"/>
            </c:ext>
          </c:extLst>
        </c:ser>
        <c:ser>
          <c:idx val="2"/>
          <c:order val="2"/>
          <c:tx>
            <c:strRef>
              <c:f>'Capex Build'!$C$10</c:f>
              <c:strCache>
                <c:ptCount val="1"/>
                <c:pt idx="0">
                  <c:v>Microsoft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Build'!$D$10:$I$10</c:f>
              <c:numCache>
                <c:formatCode>#,##0</c:formatCode>
                <c:ptCount val="6"/>
                <c:pt idx="0">
                  <c:v>25</c:v>
                </c:pt>
                <c:pt idx="1">
                  <c:v>35</c:v>
                </c:pt>
                <c:pt idx="2">
                  <c:v>56</c:v>
                </c:pt>
                <c:pt idx="3">
                  <c:v>83</c:v>
                </c:pt>
                <c:pt idx="4">
                  <c:v>169</c:v>
                </c:pt>
                <c:pt idx="5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60-468B-B950-37894B3B1DCC}"/>
            </c:ext>
          </c:extLst>
        </c:ser>
        <c:ser>
          <c:idx val="3"/>
          <c:order val="3"/>
          <c:tx>
            <c:strRef>
              <c:f>'Capex Build'!$C$11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Build'!$D$11:$I$11</c:f>
              <c:numCache>
                <c:formatCode>#,##0</c:formatCode>
                <c:ptCount val="6"/>
                <c:pt idx="0">
                  <c:v>32</c:v>
                </c:pt>
                <c:pt idx="1">
                  <c:v>28</c:v>
                </c:pt>
                <c:pt idx="2">
                  <c:v>39</c:v>
                </c:pt>
                <c:pt idx="3">
                  <c:v>72</c:v>
                </c:pt>
                <c:pt idx="4">
                  <c:v>138</c:v>
                </c:pt>
                <c:pt idx="5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60-468B-B950-37894B3B1DCC}"/>
            </c:ext>
          </c:extLst>
        </c:ser>
        <c:ser>
          <c:idx val="4"/>
          <c:order val="4"/>
          <c:tx>
            <c:strRef>
              <c:f>'Capex Build'!$C$12</c:f>
              <c:strCache>
                <c:ptCount val="1"/>
                <c:pt idx="0">
                  <c:v>Oracle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'Capex Build'!$D$7:$I$7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Build'!$D$12:$I$12</c:f>
              <c:numCache>
                <c:formatCode>#,##0</c:formatCode>
                <c:ptCount val="6"/>
                <c:pt idx="0">
                  <c:v>7</c:v>
                </c:pt>
                <c:pt idx="1">
                  <c:v>7</c:v>
                </c:pt>
                <c:pt idx="2">
                  <c:v>11</c:v>
                </c:pt>
                <c:pt idx="3">
                  <c:v>35</c:v>
                </c:pt>
                <c:pt idx="4">
                  <c:v>92</c:v>
                </c:pt>
                <c:pt idx="5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60-468B-B950-37894B3B1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216934"/>
        <c:axId val="60545454"/>
      </c:barChart>
      <c:catAx>
        <c:axId val="142169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60545454"/>
        <c:crosses val="autoZero"/>
        <c:auto val="1"/>
        <c:lblAlgn val="ctr"/>
        <c:lblOffset val="100"/>
        <c:noMultiLvlLbl val="0"/>
      </c:catAx>
      <c:valAx>
        <c:axId val="60545454"/>
        <c:scaling>
          <c:orientation val="minMax"/>
        </c:scaling>
        <c:delete val="0"/>
        <c:axPos val="l"/>
        <c:majorGridlines>
          <c:spPr>
            <a:ln w="9360" cap="flat" cmpd="sng" algn="ctr">
              <a:solidFill>
                <a:srgbClr val="878787"/>
              </a:solidFill>
              <a:prstDash val="solid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Capex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 w="9360" cap="flat" cmpd="sng" algn="ctr">
            <a:solidFill>
              <a:srgbClr val="878787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uFillTx/>
                <a:latin typeface="Calibri"/>
                <a:ea typeface="+mn-ea"/>
                <a:cs typeface="+mn-cs"/>
              </a:defRPr>
            </a:pPr>
            <a:endParaRPr lang="en-US"/>
          </a:p>
        </c:txPr>
        <c:crossAx val="14216934"/>
        <c:crosses val="autoZero"/>
        <c:crossBetween val="between"/>
      </c:valAx>
      <c:spPr>
        <a:solidFill>
          <a:srgbClr val="FFFFFF"/>
        </a:solidFill>
        <a:ln w="0">
          <a:noFill/>
        </a:ln>
        <a:effectLst/>
      </c:spPr>
    </c:plotArea>
    <c:legend>
      <c:legendPos val="b"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uFillTx/>
              <a:latin typeface="Calibri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 cap="flat" cmpd="sng" algn="ctr">
      <a:solidFill>
        <a:srgbClr val="D9D9D9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AI investment as a share of GDP and of private fixed investment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'Capex Build'!$C$23</c:f>
              <c:strCache>
                <c:ptCount val="1"/>
                <c:pt idx="0">
                  <c:v>Share of GDP 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'Capex Build'!$D$19:$I$19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Build'!$D$23:$I$23</c:f>
              <c:numCache>
                <c:formatCode>0.00%</c:formatCode>
                <c:ptCount val="6"/>
                <c:pt idx="0">
                  <c:v>6.0919540229885053E-3</c:v>
                </c:pt>
                <c:pt idx="1">
                  <c:v>5.5755395683453239E-3</c:v>
                </c:pt>
                <c:pt idx="2">
                  <c:v>8.2312925170068031E-3</c:v>
                </c:pt>
                <c:pt idx="3">
                  <c:v>1.3365695792880258E-2</c:v>
                </c:pt>
                <c:pt idx="4">
                  <c:v>2.4654088050314465E-2</c:v>
                </c:pt>
                <c:pt idx="5">
                  <c:v>3.3333333333333333E-2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B1-4ED8-849B-3A0B5362FD65}"/>
            </c:ext>
          </c:extLst>
        </c:ser>
        <c:ser>
          <c:idx val="4"/>
          <c:order val="4"/>
          <c:tx>
            <c:strRef>
              <c:f>'Capex Build'!$C$24</c:f>
              <c:strCache>
                <c:ptCount val="1"/>
                <c:pt idx="0">
                  <c:v>Share of gross private fixed investment (%)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'Capex Build'!$D$19:$I$19</c:f>
              <c:strCache>
                <c:ptCount val="6"/>
                <c:pt idx="0">
                  <c:v> 2022 </c:v>
                </c:pt>
                <c:pt idx="1">
                  <c:v> 2023 </c:v>
                </c:pt>
                <c:pt idx="2">
                  <c:v> 2024 </c:v>
                </c:pt>
                <c:pt idx="3">
                  <c:v> 2025 </c:v>
                </c:pt>
                <c:pt idx="4">
                  <c:v> 2026f </c:v>
                </c:pt>
                <c:pt idx="5">
                  <c:v> 2027e </c:v>
                </c:pt>
              </c:strCache>
            </c:strRef>
          </c:cat>
          <c:val>
            <c:numRef>
              <c:f>'Capex Build'!$D$24:$I$24</c:f>
              <c:numCache>
                <c:formatCode>0.00%</c:formatCode>
                <c:ptCount val="6"/>
                <c:pt idx="0">
                  <c:v>3.3829787234042556E-2</c:v>
                </c:pt>
                <c:pt idx="1">
                  <c:v>3.1E-2</c:v>
                </c:pt>
                <c:pt idx="2">
                  <c:v>4.5660377358490566E-2</c:v>
                </c:pt>
                <c:pt idx="3">
                  <c:v>7.3749999999999996E-2</c:v>
                </c:pt>
                <c:pt idx="4">
                  <c:v>0.1375438596491228</c:v>
                </c:pt>
                <c:pt idx="5">
                  <c:v>0.18474576271186441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B1-4ED8-849B-3A0B5362F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975830"/>
        <c:axId val="708139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'Capex Build'!$C$20</c15:sqref>
                        </c15:formulaRef>
                      </c:ext>
                    </c:extLst>
                    <c:strCache>
                      <c:ptCount val="1"/>
                      <c:pt idx="0">
                        <c:v>AI capex ($B)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'Capex Build'!$D$19:$I$19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2027e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'Capex Build'!$D$20:$I$20</c15:sqref>
                        </c15:formulaRef>
                      </c:ext>
                    </c:extLst>
                    <c:numCache>
                      <c:formatCode>#,##0</c:formatCode>
                      <c:ptCount val="6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5B1-4ED8-849B-3A0B5362FD6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Build'!$C$21</c15:sqref>
                        </c15:formulaRef>
                      </c:ext>
                    </c:extLst>
                    <c:strCache>
                      <c:ptCount val="1"/>
                      <c:pt idx="0">
                        <c:v>U.S. nominal GDP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2027e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Build'!$D$21:$I$21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>
                        <c:v>26.1</c:v>
                      </c:pt>
                      <c:pt idx="1">
                        <c:v>27.8</c:v>
                      </c:pt>
                      <c:pt idx="2">
                        <c:v>29.4</c:v>
                      </c:pt>
                      <c:pt idx="3">
                        <c:v>30.9</c:v>
                      </c:pt>
                      <c:pt idx="4">
                        <c:v>31.8</c:v>
                      </c:pt>
                      <c:pt idx="5">
                        <c:v>32.700000000000003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5B1-4ED8-849B-3A0B5362FD6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Build'!$C$22</c15:sqref>
                        </c15:formulaRef>
                      </c:ext>
                    </c:extLst>
                    <c:strCache>
                      <c:ptCount val="1"/>
                      <c:pt idx="0">
                        <c:v>U.S. gross private fixed investment ($T)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Build'!$D$19:$I$19</c15:sqref>
                        </c15:formulaRef>
                      </c:ext>
                    </c:extLst>
                    <c:strCache>
                      <c:ptCount val="6"/>
                      <c:pt idx="0">
                        <c:v> 2022 </c:v>
                      </c:pt>
                      <c:pt idx="1">
                        <c:v> 2023 </c:v>
                      </c:pt>
                      <c:pt idx="2">
                        <c:v> 2024 </c:v>
                      </c:pt>
                      <c:pt idx="3">
                        <c:v> 2025 </c:v>
                      </c:pt>
                      <c:pt idx="4">
                        <c:v> 2026f </c:v>
                      </c:pt>
                      <c:pt idx="5">
                        <c:v> 2027e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'Capex Build'!$D$22:$I$22</c15:sqref>
                        </c15:formulaRef>
                      </c:ext>
                    </c:extLst>
                    <c:numCache>
                      <c:formatCode>#,##0.0</c:formatCode>
                      <c:ptCount val="6"/>
                      <c:pt idx="0" formatCode="#,##0.00">
                        <c:v>4.7</c:v>
                      </c:pt>
                      <c:pt idx="1">
                        <c:v>5</c:v>
                      </c:pt>
                      <c:pt idx="2" formatCode="#,##0.00">
                        <c:v>5.3</c:v>
                      </c:pt>
                      <c:pt idx="3" formatCode="#,##0.00">
                        <c:v>5.6</c:v>
                      </c:pt>
                      <c:pt idx="4" formatCode="#,##0.00">
                        <c:v>5.7</c:v>
                      </c:pt>
                      <c:pt idx="5" formatCode="#,##0.00">
                        <c:v>5.9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5B1-4ED8-849B-3A0B5362FD65}"/>
                  </c:ext>
                </c:extLst>
              </c15:ser>
            </c15:filteredLineSeries>
          </c:ext>
        </c:extLst>
      </c:lineChart>
      <c:catAx>
        <c:axId val="669758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1392"/>
        <c:crosses val="autoZero"/>
        <c:auto val="1"/>
        <c:lblAlgn val="ctr"/>
        <c:lblOffset val="100"/>
        <c:noMultiLvlLbl val="0"/>
      </c:catAx>
      <c:valAx>
        <c:axId val="70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7583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Moderate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'Model 1 - Inv &amp; GDP Paths'!$H$35</c:f>
              <c:strCache>
                <c:ptCount val="1"/>
                <c:pt idx="0">
                  <c:v> Friction / Moderate 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7E-4648-B4D1-F8C773E0B2AB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B7E-4648-B4D1-F8C773E0B2AB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7E-4648-B4D1-F8C773E0B2AB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B7E-4648-B4D1-F8C773E0B2AB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B7E-4648-B4D1-F8C773E0B2AB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B7E-4648-B4D1-F8C773E0B2AB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B7E-4648-B4D1-F8C773E0B2AB}"/>
              </c:ext>
            </c:extLst>
          </c:dPt>
          <c:dPt>
            <c:idx val="7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B7E-4648-B4D1-F8C773E0B2AB}"/>
              </c:ext>
            </c:extLst>
          </c:dPt>
          <c:dPt>
            <c:idx val="8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B7E-4648-B4D1-F8C773E0B2AB}"/>
              </c:ext>
            </c:extLst>
          </c:dPt>
          <c:dPt>
            <c:idx val="9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B7E-4648-B4D1-F8C773E0B2AB}"/>
              </c:ext>
            </c:extLst>
          </c:dPt>
          <c:dPt>
            <c:idx val="1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B7E-4648-B4D1-F8C773E0B2AB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Paths'!$H$36:$H$46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1375.6697296930793</c:v>
                </c:pt>
                <c:pt idx="7">
                  <c:v>1307.1217313853228</c:v>
                </c:pt>
                <c:pt idx="8">
                  <c:v>482.26432984615673</c:v>
                </c:pt>
                <c:pt idx="9">
                  <c:v>516.728447487209</c:v>
                </c:pt>
                <c:pt idx="10">
                  <c:v>539.70452591457706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D-08D4-49DB-88BB-E8F5E433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5B7E-4648-B4D1-F8C773E0B2AB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B7E-4648-B4D1-F8C773E0B2AB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5-5B7E-4648-B4D1-F8C773E0B2AB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5B7E-4648-B4D1-F8C773E0B2AB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5B7E-4648-B4D1-F8C773E0B2AB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5B7E-4648-B4D1-F8C773E0B2AB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08D4-49DB-88BB-E8F5E4335BE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D4-49DB-88BB-E8F5E4335BEB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D4-49DB-88BB-E8F5E4335BE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D4-49DB-88BB-E8F5E4335BE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D4-49DB-88BB-E8F5E4335BE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D4-49DB-88BB-E8F5E4335BE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D4-49DB-88BB-E8F5E4335BEB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Transformative (a)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5"/>
          <c:tx>
            <c:strRef>
              <c:f>'Model 1 - Inv &amp; GDP Paths'!$I$35</c:f>
              <c:strCache>
                <c:ptCount val="1"/>
                <c:pt idx="0">
                  <c:v> Friction / Trans-a 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484-4F32-A5AC-FD12DFD466B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484-4F32-A5AC-FD12DFD466B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484-4F32-A5AC-FD12DFD466B4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484-4F32-A5AC-FD12DFD466B4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484-4F32-A5AC-FD12DFD466B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484-4F32-A5AC-FD12DFD466B4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484-4F32-A5AC-FD12DFD466B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7484-4F32-A5AC-FD12DFD466B4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7484-4F32-A5AC-FD12DFD466B4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7484-4F32-A5AC-FD12DFD466B4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7484-4F32-A5AC-FD12DFD466B4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Paths'!$I$36:$I$46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1375.6697296930793</c:v>
                </c:pt>
                <c:pt idx="7">
                  <c:v>5173.7869675441461</c:v>
                </c:pt>
                <c:pt idx="8">
                  <c:v>2095.5025062888467</c:v>
                </c:pt>
                <c:pt idx="9">
                  <c:v>2076.08563497965</c:v>
                </c:pt>
                <c:pt idx="10">
                  <c:v>2063.1410541068526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D-7484-4F32-A5AC-FD12DFD46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7484-4F32-A5AC-FD12DFD466B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7484-4F32-A5AC-FD12DFD466B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7484-4F32-A5AC-FD12DFD466B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7484-4F32-A5AC-FD12DFD466B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7484-4F32-A5AC-FD12DFD466B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7484-4F32-A5AC-FD12DFD466B4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7484-4F32-A5AC-FD12DFD466B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7484-4F32-A5AC-FD12DFD466B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7484-4F32-A5AC-FD12DFD466B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7484-4F32-A5AC-FD12DFD466B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7484-4F32-A5AC-FD12DFD466B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7484-4F32-A5AC-FD12DFD466B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7484-4F32-A5AC-FD12DFD466B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84-4F32-A5AC-FD12DFD466B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84-4F32-A5AC-FD12DFD466B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84-4F32-A5AC-FD12DFD466B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84-4F32-A5AC-FD12DFD466B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84-4F32-A5AC-FD12DFD466B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84-4F32-A5AC-FD12DFD466B4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Transformative (b)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6"/>
          <c:tx>
            <c:strRef>
              <c:f>'Model 1 - Inv &amp; GDP Paths'!$J$35</c:f>
              <c:strCache>
                <c:ptCount val="1"/>
                <c:pt idx="0">
                  <c:v> Friction / Trans-b </c:v>
                </c:pt>
              </c:strCache>
              <c:extLst xmlns:c15="http://schemas.microsoft.com/office/drawing/2012/chart"/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EF73-42D7-A285-4C0E4EE1214D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F73-42D7-A285-4C0E4EE1214D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EF73-42D7-A285-4C0E4EE1214D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F73-42D7-A285-4C0E4EE1214D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EF73-42D7-A285-4C0E4EE1214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EF73-42D7-A285-4C0E4EE1214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EF73-42D7-A285-4C0E4EE1214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EF73-42D7-A285-4C0E4EE1214D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EF73-42D7-A285-4C0E4EE1214D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EF73-42D7-A285-4C0E4EE1214D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EF73-42D7-A285-4C0E4EE1214D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Paths'!$J$36:$J$46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1375.6697296930793</c:v>
                </c:pt>
                <c:pt idx="7">
                  <c:v>1307.1217313853228</c:v>
                </c:pt>
                <c:pt idx="8">
                  <c:v>2417.7246093020822</c:v>
                </c:pt>
                <c:pt idx="9">
                  <c:v>2290.9003703218068</c:v>
                </c:pt>
                <c:pt idx="10">
                  <c:v>2206.3508776682902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1E-EF73-42D7-A285-4C0E4EE12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EF73-42D7-A285-4C0E4EE1214D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EF73-42D7-A285-4C0E4EE1214D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EF73-42D7-A285-4C0E4EE1214D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EF73-42D7-A285-4C0E4EE1214D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EF73-42D7-A285-4C0E4EE1214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EF73-42D7-A285-4C0E4EE1214D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EF73-42D7-A285-4C0E4EE1214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73-42D7-A285-4C0E4EE1214D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EF73-42D7-A285-4C0E4EE1214D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EF73-42D7-A285-4C0E4EE1214D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EF73-42D7-A285-4C0E4EE1214D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EF73-42D7-A285-4C0E4EE1214D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EF73-42D7-A285-4C0E4EE1214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EF73-42D7-A285-4C0E4EE1214D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73-42D7-A285-4C0E4EE1214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73-42D7-A285-4C0E4EE1214D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73-42D7-A285-4C0E4EE1214D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73-42D7-A285-4C0E4EE1214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Paths'!$K$35</c15:sqref>
                        </c15:formulaRef>
                      </c:ext>
                    </c:extLst>
                    <c:strCache>
                      <c:ptCount val="1"/>
                      <c:pt idx="0">
                        <c:v> Friction / Singularity 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Paths'!$K$36:$K$46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8828.1502040267442</c:v>
                      </c:pt>
                      <c:pt idx="9">
                        <c:v>8247.6793579060541</c:v>
                      </c:pt>
                      <c:pt idx="10">
                        <c:v>7860.698793825597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73-42D7-A285-4C0E4EE1214D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Investment, partial adjustment: Singularity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7"/>
          <c:tx>
            <c:strRef>
              <c:f>'Model 1 - Inv &amp; GDP Paths'!$K$35</c:f>
              <c:strCache>
                <c:ptCount val="1"/>
                <c:pt idx="0">
                  <c:v> Friction / Singularity 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C448-40D1-B51A-CB22D6F2238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C448-40D1-B51A-CB22D6F2238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C448-40D1-B51A-CB22D6F22384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C448-40D1-B51A-CB22D6F22384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C448-40D1-B51A-CB22D6F22384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C448-40D1-B51A-CB22D6F22384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C448-40D1-B51A-CB22D6F22384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C448-40D1-B51A-CB22D6F22384}"/>
              </c:ext>
            </c:extLst>
          </c:dPt>
          <c:dPt>
            <c:idx val="8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C448-40D1-B51A-CB22D6F22384}"/>
              </c:ext>
            </c:extLst>
          </c:dPt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C448-40D1-B51A-CB22D6F22384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C448-40D1-B51A-CB22D6F22384}"/>
              </c:ext>
            </c:extLst>
          </c:dPt>
          <c:cat>
            <c:numRef>
              <c:f>'Model 1 - Inv &amp; GDP Paths'!$C$36:$C$46</c:f>
              <c:numCache>
                <c:formatCode>0</c:formatCode>
                <c:ptCount val="1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</c:numCache>
              <c:extLst xmlns:c15="http://schemas.microsoft.com/office/drawing/2012/chart"/>
            </c:numRef>
          </c:cat>
          <c:val>
            <c:numRef>
              <c:f>'Model 1 - Inv &amp; GDP Paths'!$K$36:$K$46</c:f>
              <c:numCache>
                <c:formatCode>0</c:formatCode>
                <c:ptCount val="11"/>
                <c:pt idx="0">
                  <c:v>159</c:v>
                </c:pt>
                <c:pt idx="1">
                  <c:v>155</c:v>
                </c:pt>
                <c:pt idx="2">
                  <c:v>242</c:v>
                </c:pt>
                <c:pt idx="3">
                  <c:v>413</c:v>
                </c:pt>
                <c:pt idx="4">
                  <c:v>784</c:v>
                </c:pt>
                <c:pt idx="5">
                  <c:v>1090</c:v>
                </c:pt>
                <c:pt idx="6">
                  <c:v>1375.6697296930793</c:v>
                </c:pt>
                <c:pt idx="7">
                  <c:v>5173.7869675441461</c:v>
                </c:pt>
                <c:pt idx="8">
                  <c:v>8828.1502040267442</c:v>
                </c:pt>
                <c:pt idx="9">
                  <c:v>8247.6793579060541</c:v>
                </c:pt>
                <c:pt idx="10">
                  <c:v>7860.698793825597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B-C448-40D1-B51A-CB22D6F22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4055183"/>
        <c:axId val="66405662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'Model 1 - Inv &amp; GDP Paths'!$D$35</c15:sqref>
                        </c15:formulaRef>
                      </c:ext>
                    </c:extLst>
                    <c:strCache>
                      <c:ptCount val="1"/>
                      <c:pt idx="0">
                        <c:v> No friction / Moderate 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E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C448-40D1-B51A-CB22D6F22384}"/>
                    </c:ext>
                  </c:extLst>
                </c:dPt>
                <c:cat>
                  <c:numRef>
                    <c:extLst>
                      <c:ext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'Model 1 - Inv &amp; GDP Paths'!$D$36:$D$46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-1167.4504732321755</c:v>
                      </c:pt>
                      <c:pt idx="9">
                        <c:v>585.65668276931365</c:v>
                      </c:pt>
                      <c:pt idx="10">
                        <c:v>585.65668276931331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9-C448-40D1-B51A-CB22D6F22384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Trans-a 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C448-40D1-B51A-CB22D6F2238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Paths'!$E$36:$E$46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-4061.0664162217518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448-40D1-B51A-CB22D6F22384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Paths'!$F$35</c15:sqref>
                        </c15:formulaRef>
                      </c:ext>
                    </c:extLst>
                    <c:strCache>
                      <c:ptCount val="1"/>
                      <c:pt idx="0">
                        <c:v> No friction / Trans-b 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Paths'!$F$36:$F$46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1170.0257347698096</c:v>
                      </c:pt>
                      <c:pt idx="8">
                        <c:v>4638.9303651356004</c:v>
                      </c:pt>
                      <c:pt idx="9">
                        <c:v>2037.2518923612572</c:v>
                      </c:pt>
                      <c:pt idx="10">
                        <c:v>2037.2518923612572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448-40D1-B51A-CB22D6F2238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Paths'!$G$35</c15:sqref>
                        </c15:formulaRef>
                      </c:ext>
                    </c:extLst>
                    <c:strCache>
                      <c:ptCount val="1"/>
                      <c:pt idx="0">
                        <c:v> No friction / Singularity 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C448-40D1-B51A-CB22D6F22384}"/>
                    </c:ext>
                  </c:extLst>
                </c:dPt>
                <c:dPt>
                  <c:idx val="1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C448-40D1-B51A-CB22D6F22384}"/>
                    </c:ext>
                  </c:extLst>
                </c:dPt>
                <c:dPt>
                  <c:idx val="2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448-40D1-B51A-CB22D6F22384}"/>
                    </c:ext>
                  </c:extLst>
                </c:dPt>
                <c:dPt>
                  <c:idx val="3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C448-40D1-B51A-CB22D6F22384}"/>
                    </c:ext>
                  </c:extLst>
                </c:dPt>
                <c:dPt>
                  <c:idx val="4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9-C448-40D1-B51A-CB22D6F22384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C448-40D1-B51A-CB22D6F22384}"/>
                    </c:ext>
                  </c:extLst>
                </c:dPt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Paths'!$G$36:$G$46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3020.8216890792382</c:v>
                      </c:pt>
                      <c:pt idx="7">
                        <c:v>12770.021443246278</c:v>
                      </c:pt>
                      <c:pt idx="8">
                        <c:v>16136.876676991937</c:v>
                      </c:pt>
                      <c:pt idx="9">
                        <c:v>7086.7376656646793</c:v>
                      </c:pt>
                      <c:pt idx="10">
                        <c:v>7086.7376656646793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448-40D1-B51A-CB22D6F2238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Paths'!$H$35</c15:sqref>
                        </c15:formulaRef>
                      </c:ext>
                    </c:extLst>
                    <c:strCache>
                      <c:ptCount val="1"/>
                      <c:pt idx="0">
                        <c:v> Friction / Moderate 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Paths'!$H$36:$H$46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482.26432984615673</c:v>
                      </c:pt>
                      <c:pt idx="9">
                        <c:v>516.728447487209</c:v>
                      </c:pt>
                      <c:pt idx="10">
                        <c:v>539.70452591457706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448-40D1-B51A-CB22D6F2238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Trans-a 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Paths'!$I$36:$I$46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5173.7869675441461</c:v>
                      </c:pt>
                      <c:pt idx="8">
                        <c:v>2095.5025062888467</c:v>
                      </c:pt>
                      <c:pt idx="9">
                        <c:v>2076.08563497965</c:v>
                      </c:pt>
                      <c:pt idx="10">
                        <c:v>2063.1410541068526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448-40D1-B51A-CB22D6F2238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Paths'!$J$35</c15:sqref>
                        </c15:formulaRef>
                      </c:ext>
                    </c:extLst>
                    <c:strCache>
                      <c:ptCount val="1"/>
                      <c:pt idx="0">
                        <c:v> Friction / Trans-b 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Paths'!$C$36:$C$46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'Model 1 - Inv &amp; GDP Paths'!$J$36:$J$46</c15:sqref>
                        </c15:formulaRef>
                      </c:ext>
                    </c:extLst>
                    <c:numCache>
                      <c:formatCode>0</c:formatCode>
                      <c:ptCount val="11"/>
                      <c:pt idx="0">
                        <c:v>159</c:v>
                      </c:pt>
                      <c:pt idx="1">
                        <c:v>155</c:v>
                      </c:pt>
                      <c:pt idx="2">
                        <c:v>242</c:v>
                      </c:pt>
                      <c:pt idx="3">
                        <c:v>413</c:v>
                      </c:pt>
                      <c:pt idx="4">
                        <c:v>784</c:v>
                      </c:pt>
                      <c:pt idx="5">
                        <c:v>1090</c:v>
                      </c:pt>
                      <c:pt idx="6">
                        <c:v>1375.6697296930793</c:v>
                      </c:pt>
                      <c:pt idx="7">
                        <c:v>1307.1217313853228</c:v>
                      </c:pt>
                      <c:pt idx="8">
                        <c:v>2417.7246093020822</c:v>
                      </c:pt>
                      <c:pt idx="9">
                        <c:v>2290.9003703218068</c:v>
                      </c:pt>
                      <c:pt idx="10">
                        <c:v>2206.3508776682902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448-40D1-B51A-CB22D6F22384}"/>
                  </c:ext>
                </c:extLst>
              </c15:ser>
            </c15:filteredBarSeries>
          </c:ext>
        </c:extLst>
      </c:barChart>
      <c:catAx>
        <c:axId val="664055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6623"/>
        <c:crosses val="autoZero"/>
        <c:auto val="1"/>
        <c:lblAlgn val="ctr"/>
        <c:lblOffset val="100"/>
        <c:noMultiLvlLbl val="0"/>
      </c:catAx>
      <c:valAx>
        <c:axId val="664056623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Investment ($B)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55183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Long-run cumulative GDP level gain (expected)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Moderate</c:v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Paths'!$C$241:$C$268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Paths'!$F$241:$F$268</c:f>
              <c:numCache>
                <c:formatCode>0.00%</c:formatCode>
                <c:ptCount val="28"/>
                <c:pt idx="0">
                  <c:v>0</c:v>
                </c:pt>
                <c:pt idx="1">
                  <c:v>4.08541082337599E-2</c:v>
                </c:pt>
                <c:pt idx="2">
                  <c:v>4.393348537154762E-2</c:v>
                </c:pt>
                <c:pt idx="3">
                  <c:v>5.1404204942523402E-2</c:v>
                </c:pt>
                <c:pt idx="4">
                  <c:v>6.4986888741632942E-2</c:v>
                </c:pt>
                <c:pt idx="5">
                  <c:v>7.843665145505474E-2</c:v>
                </c:pt>
                <c:pt idx="6">
                  <c:v>9.066996077286138E-2</c:v>
                </c:pt>
                <c:pt idx="7">
                  <c:v>8.0555928173807745E-2</c:v>
                </c:pt>
                <c:pt idx="8">
                  <c:v>8.8898949947411543E-2</c:v>
                </c:pt>
                <c:pt idx="9">
                  <c:v>9.7862336388391036E-2</c:v>
                </c:pt>
                <c:pt idx="10">
                  <c:v>0.10749221614545057</c:v>
                </c:pt>
                <c:pt idx="11">
                  <c:v>0.11783814786958735</c:v>
                </c:pt>
                <c:pt idx="12">
                  <c:v>0.12895337525983908</c:v>
                </c:pt>
                <c:pt idx="13">
                  <c:v>0.14089510107354863</c:v>
                </c:pt>
                <c:pt idx="14">
                  <c:v>0.15372478151129543</c:v>
                </c:pt>
                <c:pt idx="15">
                  <c:v>0.16750844249149743</c:v>
                </c:pt>
                <c:pt idx="16">
                  <c:v>0.18231701944234424</c:v>
                </c:pt>
                <c:pt idx="17">
                  <c:v>0.19822672235974204</c:v>
                </c:pt>
                <c:pt idx="18">
                  <c:v>0.21531942800998993</c:v>
                </c:pt>
                <c:pt idx="19">
                  <c:v>0.23368310129558734</c:v>
                </c:pt>
                <c:pt idx="20">
                  <c:v>0.25341224795267436</c:v>
                </c:pt>
                <c:pt idx="21">
                  <c:v>0.27460840090983529</c:v>
                </c:pt>
                <c:pt idx="22">
                  <c:v>0.29738064281123422</c:v>
                </c:pt>
                <c:pt idx="23">
                  <c:v>0.32184616739316696</c:v>
                </c:pt>
                <c:pt idx="24">
                  <c:v>0.34813088260306402</c:v>
                </c:pt>
                <c:pt idx="25">
                  <c:v>0.37637005856480088</c:v>
                </c:pt>
                <c:pt idx="26">
                  <c:v>0.40670902372496598</c:v>
                </c:pt>
                <c:pt idx="27">
                  <c:v>0.43930391276269543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4-4D2A-B343-0904F76EFA15}"/>
            </c:ext>
          </c:extLst>
        </c:ser>
        <c:ser>
          <c:idx val="1"/>
          <c:order val="1"/>
          <c:tx>
            <c:v>Transformative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Paths'!$C$241:$C$268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Paths'!$I$241:$I$268</c:f>
              <c:numCache>
                <c:formatCode>0.00%</c:formatCode>
                <c:ptCount val="28"/>
                <c:pt idx="0">
                  <c:v>0</c:v>
                </c:pt>
                <c:pt idx="1">
                  <c:v>4.08541082337599E-2</c:v>
                </c:pt>
                <c:pt idx="2">
                  <c:v>4.393348537154762E-2</c:v>
                </c:pt>
                <c:pt idx="3">
                  <c:v>5.1404204942523402E-2</c:v>
                </c:pt>
                <c:pt idx="4">
                  <c:v>6.4986888741632942E-2</c:v>
                </c:pt>
                <c:pt idx="5">
                  <c:v>7.843665145505474E-2</c:v>
                </c:pt>
                <c:pt idx="6">
                  <c:v>0.2491670116158744</c:v>
                </c:pt>
                <c:pt idx="7">
                  <c:v>0.35865665396060153</c:v>
                </c:pt>
                <c:pt idx="8">
                  <c:v>0.38767849798006182</c:v>
                </c:pt>
                <c:pt idx="9">
                  <c:v>0.41885832829037972</c:v>
                </c:pt>
                <c:pt idx="10">
                  <c:v>0.45235660695000979</c:v>
                </c:pt>
                <c:pt idx="11">
                  <c:v>0.48834572754464345</c:v>
                </c:pt>
                <c:pt idx="12">
                  <c:v>0.5270109023834928</c:v>
                </c:pt>
                <c:pt idx="13">
                  <c:v>0.56855111566510552</c:v>
                </c:pt>
                <c:pt idx="14">
                  <c:v>0.61318014751802985</c:v>
                </c:pt>
                <c:pt idx="15">
                  <c:v>0.66112767418638585</c:v>
                </c:pt>
                <c:pt idx="16">
                  <c:v>0.71264045002228138</c:v>
                </c:pt>
                <c:pt idx="17">
                  <c:v>0.76798357736800238</c:v>
                </c:pt>
                <c:pt idx="18">
                  <c:v>0.8274418708632334</c:v>
                </c:pt>
                <c:pt idx="19">
                  <c:v>0.89132132319849022</c:v>
                </c:pt>
                <c:pt idx="20">
                  <c:v>0.95995067985803884</c:v>
                </c:pt>
                <c:pt idx="21">
                  <c:v>1.0336831309564647</c:v>
                </c:pt>
                <c:pt idx="22">
                  <c:v>1.112898128875659</c:v>
                </c:pt>
                <c:pt idx="23">
                  <c:v>1.1980033410564035</c:v>
                </c:pt>
                <c:pt idx="24">
                  <c:v>1.2894367479942903</c:v>
                </c:pt>
                <c:pt idx="25">
                  <c:v>1.3876688972369751</c:v>
                </c:pt>
                <c:pt idx="26">
                  <c:v>1.4932053249826045</c:v>
                </c:pt>
                <c:pt idx="27">
                  <c:v>1.6065891577417966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14-4D2A-B343-0904F76EFA15}"/>
            </c:ext>
          </c:extLst>
        </c:ser>
        <c:ser>
          <c:idx val="2"/>
          <c:order val="2"/>
          <c:tx>
            <c:v>Singularity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1 - Inv &amp; GDP Paths'!$C$241:$C$268</c:f>
              <c:numCache>
                <c:formatCode>General</c:formatCode>
                <c:ptCount val="28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</c:numCache>
            </c:numRef>
          </c:cat>
          <c:val>
            <c:numRef>
              <c:f>'Model 1 - Inv &amp; GDP Paths'!$L$241:$L$268</c:f>
              <c:numCache>
                <c:formatCode>0.00%</c:formatCode>
                <c:ptCount val="28"/>
                <c:pt idx="0">
                  <c:v>0</c:v>
                </c:pt>
                <c:pt idx="1">
                  <c:v>4.08541082337599E-2</c:v>
                </c:pt>
                <c:pt idx="2">
                  <c:v>4.393348537154762E-2</c:v>
                </c:pt>
                <c:pt idx="3">
                  <c:v>5.1404204942523402E-2</c:v>
                </c:pt>
                <c:pt idx="4">
                  <c:v>6.4986888741632942E-2</c:v>
                </c:pt>
                <c:pt idx="5">
                  <c:v>7.843665145505474E-2</c:v>
                </c:pt>
                <c:pt idx="6">
                  <c:v>0.2491670116158744</c:v>
                </c:pt>
                <c:pt idx="7">
                  <c:v>1.3260514546092779</c:v>
                </c:pt>
                <c:pt idx="8">
                  <c:v>1.4270061749906509</c:v>
                </c:pt>
                <c:pt idx="9">
                  <c:v>1.5354676169447217</c:v>
                </c:pt>
                <c:pt idx="10">
                  <c:v>1.6519939601044693</c:v>
                </c:pt>
                <c:pt idx="11">
                  <c:v>1.7771848888396162</c:v>
                </c:pt>
                <c:pt idx="12">
                  <c:v>1.9116846784372554</c:v>
                </c:pt>
                <c:pt idx="13">
                  <c:v>2.056185510762583</c:v>
                </c:pt>
                <c:pt idx="14">
                  <c:v>2.2114310364632335</c:v>
                </c:pt>
                <c:pt idx="15">
                  <c:v>2.3782202020495609</c:v>
                </c:pt>
                <c:pt idx="16">
                  <c:v>2.5574113615463192</c:v>
                </c:pt>
                <c:pt idx="17">
                  <c:v>2.7499266938757052</c:v>
                </c:pt>
                <c:pt idx="18">
                  <c:v>2.9567569487051273</c:v>
                </c:pt>
                <c:pt idx="19">
                  <c:v>3.1789665451834503</c:v>
                </c:pt>
                <c:pt idx="20">
                  <c:v>3.4176990498055728</c:v>
                </c:pt>
                <c:pt idx="21">
                  <c:v>3.6741830615962652</c:v>
                </c:pt>
                <c:pt idx="22">
                  <c:v>3.9497385349004732</c:v>
                </c:pt>
                <c:pt idx="23">
                  <c:v>4.2457835723193007</c:v>
                </c:pt>
                <c:pt idx="24">
                  <c:v>4.5638417227504444</c:v>
                </c:pt>
                <c:pt idx="25">
                  <c:v>4.9055498220913014</c:v>
                </c:pt>
                <c:pt idx="26">
                  <c:v>5.2726664169556665</c:v>
                </c:pt>
                <c:pt idx="27">
                  <c:v>5.6670808147553791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14-4D2A-B343-0904F76E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1418912"/>
        <c:axId val="1401417952"/>
      </c:lineChart>
      <c:catAx>
        <c:axId val="1401418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7952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401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Cumulative GDP level gain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141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Risk-free 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ERP'!$D$33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ERP'!$D$35:$D$40</c:f>
              <c:numCache>
                <c:formatCode>0.00%</c:formatCode>
                <c:ptCount val="6"/>
                <c:pt idx="0">
                  <c:v>3.8990872960193934E-2</c:v>
                </c:pt>
                <c:pt idx="1">
                  <c:v>3.7692866178037729E-2</c:v>
                </c:pt>
                <c:pt idx="2">
                  <c:v>3.6263500892810566E-2</c:v>
                </c:pt>
                <c:pt idx="3">
                  <c:v>3.4685998823678205E-2</c:v>
                </c:pt>
                <c:pt idx="4">
                  <c:v>3.2942222037019429E-2</c:v>
                </c:pt>
                <c:pt idx="5">
                  <c:v>3.1012821646448835E-2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A1-4D5E-91CA-7A71850BADEB}"/>
            </c:ext>
          </c:extLst>
        </c:ser>
        <c:ser>
          <c:idx val="1"/>
          <c:order val="1"/>
          <c:tx>
            <c:strRef>
              <c:f>'Model 2 - Riskfree and ERP'!$F$33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ERP'!$F$35:$F$40</c:f>
              <c:numCache>
                <c:formatCode>0.00%</c:formatCode>
                <c:ptCount val="6"/>
                <c:pt idx="0">
                  <c:v>4.1474305769771444E-2</c:v>
                </c:pt>
                <c:pt idx="1">
                  <c:v>3.9976409172369255E-2</c:v>
                </c:pt>
                <c:pt idx="2">
                  <c:v>3.8362839843922414E-2</c:v>
                </c:pt>
                <c:pt idx="3">
                  <c:v>3.6615651232820727E-2</c:v>
                </c:pt>
                <c:pt idx="4">
                  <c:v>3.4715614375910649E-2</c:v>
                </c:pt>
                <c:pt idx="5">
                  <c:v>3.2642363051865297E-2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A1-4D5E-91CA-7A71850BADEB}"/>
            </c:ext>
          </c:extLst>
        </c:ser>
        <c:ser>
          <c:idx val="2"/>
          <c:order val="2"/>
          <c:tx>
            <c:strRef>
              <c:f>'Model 2 - Riskfree and ERP'!$H$33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ERP'!$H$35:$H$40</c:f>
              <c:numCache>
                <c:formatCode>0.00%</c:formatCode>
                <c:ptCount val="6"/>
                <c:pt idx="0">
                  <c:v>4.5382803904628177E-2</c:v>
                </c:pt>
                <c:pt idx="1">
                  <c:v>4.2756168673598452E-2</c:v>
                </c:pt>
                <c:pt idx="2">
                  <c:v>4.0269561235141839E-2</c:v>
                </c:pt>
                <c:pt idx="3">
                  <c:v>3.7852569346005172E-2</c:v>
                </c:pt>
                <c:pt idx="4">
                  <c:v>3.5443339033502094E-2</c:v>
                </c:pt>
                <c:pt idx="5">
                  <c:v>3.2987152503738307E-2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A1-4D5E-91CA-7A71850BADEB}"/>
            </c:ext>
          </c:extLst>
        </c:ser>
        <c:ser>
          <c:idx val="3"/>
          <c:order val="3"/>
          <c:tx>
            <c:strRef>
              <c:f>'Model 2 - Riskfree and ERP'!$L$33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ERP'!$L$35:$L$40</c:f>
              <c:numCache>
                <c:formatCode>0.00%</c:formatCode>
                <c:ptCount val="6"/>
                <c:pt idx="0">
                  <c:v>5.6068540404935648E-2</c:v>
                </c:pt>
                <c:pt idx="1">
                  <c:v>4.5223682411141317E-2</c:v>
                </c:pt>
                <c:pt idx="2">
                  <c:v>3.9561571314436009E-2</c:v>
                </c:pt>
                <c:pt idx="3">
                  <c:v>3.6125972388570494E-2</c:v>
                </c:pt>
                <c:pt idx="4">
                  <c:v>3.3570091206667527E-2</c:v>
                </c:pt>
                <c:pt idx="5">
                  <c:v>3.1286430722735778E-2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CA1-4D5E-91CA-7A71850BADEB}"/>
            </c:ext>
          </c:extLst>
        </c:ser>
        <c:ser>
          <c:idx val="4"/>
          <c:order val="4"/>
          <c:tx>
            <c:strRef>
              <c:f>'Model 2 - Riskfree and ERP'!$J$33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'Model 2 - Riskfree and ERP'!$C$35:$C$40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'Model 2 - Riskfree and ERP'!$J$35:$J$40</c:f>
              <c:numCache>
                <c:formatCode>0.00%</c:formatCode>
                <c:ptCount val="6"/>
                <c:pt idx="0">
                  <c:v>5.0588724507854559E-2</c:v>
                </c:pt>
                <c:pt idx="1">
                  <c:v>4.4900423439532121E-2</c:v>
                </c:pt>
                <c:pt idx="2">
                  <c:v>4.0726722775749721E-2</c:v>
                </c:pt>
                <c:pt idx="3">
                  <c:v>3.7443668328034488E-2</c:v>
                </c:pt>
                <c:pt idx="4">
                  <c:v>3.4643738364612604E-2</c:v>
                </c:pt>
                <c:pt idx="5">
                  <c:v>3.2061781654775419E-2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A1-4D5E-91CA-7A71850BA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Risk aversion (γ)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6.0000000000000012E-2"/>
          <c:min val="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Annual rate (%)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Equity risk premium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'Model 2 - Riskfree and ERP'!$D$33</c:f>
              <c:strCache>
                <c:ptCount val="1"/>
                <c:pt idx="0">
                  <c:v> No AI 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ERP'!$E$35:$E$40</c:f>
              <c:numCache>
                <c:formatCode>0.00%</c:formatCode>
                <c:ptCount val="6"/>
                <c:pt idx="0">
                  <c:v>1.1819993323024418E-3</c:v>
                </c:pt>
                <c:pt idx="1">
                  <c:v>2.4800061144585341E-3</c:v>
                </c:pt>
                <c:pt idx="2">
                  <c:v>3.9093713996859059E-3</c:v>
                </c:pt>
                <c:pt idx="3">
                  <c:v>5.4868734688181342E-3</c:v>
                </c:pt>
                <c:pt idx="4">
                  <c:v>7.2306502554769841E-3</c:v>
                </c:pt>
                <c:pt idx="5">
                  <c:v>9.1600506460474997E-3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D2-4711-814F-580C83A15D4D}"/>
            </c:ext>
          </c:extLst>
        </c:ser>
        <c:ser>
          <c:idx val="1"/>
          <c:order val="1"/>
          <c:tx>
            <c:strRef>
              <c:f>'Model 2 - Riskfree and ERP'!$F$33</c:f>
              <c:strCache>
                <c:ptCount val="1"/>
                <c:pt idx="0">
                  <c:v> Moderate </c:v>
                </c:pt>
              </c:strCache>
            </c:strRef>
          </c:tx>
          <c:spPr>
            <a:ln w="28575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ERP'!$G$35:$G$40</c:f>
              <c:numCache>
                <c:formatCode>0.00%</c:formatCode>
                <c:ptCount val="6"/>
                <c:pt idx="0">
                  <c:v>1.3988237962039461E-3</c:v>
                </c:pt>
                <c:pt idx="1">
                  <c:v>2.8967203936061756E-3</c:v>
                </c:pt>
                <c:pt idx="2">
                  <c:v>4.5102897220532547E-3</c:v>
                </c:pt>
                <c:pt idx="3">
                  <c:v>6.2574783331547281E-3</c:v>
                </c:pt>
                <c:pt idx="4">
                  <c:v>8.1575151900647614E-3</c:v>
                </c:pt>
                <c:pt idx="5">
                  <c:v>1.0230766514110165E-2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D2-4711-814F-580C83A15D4D}"/>
            </c:ext>
          </c:extLst>
        </c:ser>
        <c:ser>
          <c:idx val="2"/>
          <c:order val="2"/>
          <c:tx>
            <c:strRef>
              <c:f>'Model 2 - Riskfree and ERP'!$H$33</c:f>
              <c:strCache>
                <c:ptCount val="1"/>
                <c:pt idx="0">
                  <c:v> Transformative 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ERP'!$I$35:$I$40</c:f>
              <c:numCache>
                <c:formatCode>0.00%</c:formatCode>
                <c:ptCount val="6"/>
                <c:pt idx="0">
                  <c:v>2.8471917803246493E-3</c:v>
                </c:pt>
                <c:pt idx="1">
                  <c:v>5.4738270113544561E-3</c:v>
                </c:pt>
                <c:pt idx="2">
                  <c:v>7.9604344498111594E-3</c:v>
                </c:pt>
                <c:pt idx="3">
                  <c:v>1.0377426338947617E-2</c:v>
                </c:pt>
                <c:pt idx="4">
                  <c:v>1.2786656651450935E-2</c:v>
                </c:pt>
                <c:pt idx="5">
                  <c:v>1.5242843181214735E-2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D2-4711-814F-580C83A15D4D}"/>
            </c:ext>
          </c:extLst>
        </c:ser>
        <c:ser>
          <c:idx val="3"/>
          <c:order val="3"/>
          <c:tx>
            <c:strRef>
              <c:f>'Model 2 - Riskfree and ERP'!$L$33</c:f>
              <c:strCache>
                <c:ptCount val="1"/>
                <c:pt idx="0">
                  <c:v> Absorbing Limit 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'Model 2 - Riskfree and ERP'!$M$35:$M$40</c:f>
              <c:numCache>
                <c:formatCode>0.00%</c:formatCode>
                <c:ptCount val="6"/>
                <c:pt idx="0">
                  <c:v>2.2241822099766745E-2</c:v>
                </c:pt>
                <c:pt idx="1">
                  <c:v>3.3086680093560916E-2</c:v>
                </c:pt>
                <c:pt idx="2">
                  <c:v>3.8748791190266342E-2</c:v>
                </c:pt>
                <c:pt idx="3">
                  <c:v>4.2184390116131565E-2</c:v>
                </c:pt>
                <c:pt idx="4">
                  <c:v>4.4740271298034762E-2</c:v>
                </c:pt>
                <c:pt idx="5">
                  <c:v>4.7023931781966469E-2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D2-4711-814F-580C83A15D4D}"/>
            </c:ext>
          </c:extLst>
        </c:ser>
        <c:ser>
          <c:idx val="4"/>
          <c:order val="4"/>
          <c:tx>
            <c:strRef>
              <c:f>'Model 2 - Riskfree and ERP'!$J$33</c:f>
              <c:strCache>
                <c:ptCount val="1"/>
                <c:pt idx="0">
                  <c:v> Singularity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'Model 2 - Riskfree and ERP'!$K$35:$K$40</c:f>
              <c:numCache>
                <c:formatCode>0.00%</c:formatCode>
                <c:ptCount val="6"/>
                <c:pt idx="0">
                  <c:v>8.1408268141791411E-3</c:v>
                </c:pt>
                <c:pt idx="1">
                  <c:v>1.3829127882501419E-2</c:v>
                </c:pt>
                <c:pt idx="2">
                  <c:v>1.8002828546284086E-2</c:v>
                </c:pt>
                <c:pt idx="3">
                  <c:v>2.1285882993999083E-2</c:v>
                </c:pt>
                <c:pt idx="4">
                  <c:v>2.4085812957421158E-2</c:v>
                </c:pt>
                <c:pt idx="5">
                  <c:v>2.6667769667258125E-2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D2-4711-814F-580C83A15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9465407"/>
        <c:axId val="1019453407"/>
      </c:lineChart>
      <c:catAx>
        <c:axId val="101946540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Risk aversion (γ)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53407"/>
        <c:crosses val="autoZero"/>
        <c:auto val="1"/>
        <c:lblAlgn val="ctr"/>
        <c:lblOffset val="100"/>
        <c:noMultiLvlLbl val="0"/>
      </c:catAx>
      <c:valAx>
        <c:axId val="1019453407"/>
        <c:scaling>
          <c:orientation val="minMax"/>
          <c:max val="4.5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900" b="0"/>
                </a:pPr>
                <a:r>
                  <a:rPr lang="en-US" sz="900" b="0"/>
                  <a:t>Annual rate (%)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4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99392</xdr:colOff>
      <xdr:row>25</xdr:row>
      <xdr:rowOff>129298</xdr:rowOff>
    </xdr:from>
    <xdr:to>
      <xdr:col>17</xdr:col>
      <xdr:colOff>238643</xdr:colOff>
      <xdr:row>49</xdr:row>
      <xdr:rowOff>24847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584AE59-9851-E191-2640-FD4952FC3291}"/>
            </a:ext>
          </a:extLst>
        </xdr:cNvPr>
        <xdr:cNvGrpSpPr/>
      </xdr:nvGrpSpPr>
      <xdr:grpSpPr>
        <a:xfrm>
          <a:off x="226392" y="4307598"/>
          <a:ext cx="10362751" cy="3857949"/>
          <a:chOff x="115957" y="3967370"/>
          <a:chExt cx="9076185" cy="4442701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86E89765-7B31-412F-91B4-842D5969A7BE}"/>
              </a:ext>
            </a:extLst>
          </xdr:cNvPr>
          <xdr:cNvGraphicFramePr>
            <a:graphicFrameLocks/>
          </xdr:cNvGraphicFramePr>
        </xdr:nvGraphicFramePr>
        <xdr:xfrm>
          <a:off x="115957" y="3967370"/>
          <a:ext cx="4536868" cy="2221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6C0B429-8926-40B1-97C1-D28EED50795C}"/>
              </a:ext>
            </a:extLst>
          </xdr:cNvPr>
          <xdr:cNvGraphicFramePr>
            <a:graphicFrameLocks/>
          </xdr:cNvGraphicFramePr>
        </xdr:nvGraphicFramePr>
        <xdr:xfrm>
          <a:off x="4659415" y="3967370"/>
          <a:ext cx="4532727" cy="2221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C8C41E79-0DDB-414C-AAB1-AF0CC44F5913}"/>
              </a:ext>
            </a:extLst>
          </xdr:cNvPr>
          <xdr:cNvGraphicFramePr>
            <a:graphicFrameLocks/>
          </xdr:cNvGraphicFramePr>
        </xdr:nvGraphicFramePr>
        <xdr:xfrm>
          <a:off x="115957" y="6188720"/>
          <a:ext cx="4536868" cy="2221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FDF1AA6C-97D0-4B18-9A99-F08B16621BF4}"/>
              </a:ext>
            </a:extLst>
          </xdr:cNvPr>
          <xdr:cNvGraphicFramePr>
            <a:graphicFrameLocks/>
          </xdr:cNvGraphicFramePr>
        </xdr:nvGraphicFramePr>
        <xdr:xfrm>
          <a:off x="4659414" y="6188720"/>
          <a:ext cx="4532727" cy="22213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2</xdr:col>
      <xdr:colOff>0</xdr:colOff>
      <xdr:row>49</xdr:row>
      <xdr:rowOff>87082</xdr:rowOff>
    </xdr:from>
    <xdr:to>
      <xdr:col>17</xdr:col>
      <xdr:colOff>251310</xdr:colOff>
      <xdr:row>73</xdr:row>
      <xdr:rowOff>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3265144A-5BD5-3F1E-506F-7A1AAF4154DD}"/>
            </a:ext>
          </a:extLst>
        </xdr:cNvPr>
        <xdr:cNvGrpSpPr/>
      </xdr:nvGrpSpPr>
      <xdr:grpSpPr>
        <a:xfrm>
          <a:off x="254000" y="8227782"/>
          <a:ext cx="10347810" cy="3875318"/>
          <a:chOff x="306457" y="9360618"/>
          <a:chExt cx="9076185" cy="4451301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70302619-B272-4B24-9E17-DE8C889C7116}"/>
              </a:ext>
            </a:extLst>
          </xdr:cNvPr>
          <xdr:cNvGraphicFramePr>
            <a:graphicFrameLocks/>
          </xdr:cNvGraphicFramePr>
        </xdr:nvGraphicFramePr>
        <xdr:xfrm>
          <a:off x="306457" y="9360618"/>
          <a:ext cx="4536868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A1555CA5-C284-48D6-BDFF-7D566D8E72AB}"/>
              </a:ext>
            </a:extLst>
          </xdr:cNvPr>
          <xdr:cNvGraphicFramePr>
            <a:graphicFrameLocks/>
          </xdr:cNvGraphicFramePr>
        </xdr:nvGraphicFramePr>
        <xdr:xfrm>
          <a:off x="4841632" y="9360618"/>
          <a:ext cx="4532727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8A1E6CAB-04E7-4AD8-9678-5554E2A6862C}"/>
              </a:ext>
            </a:extLst>
          </xdr:cNvPr>
          <xdr:cNvGraphicFramePr>
            <a:graphicFrameLocks/>
          </xdr:cNvGraphicFramePr>
        </xdr:nvGraphicFramePr>
        <xdr:xfrm>
          <a:off x="306457" y="11586259"/>
          <a:ext cx="4536868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C76B342D-E1C3-4A22-8716-2DED1B09B6EB}"/>
              </a:ext>
            </a:extLst>
          </xdr:cNvPr>
          <xdr:cNvGraphicFramePr>
            <a:graphicFrameLocks/>
          </xdr:cNvGraphicFramePr>
        </xdr:nvGraphicFramePr>
        <xdr:xfrm>
          <a:off x="4849915" y="11586259"/>
          <a:ext cx="4532727" cy="2225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85725</xdr:colOff>
      <xdr:row>74</xdr:row>
      <xdr:rowOff>150649</xdr:rowOff>
    </xdr:from>
    <xdr:to>
      <xdr:col>9</xdr:col>
      <xdr:colOff>390180</xdr:colOff>
      <xdr:row>86</xdr:row>
      <xdr:rowOff>118885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1A10056-4EA1-4DE3-AEAE-4430AD630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388487</xdr:colOff>
      <xdr:row>74</xdr:row>
      <xdr:rowOff>150649</xdr:rowOff>
    </xdr:from>
    <xdr:to>
      <xdr:col>17</xdr:col>
      <xdr:colOff>216693</xdr:colOff>
      <xdr:row>86</xdr:row>
      <xdr:rowOff>118885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45AF35-AAF1-4117-BF35-6B062F37E3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79099</xdr:colOff>
      <xdr:row>87</xdr:row>
      <xdr:rowOff>147845</xdr:rowOff>
    </xdr:from>
    <xdr:to>
      <xdr:col>9</xdr:col>
      <xdr:colOff>397634</xdr:colOff>
      <xdr:row>99</xdr:row>
      <xdr:rowOff>83197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F550D47-2783-408C-9C0E-1C2BE515F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70816</xdr:colOff>
      <xdr:row>100</xdr:row>
      <xdr:rowOff>15322</xdr:rowOff>
    </xdr:from>
    <xdr:to>
      <xdr:col>9</xdr:col>
      <xdr:colOff>408746</xdr:colOff>
      <xdr:row>116</xdr:row>
      <xdr:rowOff>108087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0030B27-C136-41E3-B6F1-9853C0C99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100852</xdr:colOff>
      <xdr:row>120</xdr:row>
      <xdr:rowOff>101970</xdr:rowOff>
    </xdr:from>
    <xdr:to>
      <xdr:col>9</xdr:col>
      <xdr:colOff>403411</xdr:colOff>
      <xdr:row>138</xdr:row>
      <xdr:rowOff>21288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F5CED97-235B-47E3-BFD5-755619644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442634</xdr:colOff>
      <xdr:row>120</xdr:row>
      <xdr:rowOff>100852</xdr:rowOff>
    </xdr:from>
    <xdr:to>
      <xdr:col>17</xdr:col>
      <xdr:colOff>263340</xdr:colOff>
      <xdr:row>138</xdr:row>
      <xdr:rowOff>20170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6CC192B-1F79-4951-85AB-4EF6104CA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67360</xdr:colOff>
      <xdr:row>6</xdr:row>
      <xdr:rowOff>16372</xdr:rowOff>
    </xdr:from>
    <xdr:to>
      <xdr:col>9</xdr:col>
      <xdr:colOff>344583</xdr:colOff>
      <xdr:row>23</xdr:row>
      <xdr:rowOff>89648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A120092-F36A-4CEC-A6F9-DD39CCF59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9</xdr:col>
      <xdr:colOff>509870</xdr:colOff>
      <xdr:row>6</xdr:row>
      <xdr:rowOff>14910</xdr:rowOff>
    </xdr:from>
    <xdr:to>
      <xdr:col>17</xdr:col>
      <xdr:colOff>330576</xdr:colOff>
      <xdr:row>23</xdr:row>
      <xdr:rowOff>91110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28B132B3-B7AA-4748-B389-C100D4429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495300</xdr:colOff>
      <xdr:row>100</xdr:row>
      <xdr:rowOff>28575</xdr:rowOff>
    </xdr:from>
    <xdr:to>
      <xdr:col>17</xdr:col>
      <xdr:colOff>342900</xdr:colOff>
      <xdr:row>117</xdr:row>
      <xdr:rowOff>19050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8D7AB39C-42C8-44E8-AE48-49A195639F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374023</xdr:colOff>
      <xdr:row>100</xdr:row>
      <xdr:rowOff>29747</xdr:rowOff>
    </xdr:from>
    <xdr:to>
      <xdr:col>25</xdr:col>
      <xdr:colOff>221623</xdr:colOff>
      <xdr:row>117</xdr:row>
      <xdr:rowOff>20222</xdr:rowOff>
    </xdr:to>
    <xdr:graphicFrame macro="">
      <xdr:nvGraphicFramePr>
        <xdr:cNvPr id="25" name="Chart 2">
          <a:extLst>
            <a:ext uri="{FF2B5EF4-FFF2-40B4-BE49-F238E27FC236}">
              <a16:creationId xmlns:a16="http://schemas.microsoft.com/office/drawing/2014/main" id="{BE7EB4B2-CE4C-4F4D-A582-51199134D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240673</xdr:colOff>
      <xdr:row>100</xdr:row>
      <xdr:rowOff>29747</xdr:rowOff>
    </xdr:from>
    <xdr:to>
      <xdr:col>33</xdr:col>
      <xdr:colOff>88273</xdr:colOff>
      <xdr:row>117</xdr:row>
      <xdr:rowOff>20222</xdr:rowOff>
    </xdr:to>
    <xdr:graphicFrame macro="">
      <xdr:nvGraphicFramePr>
        <xdr:cNvPr id="26" name="Chart 16">
          <a:extLst>
            <a:ext uri="{FF2B5EF4-FFF2-40B4-BE49-F238E27FC236}">
              <a16:creationId xmlns:a16="http://schemas.microsoft.com/office/drawing/2014/main" id="{EC54E5E9-DDD3-4970-9F3A-BC06392AD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333375</xdr:colOff>
      <xdr:row>3</xdr:row>
      <xdr:rowOff>152400</xdr:rowOff>
    </xdr:from>
    <xdr:to>
      <xdr:col>15</xdr:col>
      <xdr:colOff>108014</xdr:colOff>
      <xdr:row>18</xdr:row>
      <xdr:rowOff>60576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32D4CE-40D5-45EF-BF35-6D5E64A71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130426</xdr:colOff>
      <xdr:row>3</xdr:row>
      <xdr:rowOff>152402</xdr:rowOff>
    </xdr:from>
    <xdr:to>
      <xdr:col>23</xdr:col>
      <xdr:colOff>54226</xdr:colOff>
      <xdr:row>18</xdr:row>
      <xdr:rowOff>63502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19C9D4-6A08-4321-B5BE-91E9115F1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137832</xdr:colOff>
      <xdr:row>35</xdr:row>
      <xdr:rowOff>1188</xdr:rowOff>
    </xdr:from>
    <xdr:to>
      <xdr:col>42</xdr:col>
      <xdr:colOff>98266</xdr:colOff>
      <xdr:row>46</xdr:row>
      <xdr:rowOff>149278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BCABE6D-A573-491F-8617-20DF173C0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537110</xdr:colOff>
      <xdr:row>35</xdr:row>
      <xdr:rowOff>23599</xdr:rowOff>
    </xdr:from>
    <xdr:to>
      <xdr:col>51</xdr:col>
      <xdr:colOff>497545</xdr:colOff>
      <xdr:row>47</xdr:row>
      <xdr:rowOff>14807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BBBED65-090A-476B-B865-C99E513E7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366431</xdr:colOff>
      <xdr:row>35</xdr:row>
      <xdr:rowOff>21218</xdr:rowOff>
    </xdr:from>
    <xdr:to>
      <xdr:col>60</xdr:col>
      <xdr:colOff>326865</xdr:colOff>
      <xdr:row>47</xdr:row>
      <xdr:rowOff>12426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C59170-0177-47B3-AB92-72639B44F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384710</xdr:colOff>
      <xdr:row>35</xdr:row>
      <xdr:rowOff>21218</xdr:rowOff>
    </xdr:from>
    <xdr:to>
      <xdr:col>68</xdr:col>
      <xdr:colOff>345145</xdr:colOff>
      <xdr:row>47</xdr:row>
      <xdr:rowOff>12426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31B36D6-2BCF-494C-924B-357AF1C607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986116</xdr:colOff>
      <xdr:row>93</xdr:row>
      <xdr:rowOff>158000</xdr:rowOff>
    </xdr:from>
    <xdr:to>
      <xdr:col>11</xdr:col>
      <xdr:colOff>414616</xdr:colOff>
      <xdr:row>111</xdr:row>
      <xdr:rowOff>43700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744401F-05FF-BC3B-6C82-F4562EE9D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106453</xdr:colOff>
      <xdr:row>41</xdr:row>
      <xdr:rowOff>68354</xdr:rowOff>
    </xdr:from>
    <xdr:to>
      <xdr:col>5</xdr:col>
      <xdr:colOff>543483</xdr:colOff>
      <xdr:row>58</xdr:row>
      <xdr:rowOff>144554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796A8B-C509-5734-6972-FB7C6D7704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582706</xdr:colOff>
      <xdr:row>41</xdr:row>
      <xdr:rowOff>67236</xdr:rowOff>
    </xdr:from>
    <xdr:to>
      <xdr:col>8</xdr:col>
      <xdr:colOff>1019735</xdr:colOff>
      <xdr:row>58</xdr:row>
      <xdr:rowOff>143436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20BD70-E99A-46B7-AEFA-B04451F81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75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66178AC-C6C5-4461-AB78-E2F4E6734232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94844c60-451e-4ff9-9309-c168106d7b79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30"/>
  <sheetViews>
    <sheetView showGridLines="0" tabSelected="1" zoomScaleNormal="100" workbookViewId="0">
      <selection activeCell="F31" sqref="F31"/>
    </sheetView>
  </sheetViews>
  <sheetFormatPr baseColWidth="10" defaultColWidth="8.6640625" defaultRowHeight="13" x14ac:dyDescent="0.15"/>
  <cols>
    <col min="1" max="2" width="1.6640625" style="29" customWidth="1"/>
    <col min="3" max="3" width="56.1640625" style="29" bestFit="1" customWidth="1"/>
    <col min="4" max="4" width="55" style="29" customWidth="1"/>
    <col min="5" max="5" width="22" style="29" customWidth="1"/>
    <col min="6" max="16384" width="8.6640625" style="29"/>
  </cols>
  <sheetData>
    <row r="2" spans="1:5" ht="15.75" customHeight="1" x14ac:dyDescent="0.2">
      <c r="B2" s="30"/>
      <c r="C2" s="1" t="s">
        <v>0</v>
      </c>
    </row>
    <row r="3" spans="1:5" ht="15" customHeight="1" x14ac:dyDescent="0.15">
      <c r="C3" s="2" t="s">
        <v>1</v>
      </c>
    </row>
    <row r="4" spans="1:5" x14ac:dyDescent="0.15">
      <c r="C4" s="102" t="s">
        <v>268</v>
      </c>
    </row>
    <row r="5" spans="1:5" x14ac:dyDescent="0.15">
      <c r="C5" s="102"/>
    </row>
    <row r="6" spans="1:5" ht="15" customHeight="1" x14ac:dyDescent="0.15">
      <c r="A6" s="29" t="s">
        <v>2</v>
      </c>
      <c r="C6" s="3" t="s">
        <v>3</v>
      </c>
    </row>
    <row r="7" spans="1:5" ht="15" customHeight="1" x14ac:dyDescent="0.3">
      <c r="C7" s="15" t="s">
        <v>4</v>
      </c>
      <c r="D7" s="105" t="s">
        <v>5</v>
      </c>
      <c r="E7" s="105"/>
    </row>
    <row r="8" spans="1:5" ht="15" customHeight="1" x14ac:dyDescent="0.15">
      <c r="C8" s="13" t="s">
        <v>6</v>
      </c>
      <c r="D8" s="4"/>
      <c r="E8" s="5"/>
    </row>
    <row r="9" spans="1:5" ht="15" customHeight="1" x14ac:dyDescent="0.15">
      <c r="C9" s="13" t="s">
        <v>7</v>
      </c>
      <c r="D9" s="4" t="s">
        <v>8</v>
      </c>
      <c r="E9" s="5"/>
    </row>
    <row r="10" spans="1:5" ht="15" customHeight="1" x14ac:dyDescent="0.15">
      <c r="C10" s="13" t="s">
        <v>9</v>
      </c>
      <c r="D10" s="4" t="s">
        <v>10</v>
      </c>
      <c r="E10" s="5"/>
    </row>
    <row r="11" spans="1:5" ht="15" customHeight="1" x14ac:dyDescent="0.15">
      <c r="C11" s="13" t="s">
        <v>11</v>
      </c>
      <c r="D11" s="4" t="s">
        <v>261</v>
      </c>
      <c r="E11" s="5"/>
    </row>
    <row r="12" spans="1:5" ht="15" customHeight="1" x14ac:dyDescent="0.15">
      <c r="C12" s="13" t="s">
        <v>12</v>
      </c>
      <c r="D12" s="13" t="s">
        <v>13</v>
      </c>
      <c r="E12" s="5"/>
    </row>
    <row r="13" spans="1:5" ht="15" customHeight="1" x14ac:dyDescent="0.15">
      <c r="C13" s="13" t="s">
        <v>14</v>
      </c>
      <c r="D13" s="13" t="s">
        <v>262</v>
      </c>
      <c r="E13" s="5"/>
    </row>
    <row r="14" spans="1:5" ht="15" customHeight="1" x14ac:dyDescent="0.15">
      <c r="C14" s="13" t="s">
        <v>15</v>
      </c>
      <c r="D14" s="4" t="s">
        <v>263</v>
      </c>
      <c r="E14" s="5"/>
    </row>
    <row r="15" spans="1:5" ht="15" customHeight="1" x14ac:dyDescent="0.15">
      <c r="C15" s="13"/>
      <c r="D15" s="4"/>
      <c r="E15" s="5"/>
    </row>
    <row r="16" spans="1:5" ht="15" customHeight="1" x14ac:dyDescent="0.15">
      <c r="A16" s="29" t="s">
        <v>2</v>
      </c>
      <c r="C16" s="3" t="s">
        <v>16</v>
      </c>
    </row>
    <row r="17" spans="1:3" ht="15" customHeight="1" x14ac:dyDescent="0.15">
      <c r="C17" s="26" t="s">
        <v>17</v>
      </c>
    </row>
    <row r="18" spans="1:3" ht="15" customHeight="1" x14ac:dyDescent="0.15">
      <c r="C18" s="27" t="s">
        <v>18</v>
      </c>
    </row>
    <row r="19" spans="1:3" ht="15" customHeight="1" x14ac:dyDescent="0.15">
      <c r="C19" s="25" t="s">
        <v>19</v>
      </c>
    </row>
    <row r="20" spans="1:3" ht="15" customHeight="1" x14ac:dyDescent="0.15">
      <c r="C20" s="28" t="s">
        <v>20</v>
      </c>
    </row>
    <row r="21" spans="1:3" ht="15" customHeight="1" x14ac:dyDescent="0.15">
      <c r="C21" s="4"/>
    </row>
    <row r="22" spans="1:3" ht="15" customHeight="1" x14ac:dyDescent="0.15">
      <c r="A22" s="29" t="s">
        <v>2</v>
      </c>
      <c r="C22" s="85" t="s">
        <v>21</v>
      </c>
    </row>
    <row r="23" spans="1:3" ht="15" customHeight="1" x14ac:dyDescent="0.15">
      <c r="C23" s="25" t="s">
        <v>265</v>
      </c>
    </row>
    <row r="24" spans="1:3" ht="15" customHeight="1" x14ac:dyDescent="0.15">
      <c r="C24" s="25" t="s">
        <v>266</v>
      </c>
    </row>
    <row r="25" spans="1:3" ht="15" customHeight="1" x14ac:dyDescent="0.15">
      <c r="C25" s="25" t="s">
        <v>267</v>
      </c>
    </row>
    <row r="26" spans="1:3" ht="15" customHeight="1" x14ac:dyDescent="0.15">
      <c r="C26" s="25"/>
    </row>
    <row r="27" spans="1:3" ht="15" customHeight="1" x14ac:dyDescent="0.15">
      <c r="C27" s="86"/>
    </row>
    <row r="28" spans="1:3" x14ac:dyDescent="0.15">
      <c r="C28" s="88"/>
    </row>
    <row r="29" spans="1:3" x14ac:dyDescent="0.15">
      <c r="C29" s="87"/>
    </row>
    <row r="30" spans="1:3" x14ac:dyDescent="0.15">
      <c r="C30" s="86"/>
    </row>
  </sheetData>
  <pageMargins left="0.75" right="0.75" top="1" bottom="1" header="0.511811023622047" footer="0.511811023622047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2A9A8-ED51-412D-A091-9E1C356A714B}">
  <sheetPr codeName="Sheet2"/>
  <dimension ref="A2:V120"/>
  <sheetViews>
    <sheetView showGridLines="0" zoomScaleNormal="70" workbookViewId="0"/>
  </sheetViews>
  <sheetFormatPr baseColWidth="10" defaultColWidth="8.83203125" defaultRowHeight="13" x14ac:dyDescent="0.15"/>
  <cols>
    <col min="1" max="2" width="1.6640625" style="29" customWidth="1"/>
    <col min="3" max="16384" width="8.83203125" style="29"/>
  </cols>
  <sheetData>
    <row r="2" spans="1:22" ht="15.75" customHeight="1" x14ac:dyDescent="0.2">
      <c r="B2" s="30"/>
      <c r="C2" s="1" t="s">
        <v>22</v>
      </c>
    </row>
    <row r="3" spans="1:22" ht="15.75" customHeight="1" x14ac:dyDescent="0.15">
      <c r="C3" s="2" t="s">
        <v>23</v>
      </c>
    </row>
    <row r="6" spans="1:22" x14ac:dyDescent="0.15">
      <c r="A6" s="29" t="s">
        <v>2</v>
      </c>
      <c r="C6" s="72" t="s">
        <v>24</v>
      </c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</row>
    <row r="25" spans="1:22" x14ac:dyDescent="0.15">
      <c r="A25" s="29" t="s">
        <v>2</v>
      </c>
      <c r="C25" s="72" t="s">
        <v>25</v>
      </c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</row>
    <row r="30" spans="1:22" x14ac:dyDescent="0.15">
      <c r="I30" s="71"/>
    </row>
    <row r="74" spans="1:22" x14ac:dyDescent="0.15">
      <c r="A74" s="29" t="s">
        <v>2</v>
      </c>
      <c r="C74" s="72" t="s">
        <v>26</v>
      </c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</row>
    <row r="120" spans="1:22" x14ac:dyDescent="0.15">
      <c r="A120" s="29" t="s">
        <v>2</v>
      </c>
      <c r="C120" s="72" t="s">
        <v>27</v>
      </c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E51"/>
  <sheetViews>
    <sheetView showGridLines="0" zoomScaleNormal="100" workbookViewId="0"/>
  </sheetViews>
  <sheetFormatPr baseColWidth="10" defaultColWidth="8.6640625" defaultRowHeight="13" x14ac:dyDescent="0.15"/>
  <cols>
    <col min="1" max="2" width="1.6640625" style="29" customWidth="1"/>
    <col min="3" max="3" width="32" style="29" customWidth="1"/>
    <col min="4" max="4" width="18" style="29" customWidth="1"/>
    <col min="5" max="5" width="50" style="29" customWidth="1"/>
    <col min="6" max="16384" width="8.6640625" style="29"/>
  </cols>
  <sheetData>
    <row r="2" spans="1:5" ht="15.75" customHeight="1" x14ac:dyDescent="0.2">
      <c r="B2" s="30"/>
      <c r="C2" s="1" t="s">
        <v>9</v>
      </c>
    </row>
    <row r="3" spans="1:5" ht="15.75" customHeight="1" x14ac:dyDescent="0.15">
      <c r="C3" s="2" t="s">
        <v>23</v>
      </c>
    </row>
    <row r="5" spans="1:5" ht="15" customHeight="1" x14ac:dyDescent="0.15">
      <c r="A5" s="29" t="s">
        <v>2</v>
      </c>
      <c r="C5" s="132" t="s">
        <v>28</v>
      </c>
      <c r="D5" s="132"/>
      <c r="E5" s="132"/>
    </row>
    <row r="6" spans="1:5" ht="15" customHeight="1" x14ac:dyDescent="0.15">
      <c r="C6" s="48"/>
      <c r="D6" s="48"/>
      <c r="E6" s="48"/>
    </row>
    <row r="7" spans="1:5" ht="15" customHeight="1" x14ac:dyDescent="0.3">
      <c r="C7" s="15" t="s">
        <v>29</v>
      </c>
      <c r="D7" s="15" t="s">
        <v>30</v>
      </c>
      <c r="E7" s="15" t="s">
        <v>5</v>
      </c>
    </row>
    <row r="8" spans="1:5" ht="15" customHeight="1" x14ac:dyDescent="0.15">
      <c r="C8" s="13" t="s">
        <v>31</v>
      </c>
      <c r="D8" s="92">
        <f>1/3</f>
        <v>0.33333333333333331</v>
      </c>
      <c r="E8" s="4" t="s">
        <v>32</v>
      </c>
    </row>
    <row r="9" spans="1:5" ht="15" customHeight="1" x14ac:dyDescent="0.15">
      <c r="C9" s="13" t="s">
        <v>33</v>
      </c>
      <c r="D9" s="93">
        <v>0.25</v>
      </c>
      <c r="E9" s="13" t="s">
        <v>34</v>
      </c>
    </row>
    <row r="10" spans="1:5" ht="15" customHeight="1" x14ac:dyDescent="0.15">
      <c r="C10" s="13" t="s">
        <v>35</v>
      </c>
      <c r="D10" s="93">
        <v>7.0000000000000007E-2</v>
      </c>
      <c r="E10" s="4" t="s">
        <v>36</v>
      </c>
    </row>
    <row r="11" spans="1:5" ht="15" customHeight="1" x14ac:dyDescent="0.15">
      <c r="C11" s="13" t="s">
        <v>37</v>
      </c>
      <c r="D11" s="93">
        <v>0.15</v>
      </c>
      <c r="E11" s="4" t="s">
        <v>38</v>
      </c>
    </row>
    <row r="12" spans="1:5" ht="15" customHeight="1" x14ac:dyDescent="0.15">
      <c r="C12" s="13" t="s">
        <v>39</v>
      </c>
      <c r="D12" s="93">
        <v>0.05</v>
      </c>
      <c r="E12" s="4" t="s">
        <v>40</v>
      </c>
    </row>
    <row r="13" spans="1:5" ht="15" customHeight="1" x14ac:dyDescent="0.15">
      <c r="C13" s="13" t="s">
        <v>41</v>
      </c>
      <c r="D13" s="93">
        <v>0.5</v>
      </c>
      <c r="E13" s="4" t="s">
        <v>42</v>
      </c>
    </row>
    <row r="14" spans="1:5" ht="15" customHeight="1" x14ac:dyDescent="0.15">
      <c r="C14" s="13" t="s">
        <v>43</v>
      </c>
      <c r="D14" s="92">
        <v>3</v>
      </c>
      <c r="E14" s="13" t="s">
        <v>44</v>
      </c>
    </row>
    <row r="15" spans="1:5" ht="15" customHeight="1" x14ac:dyDescent="0.15">
      <c r="C15" s="13" t="s">
        <v>45</v>
      </c>
      <c r="D15" s="94">
        <v>4700</v>
      </c>
      <c r="E15" s="13" t="s">
        <v>46</v>
      </c>
    </row>
    <row r="16" spans="1:5" customFormat="1" ht="15" customHeight="1" x14ac:dyDescent="0.2">
      <c r="C16" s="13" t="s">
        <v>47</v>
      </c>
      <c r="D16" s="93">
        <v>1.06E-2</v>
      </c>
      <c r="E16" s="4" t="s">
        <v>48</v>
      </c>
    </row>
    <row r="17" spans="1:5" customFormat="1" ht="15" customHeight="1" x14ac:dyDescent="0.2">
      <c r="C17" s="13" t="s">
        <v>49</v>
      </c>
      <c r="D17" s="93">
        <v>2.7E-2</v>
      </c>
      <c r="E17" s="4" t="s">
        <v>50</v>
      </c>
    </row>
    <row r="18" spans="1:5" customFormat="1" ht="15" customHeight="1" x14ac:dyDescent="0.2">
      <c r="C18" s="13" t="s">
        <v>51</v>
      </c>
      <c r="D18" s="93">
        <v>0.05</v>
      </c>
      <c r="E18" s="4" t="s">
        <v>52</v>
      </c>
    </row>
    <row r="20" spans="1:5" ht="15" customHeight="1" x14ac:dyDescent="0.15">
      <c r="A20" s="29" t="s">
        <v>2</v>
      </c>
      <c r="C20" s="132" t="s">
        <v>53</v>
      </c>
      <c r="D20" s="132"/>
      <c r="E20" s="132"/>
    </row>
    <row r="21" spans="1:5" ht="15" customHeight="1" x14ac:dyDescent="0.15">
      <c r="C21" s="48"/>
      <c r="D21" s="48"/>
      <c r="E21" s="48"/>
    </row>
    <row r="22" spans="1:5" ht="15" customHeight="1" x14ac:dyDescent="0.3">
      <c r="C22" s="15" t="s">
        <v>29</v>
      </c>
      <c r="D22" s="15" t="s">
        <v>54</v>
      </c>
      <c r="E22" s="15" t="s">
        <v>55</v>
      </c>
    </row>
    <row r="23" spans="1:5" ht="15" customHeight="1" x14ac:dyDescent="0.15">
      <c r="C23" s="13" t="s">
        <v>56</v>
      </c>
      <c r="D23" s="6">
        <f>'Capex Build'!D13</f>
        <v>159</v>
      </c>
      <c r="E23" s="4" t="s">
        <v>57</v>
      </c>
    </row>
    <row r="24" spans="1:5" ht="15" customHeight="1" x14ac:dyDescent="0.15">
      <c r="C24" s="13" t="s">
        <v>58</v>
      </c>
      <c r="D24" s="6">
        <f>'Capex Build'!D15</f>
        <v>2529</v>
      </c>
      <c r="E24" s="4" t="s">
        <v>59</v>
      </c>
    </row>
    <row r="25" spans="1:5" ht="15" customHeight="1" x14ac:dyDescent="0.15">
      <c r="C25" s="13" t="s">
        <v>60</v>
      </c>
      <c r="D25" s="23">
        <f>I_pre/delta_a</f>
        <v>636</v>
      </c>
      <c r="E25" s="4" t="s">
        <v>61</v>
      </c>
    </row>
    <row r="26" spans="1:5" ht="15" customHeight="1" x14ac:dyDescent="0.15">
      <c r="C26" s="13" t="s">
        <v>62</v>
      </c>
      <c r="D26" s="38">
        <f>'Model 1 - Calibration'!D14</f>
        <v>3.4785770440251573</v>
      </c>
      <c r="E26" s="4" t="s">
        <v>63</v>
      </c>
    </row>
    <row r="27" spans="1:5" ht="15" customHeight="1" x14ac:dyDescent="0.15">
      <c r="C27" s="13" t="s">
        <v>64</v>
      </c>
      <c r="D27" s="133">
        <f>'Model 1 - Calibration'!D15</f>
        <v>1.2466233147707957</v>
      </c>
      <c r="E27" s="4" t="s">
        <v>65</v>
      </c>
    </row>
    <row r="28" spans="1:5" ht="15" customHeight="1" x14ac:dyDescent="0.15">
      <c r="C28" s="13" t="s">
        <v>66</v>
      </c>
      <c r="D28" s="23">
        <f>K0*((r_a+delta_a)/alpha)^(1/(1-alpha))</f>
        <v>836.04371177588575</v>
      </c>
      <c r="E28" s="4" t="s">
        <v>67</v>
      </c>
    </row>
    <row r="29" spans="1:5" ht="15" customHeight="1" x14ac:dyDescent="0.15">
      <c r="C29" s="13" t="s">
        <v>68</v>
      </c>
      <c r="D29" s="23">
        <f>z0*exp_xi</f>
        <v>2908.2424635851812</v>
      </c>
      <c r="E29" s="4" t="s">
        <v>69</v>
      </c>
    </row>
    <row r="30" spans="1:5" ht="15" customHeight="1" x14ac:dyDescent="0.15">
      <c r="C30" s="13" t="s">
        <v>70</v>
      </c>
      <c r="D30" s="23">
        <f>z0^(1-alpha)*K0^alpha</f>
        <v>763.2000000000005</v>
      </c>
      <c r="E30" s="4" t="s">
        <v>71</v>
      </c>
    </row>
    <row r="31" spans="1:5" ht="15" customHeight="1" x14ac:dyDescent="0.15">
      <c r="C31" s="13" t="s">
        <v>72</v>
      </c>
      <c r="D31" s="23">
        <f>Kn0*(r_n+delta_n)/alpha</f>
        <v>23353.714285714286</v>
      </c>
      <c r="E31" s="4" t="s">
        <v>73</v>
      </c>
    </row>
    <row r="32" spans="1:5" ht="15" customHeight="1" x14ac:dyDescent="0.15">
      <c r="C32" s="13" t="s">
        <v>74</v>
      </c>
      <c r="D32" s="23">
        <f>Ya0+Yn0</f>
        <v>24116.914285714287</v>
      </c>
      <c r="E32" s="4" t="s">
        <v>75</v>
      </c>
    </row>
    <row r="33" spans="1:5" ht="15" customHeight="1" x14ac:dyDescent="0.15">
      <c r="C33" s="13" t="s">
        <v>76</v>
      </c>
      <c r="D33" s="23">
        <f>(Parameters!D15-I_pre)/delta_n</f>
        <v>64871.428571428565</v>
      </c>
      <c r="E33" s="4" t="s">
        <v>77</v>
      </c>
    </row>
    <row r="34" spans="1:5" ht="15" customHeight="1" x14ac:dyDescent="0.15">
      <c r="C34" s="13" t="s">
        <v>78</v>
      </c>
      <c r="D34" s="134">
        <f>'Model 1 - Calibration'!$D$57/(exp_xi-1)</f>
        <v>0.03</v>
      </c>
      <c r="E34" s="13" t="inlineStr">
        <is>
          <t>Boom probability at fixed paper-baseline growth</t>
        </is>
      </c>
    </row>
    <row r="35" spans="1:5" ht="15" customHeight="1" x14ac:dyDescent="0.15">
      <c r="C35" s="13" t="s">
        <v>80</v>
      </c>
      <c r="D35" s="55">
        <f>Ya0/GDP_0</f>
        <v>3.1645839553034523E-2</v>
      </c>
      <c r="E35" s="13" t="s">
        <v>81</v>
      </c>
    </row>
    <row r="37" spans="1:5" ht="15" customHeight="1" x14ac:dyDescent="0.15">
      <c r="A37" s="29" t="s">
        <v>2</v>
      </c>
      <c r="C37" s="132" t="s">
        <v>82</v>
      </c>
      <c r="D37" s="132"/>
      <c r="E37" s="132"/>
    </row>
    <row r="38" spans="1:5" ht="15" customHeight="1" x14ac:dyDescent="0.15">
      <c r="C38" s="48"/>
      <c r="D38" s="48"/>
      <c r="E38" s="48"/>
    </row>
    <row r="39" spans="1:5" ht="15" customHeight="1" x14ac:dyDescent="0.3">
      <c r="C39" s="15" t="s">
        <v>29</v>
      </c>
      <c r="D39" s="15" t="s">
        <v>30</v>
      </c>
      <c r="E39" s="15" t="s">
        <v>5</v>
      </c>
    </row>
    <row r="40" spans="1:5" ht="15" customHeight="1" x14ac:dyDescent="0.15">
      <c r="C40" s="13" t="s">
        <v>83</v>
      </c>
      <c r="D40" s="93">
        <v>3.5999999999999997E-2</v>
      </c>
      <c r="E40" s="4" t="s">
        <v>84</v>
      </c>
    </row>
    <row r="41" spans="1:5" ht="15" customHeight="1" x14ac:dyDescent="0.15">
      <c r="C41" s="13" t="s">
        <v>85</v>
      </c>
      <c r="D41" s="95">
        <v>-0.15</v>
      </c>
      <c r="E41" s="4" t="s">
        <v>86</v>
      </c>
    </row>
    <row r="42" spans="1:5" ht="15" customHeight="1" x14ac:dyDescent="0.15">
      <c r="C42" s="13" t="s">
        <v>87</v>
      </c>
      <c r="D42" s="93">
        <v>0.02</v>
      </c>
      <c r="E42" s="4" t="s">
        <v>88</v>
      </c>
    </row>
    <row r="43" spans="1:5" ht="15" customHeight="1" x14ac:dyDescent="0.15">
      <c r="C43" s="13" t="s">
        <v>89</v>
      </c>
      <c r="D43" s="93">
        <v>2.5000000000000001E-2</v>
      </c>
      <c r="E43" s="4" t="s">
        <v>90</v>
      </c>
    </row>
    <row r="44" spans="1:5" ht="15" customHeight="1" x14ac:dyDescent="0.15">
      <c r="C44" s="13" t="s">
        <v>91</v>
      </c>
      <c r="D44" s="93">
        <v>0.02</v>
      </c>
      <c r="E44" s="4" t="s">
        <v>92</v>
      </c>
    </row>
    <row r="45" spans="1:5" ht="15" customHeight="1" x14ac:dyDescent="0.15">
      <c r="C45" s="13" t="s">
        <v>93</v>
      </c>
      <c r="D45" s="7">
        <f>EXP(-rho)</f>
        <v>0.98019867330675525</v>
      </c>
      <c r="E45" s="4" t="s">
        <v>94</v>
      </c>
    </row>
    <row r="47" spans="1:5" ht="15" customHeight="1" x14ac:dyDescent="0.15">
      <c r="C47" s="4"/>
      <c r="D47" s="8"/>
      <c r="E47" s="73"/>
    </row>
    <row r="48" spans="1:5" ht="15" customHeight="1" x14ac:dyDescent="0.15">
      <c r="C48" s="4"/>
      <c r="D48" s="8"/>
      <c r="E48" s="73"/>
    </row>
    <row r="49" spans="3:5" ht="15" customHeight="1" x14ac:dyDescent="0.15">
      <c r="C49" s="4"/>
      <c r="D49" s="8"/>
      <c r="E49" s="73"/>
    </row>
    <row r="50" spans="3:5" ht="15" customHeight="1" x14ac:dyDescent="0.15">
      <c r="C50" s="4"/>
      <c r="D50" s="9"/>
      <c r="E50" s="73"/>
    </row>
    <row r="51" spans="3:5" ht="15" customHeight="1" x14ac:dyDescent="0.15">
      <c r="C51" s="4"/>
      <c r="D51" s="9"/>
      <c r="E51" s="73"/>
    </row>
  </sheetData>
  <mergeCells count="3">
    <mergeCell ref="C5:E5"/>
    <mergeCell ref="C20:E20"/>
    <mergeCell ref="C37:E37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7"/>
  <sheetViews>
    <sheetView showGridLines="0" zoomScaleNormal="100" workbookViewId="0"/>
  </sheetViews>
  <sheetFormatPr baseColWidth="10" defaultColWidth="8.6640625" defaultRowHeight="13" x14ac:dyDescent="0.15"/>
  <cols>
    <col min="1" max="2" width="1.6640625" style="29" customWidth="1"/>
    <col min="3" max="3" width="34.33203125" style="29" customWidth="1"/>
    <col min="4" max="9" width="10" style="29" customWidth="1"/>
    <col min="10" max="10" width="28" style="29" customWidth="1"/>
    <col min="11" max="16384" width="8.6640625" style="29"/>
  </cols>
  <sheetData>
    <row r="1" spans="1:9" ht="15" customHeight="1" x14ac:dyDescent="0.15"/>
    <row r="2" spans="1:9" ht="15" customHeight="1" x14ac:dyDescent="0.2">
      <c r="B2" s="30"/>
      <c r="C2" s="1" t="s">
        <v>11</v>
      </c>
    </row>
    <row r="3" spans="1:9" ht="15" customHeight="1" x14ac:dyDescent="0.15">
      <c r="C3" s="2" t="s">
        <v>23</v>
      </c>
    </row>
    <row r="4" spans="1:9" ht="15" customHeight="1" x14ac:dyDescent="0.15"/>
    <row r="5" spans="1:9" ht="15" customHeight="1" x14ac:dyDescent="0.15">
      <c r="A5" s="29" t="s">
        <v>2</v>
      </c>
      <c r="C5" s="99" t="s">
        <v>257</v>
      </c>
      <c r="D5" s="99"/>
      <c r="E5" s="99"/>
      <c r="F5" s="130"/>
      <c r="G5" s="130"/>
      <c r="H5" s="130"/>
      <c r="I5" s="130"/>
    </row>
    <row r="6" spans="1:9" ht="15" customHeight="1" x14ac:dyDescent="0.15">
      <c r="C6" s="48"/>
      <c r="D6" s="48"/>
      <c r="E6" s="48"/>
    </row>
    <row r="7" spans="1:9" ht="15" customHeight="1" x14ac:dyDescent="0.3">
      <c r="C7" s="15" t="s">
        <v>98</v>
      </c>
      <c r="D7" s="15" t="s">
        <v>107</v>
      </c>
      <c r="E7" s="15" t="s">
        <v>108</v>
      </c>
      <c r="F7" s="15" t="s">
        <v>109</v>
      </c>
      <c r="G7" s="15" t="s">
        <v>110</v>
      </c>
      <c r="H7" s="15" t="s">
        <v>96</v>
      </c>
      <c r="I7" s="15" t="s">
        <v>97</v>
      </c>
    </row>
    <row r="8" spans="1:9" ht="15" customHeight="1" x14ac:dyDescent="0.15">
      <c r="C8" s="13" t="s">
        <v>99</v>
      </c>
      <c r="D8" s="127">
        <v>64</v>
      </c>
      <c r="E8" s="127">
        <v>53</v>
      </c>
      <c r="F8" s="127">
        <v>83</v>
      </c>
      <c r="G8" s="127">
        <v>132</v>
      </c>
      <c r="H8" s="127">
        <v>200</v>
      </c>
      <c r="I8" s="127">
        <v>285</v>
      </c>
    </row>
    <row r="9" spans="1:9" ht="15" customHeight="1" x14ac:dyDescent="0.15">
      <c r="C9" s="13" t="s">
        <v>100</v>
      </c>
      <c r="D9" s="127">
        <v>31</v>
      </c>
      <c r="E9" s="127">
        <v>32</v>
      </c>
      <c r="F9" s="127">
        <v>53</v>
      </c>
      <c r="G9" s="127">
        <v>91</v>
      </c>
      <c r="H9" s="127">
        <v>185</v>
      </c>
      <c r="I9" s="127">
        <v>255</v>
      </c>
    </row>
    <row r="10" spans="1:9" ht="15" customHeight="1" x14ac:dyDescent="0.15">
      <c r="C10" s="13" t="s">
        <v>101</v>
      </c>
      <c r="D10" s="127">
        <v>25</v>
      </c>
      <c r="E10" s="127">
        <v>35</v>
      </c>
      <c r="F10" s="127">
        <v>56</v>
      </c>
      <c r="G10" s="127">
        <v>83</v>
      </c>
      <c r="H10" s="127">
        <v>169</v>
      </c>
      <c r="I10" s="127">
        <v>250</v>
      </c>
    </row>
    <row r="11" spans="1:9" ht="15" customHeight="1" x14ac:dyDescent="0.15">
      <c r="C11" s="13" t="s">
        <v>102</v>
      </c>
      <c r="D11" s="127">
        <v>32</v>
      </c>
      <c r="E11" s="127">
        <v>28</v>
      </c>
      <c r="F11" s="127">
        <v>39</v>
      </c>
      <c r="G11" s="127">
        <v>72</v>
      </c>
      <c r="H11" s="127">
        <v>138</v>
      </c>
      <c r="I11" s="127">
        <v>195</v>
      </c>
    </row>
    <row r="12" spans="1:9" ht="15" customHeight="1" x14ac:dyDescent="0.15">
      <c r="C12" s="13" t="s">
        <v>103</v>
      </c>
      <c r="D12" s="127">
        <v>7</v>
      </c>
      <c r="E12" s="127">
        <v>7</v>
      </c>
      <c r="F12" s="127">
        <v>11</v>
      </c>
      <c r="G12" s="127">
        <v>35</v>
      </c>
      <c r="H12" s="127">
        <v>92</v>
      </c>
      <c r="I12" s="127">
        <v>105</v>
      </c>
    </row>
    <row r="13" spans="1:9" ht="15" customHeight="1" thickBot="1" x14ac:dyDescent="0.2">
      <c r="C13" s="16" t="s">
        <v>111</v>
      </c>
      <c r="D13" s="17">
        <f t="shared" ref="D13:I13" si="0">SUM(D8:D12)</f>
        <v>159</v>
      </c>
      <c r="E13" s="17">
        <f t="shared" si="0"/>
        <v>155</v>
      </c>
      <c r="F13" s="17">
        <f t="shared" si="0"/>
        <v>242</v>
      </c>
      <c r="G13" s="17">
        <f t="shared" si="0"/>
        <v>413</v>
      </c>
      <c r="H13" s="17">
        <f t="shared" si="0"/>
        <v>784</v>
      </c>
      <c r="I13" s="17">
        <f t="shared" si="0"/>
        <v>1090</v>
      </c>
    </row>
    <row r="14" spans="1:9" ht="15" customHeight="1" thickTop="1" x14ac:dyDescent="0.15"/>
    <row r="15" spans="1:9" ht="15" customHeight="1" x14ac:dyDescent="0.15">
      <c r="C15" s="18" t="s">
        <v>260</v>
      </c>
      <c r="D15" s="19">
        <f>SUM(F13:I13)</f>
        <v>2529</v>
      </c>
      <c r="E15" s="2"/>
    </row>
    <row r="16" spans="1:9" ht="15" customHeight="1" x14ac:dyDescent="0.15"/>
    <row r="17" spans="1:10" ht="15" customHeight="1" x14ac:dyDescent="0.15">
      <c r="A17" s="29" t="s">
        <v>2</v>
      </c>
      <c r="C17" s="99" t="s">
        <v>258</v>
      </c>
      <c r="D17" s="99"/>
      <c r="E17" s="99"/>
      <c r="F17" s="130"/>
      <c r="G17" s="130"/>
      <c r="H17" s="130"/>
      <c r="I17" s="130"/>
    </row>
    <row r="18" spans="1:10" ht="15" customHeight="1" x14ac:dyDescent="0.15">
      <c r="C18" s="48"/>
      <c r="D18" s="48"/>
      <c r="E18" s="48"/>
    </row>
    <row r="19" spans="1:10" ht="15" customHeight="1" x14ac:dyDescent="0.3">
      <c r="C19" s="15" t="s">
        <v>104</v>
      </c>
      <c r="D19" s="15" t="s">
        <v>107</v>
      </c>
      <c r="E19" s="15" t="s">
        <v>108</v>
      </c>
      <c r="F19" s="15" t="s">
        <v>109</v>
      </c>
      <c r="G19" s="15" t="s">
        <v>110</v>
      </c>
      <c r="H19" s="15" t="s">
        <v>96</v>
      </c>
      <c r="I19" s="15" t="s">
        <v>97</v>
      </c>
      <c r="J19" s="15"/>
    </row>
    <row r="20" spans="1:10" ht="15" customHeight="1" x14ac:dyDescent="0.15">
      <c r="C20" s="13" t="s">
        <v>112</v>
      </c>
      <c r="D20" s="23">
        <f t="shared" ref="D20:I20" si="1">D13</f>
        <v>159</v>
      </c>
      <c r="E20" s="23">
        <f t="shared" si="1"/>
        <v>155</v>
      </c>
      <c r="F20" s="23">
        <f t="shared" si="1"/>
        <v>242</v>
      </c>
      <c r="G20" s="23">
        <f t="shared" si="1"/>
        <v>413</v>
      </c>
      <c r="H20" s="23">
        <f t="shared" si="1"/>
        <v>784</v>
      </c>
      <c r="I20" s="23">
        <f t="shared" si="1"/>
        <v>1090</v>
      </c>
    </row>
    <row r="21" spans="1:10" ht="15" customHeight="1" x14ac:dyDescent="0.15">
      <c r="C21" s="13" t="s">
        <v>105</v>
      </c>
      <c r="D21" s="128">
        <v>26.1</v>
      </c>
      <c r="E21" s="131">
        <v>27.8</v>
      </c>
      <c r="F21" s="128">
        <v>29.4</v>
      </c>
      <c r="G21" s="128">
        <v>30.9</v>
      </c>
      <c r="H21" s="128">
        <v>31.8</v>
      </c>
      <c r="I21" s="128">
        <v>32.700000000000003</v>
      </c>
    </row>
    <row r="22" spans="1:10" ht="15" customHeight="1" x14ac:dyDescent="0.15">
      <c r="C22" s="13" t="s">
        <v>113</v>
      </c>
      <c r="D22" s="129">
        <v>4.7</v>
      </c>
      <c r="E22" s="131">
        <v>5</v>
      </c>
      <c r="F22" s="129">
        <v>5.3</v>
      </c>
      <c r="G22" s="129">
        <v>5.6</v>
      </c>
      <c r="H22" s="129">
        <v>5.7</v>
      </c>
      <c r="I22" s="129">
        <v>5.9</v>
      </c>
    </row>
    <row r="23" spans="1:10" ht="15" customHeight="1" x14ac:dyDescent="0.15">
      <c r="C23" s="13" t="s">
        <v>114</v>
      </c>
      <c r="D23" s="9">
        <f t="shared" ref="D23:I23" si="2">IF(D21="","",D20/(D21*1000))</f>
        <v>6.0919540229885053E-3</v>
      </c>
      <c r="E23" s="9">
        <f t="shared" ref="E23" si="3">IF(E21="","",E20/(E21*1000))</f>
        <v>5.5755395683453239E-3</v>
      </c>
      <c r="F23" s="9">
        <f t="shared" si="2"/>
        <v>8.2312925170068031E-3</v>
      </c>
      <c r="G23" s="9">
        <f t="shared" si="2"/>
        <v>1.3365695792880258E-2</v>
      </c>
      <c r="H23" s="9">
        <f t="shared" si="2"/>
        <v>2.4654088050314465E-2</v>
      </c>
      <c r="I23" s="9">
        <f t="shared" si="2"/>
        <v>3.3333333333333333E-2</v>
      </c>
    </row>
    <row r="24" spans="1:10" ht="15" customHeight="1" x14ac:dyDescent="0.15">
      <c r="C24" s="13" t="s">
        <v>259</v>
      </c>
      <c r="D24" s="9">
        <f t="shared" ref="D24:I24" si="4">IF(D22="","",D20/(D22*1000))</f>
        <v>3.3829787234042556E-2</v>
      </c>
      <c r="E24" s="9">
        <f t="shared" ref="E24" si="5">IF(E22="","",E20/(E22*1000))</f>
        <v>3.1E-2</v>
      </c>
      <c r="F24" s="9">
        <f t="shared" si="4"/>
        <v>4.5660377358490566E-2</v>
      </c>
      <c r="G24" s="9">
        <f t="shared" si="4"/>
        <v>7.3749999999999996E-2</v>
      </c>
      <c r="H24" s="9">
        <f t="shared" si="4"/>
        <v>0.1375438596491228</v>
      </c>
      <c r="I24" s="9">
        <f t="shared" si="4"/>
        <v>0.18474576271186441</v>
      </c>
    </row>
    <row r="25" spans="1:10" ht="15" customHeight="1" x14ac:dyDescent="0.15">
      <c r="C25" s="2"/>
    </row>
    <row r="26" spans="1:10" ht="15" customHeight="1" x14ac:dyDescent="0.15"/>
    <row r="27" spans="1:10" ht="15" customHeight="1" x14ac:dyDescent="0.15"/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U56"/>
  <sheetViews>
    <sheetView showGridLines="0" zoomScaleNormal="100" workbookViewId="0"/>
  </sheetViews>
  <sheetFormatPr baseColWidth="10" defaultColWidth="8.6640625" defaultRowHeight="14" x14ac:dyDescent="0.15"/>
  <cols>
    <col min="1" max="2" width="1.6640625" style="106" customWidth="1"/>
    <col min="3" max="3" width="25.6640625" style="106" customWidth="1"/>
    <col min="4" max="12" width="15.6640625" style="106" customWidth="1"/>
    <col min="13" max="13" width="25.6640625" style="106" customWidth="1"/>
    <col min="14" max="21" width="15.6640625" style="106" customWidth="1"/>
    <col min="22" max="16384" width="8.6640625" style="106"/>
  </cols>
  <sheetData>
    <row r="2" spans="1:21" ht="15.75" customHeight="1" x14ac:dyDescent="0.2">
      <c r="B2" s="107"/>
      <c r="C2" s="1" t="s">
        <v>12</v>
      </c>
      <c r="M2" s="1"/>
    </row>
    <row r="3" spans="1:21" ht="15.75" customHeight="1" x14ac:dyDescent="0.15">
      <c r="C3" s="2" t="s">
        <v>23</v>
      </c>
      <c r="M3" s="2"/>
    </row>
    <row r="5" spans="1:21" s="29" customFormat="1" ht="15" customHeight="1" x14ac:dyDescent="0.15">
      <c r="A5" s="29" t="s">
        <v>2</v>
      </c>
      <c r="C5" s="20" t="s">
        <v>115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s="29" customFormat="1" ht="15" customHeight="1" x14ac:dyDescent="0.15"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s="29" customFormat="1" ht="15" customHeight="1" x14ac:dyDescent="0.3">
      <c r="C7" s="15" t="s">
        <v>116</v>
      </c>
      <c r="D7" s="15" t="s">
        <v>54</v>
      </c>
      <c r="M7" s="15"/>
      <c r="N7" s="15"/>
    </row>
    <row r="8" spans="1:21" s="29" customFormat="1" ht="15" customHeight="1" x14ac:dyDescent="0.15">
      <c r="C8" s="4" t="s">
        <v>117</v>
      </c>
      <c r="D8" s="6">
        <f>I_pre</f>
        <v>159</v>
      </c>
      <c r="M8" s="4"/>
      <c r="N8" s="6"/>
    </row>
    <row r="9" spans="1:21" s="29" customFormat="1" ht="15" customHeight="1" x14ac:dyDescent="0.15">
      <c r="C9" s="4" t="s">
        <v>118</v>
      </c>
      <c r="D9" s="6">
        <f>I_bar</f>
        <v>2529</v>
      </c>
      <c r="M9" s="4"/>
      <c r="N9" s="6"/>
    </row>
    <row r="10" spans="1:21" s="29" customFormat="1" ht="15" customHeight="1" x14ac:dyDescent="0.15">
      <c r="C10" s="4" t="s">
        <v>33</v>
      </c>
      <c r="D10" s="11">
        <f>delta_a</f>
        <v>0.25</v>
      </c>
      <c r="M10" s="4"/>
      <c r="N10" s="11"/>
    </row>
    <row r="11" spans="1:21" s="29" customFormat="1" ht="15" customHeight="1" x14ac:dyDescent="0.15">
      <c r="C11" s="4" t="s">
        <v>119</v>
      </c>
      <c r="D11" s="23">
        <f>K0</f>
        <v>636</v>
      </c>
      <c r="M11" s="4"/>
      <c r="N11" s="23"/>
    </row>
    <row r="12" spans="1:21" s="29" customFormat="1" ht="15" customHeight="1" x14ac:dyDescent="0.15">
      <c r="C12" s="4" t="s">
        <v>120</v>
      </c>
      <c r="D12" s="23">
        <f>J21</f>
        <v>2212.375</v>
      </c>
      <c r="M12" s="4"/>
      <c r="N12" s="6"/>
    </row>
    <row r="13" spans="1:21" s="29" customFormat="1" ht="15" customHeight="1" x14ac:dyDescent="0.3">
      <c r="C13" s="15" t="s">
        <v>121</v>
      </c>
      <c r="D13" s="15" t="s">
        <v>54</v>
      </c>
      <c r="M13" s="15"/>
      <c r="N13" s="15"/>
    </row>
    <row r="14" spans="1:21" s="29" customFormat="1" ht="15" customHeight="1" x14ac:dyDescent="0.15">
      <c r="C14" s="4" t="s">
        <v>62</v>
      </c>
      <c r="D14" s="10">
        <f>D12/D11</f>
        <v>3.4785770440251573</v>
      </c>
      <c r="E14" s="73"/>
      <c r="M14" s="4"/>
      <c r="N14" s="10"/>
      <c r="O14" s="73"/>
    </row>
    <row r="15" spans="1:21" s="29" customFormat="1" ht="15" customHeight="1" x14ac:dyDescent="0.15">
      <c r="A15" s="29" t="s">
        <v>2</v>
      </c>
      <c r="C15" s="4" t="s">
        <v>64</v>
      </c>
      <c r="D15" s="8">
        <f>LN(exp_xi)</f>
        <v>1.2466233147707957</v>
      </c>
      <c r="E15" s="73"/>
      <c r="M15" s="4"/>
      <c r="N15" s="8"/>
      <c r="O15" s="73"/>
    </row>
    <row r="16" spans="1:21" s="29" customFormat="1" ht="13" x14ac:dyDescent="0.15">
      <c r="C16" s="4"/>
      <c r="D16" s="8"/>
      <c r="E16" s="73"/>
    </row>
    <row r="17" spans="1:21" s="29" customFormat="1" ht="13" x14ac:dyDescent="0.15">
      <c r="A17" s="29" t="s">
        <v>2</v>
      </c>
      <c r="C17" s="20" t="s">
        <v>122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s="29" customFormat="1" ht="13" x14ac:dyDescent="0.15"/>
    <row r="19" spans="1:21" s="29" customFormat="1" ht="16" x14ac:dyDescent="0.3">
      <c r="C19" s="84" t="s">
        <v>95</v>
      </c>
      <c r="D19" s="84">
        <v>2022</v>
      </c>
      <c r="E19" s="84">
        <v>2023</v>
      </c>
      <c r="F19" s="84">
        <v>2024</v>
      </c>
      <c r="G19" s="84">
        <v>2025</v>
      </c>
      <c r="H19" s="84">
        <v>2026</v>
      </c>
      <c r="I19" s="84">
        <v>2027</v>
      </c>
      <c r="J19" s="84">
        <v>2028</v>
      </c>
      <c r="M19" s="15"/>
      <c r="N19" s="15"/>
      <c r="O19" s="15"/>
      <c r="P19" s="15"/>
      <c r="Q19" s="15"/>
      <c r="R19" s="15"/>
    </row>
    <row r="20" spans="1:21" s="29" customFormat="1" ht="13" x14ac:dyDescent="0.15">
      <c r="C20" s="13" t="s">
        <v>123</v>
      </c>
      <c r="D20" s="6">
        <f>'Capex Build'!D13</f>
        <v>159</v>
      </c>
      <c r="E20" s="6">
        <f>'Capex Build'!E13</f>
        <v>155</v>
      </c>
      <c r="F20" s="6">
        <f>'Capex Build'!F13</f>
        <v>242</v>
      </c>
      <c r="G20" s="6">
        <f>'Capex Build'!G13</f>
        <v>413</v>
      </c>
      <c r="H20" s="6">
        <f>'Capex Build'!H13</f>
        <v>784</v>
      </c>
      <c r="I20" s="6">
        <f>'Capex Build'!I13</f>
        <v>1090</v>
      </c>
      <c r="J20" s="6"/>
      <c r="M20" s="13"/>
      <c r="N20" s="6"/>
      <c r="O20" s="6"/>
      <c r="P20" s="12"/>
      <c r="Q20" s="10"/>
      <c r="R20" s="8"/>
    </row>
    <row r="21" spans="1:21" s="29" customFormat="1" ht="13" x14ac:dyDescent="0.15">
      <c r="C21" s="13" t="s">
        <v>124</v>
      </c>
      <c r="D21" s="6">
        <f>K0</f>
        <v>636</v>
      </c>
      <c r="E21" s="23">
        <f t="shared" ref="E21:J21" si="0">(1-delta_a)*D21+D20</f>
        <v>636</v>
      </c>
      <c r="F21" s="23">
        <f t="shared" si="0"/>
        <v>632</v>
      </c>
      <c r="G21" s="12">
        <f t="shared" si="0"/>
        <v>716</v>
      </c>
      <c r="H21" s="12">
        <f t="shared" si="0"/>
        <v>950</v>
      </c>
      <c r="I21" s="12">
        <f t="shared" si="0"/>
        <v>1496.5</v>
      </c>
      <c r="J21" s="12">
        <f t="shared" si="0"/>
        <v>2212.375</v>
      </c>
      <c r="M21" s="13"/>
      <c r="N21" s="6"/>
      <c r="O21" s="6"/>
      <c r="P21" s="12"/>
      <c r="Q21" s="10"/>
      <c r="R21" s="8"/>
    </row>
    <row r="22" spans="1:21" s="29" customFormat="1" ht="13" x14ac:dyDescent="0.15">
      <c r="A22" s="29" t="s">
        <v>2</v>
      </c>
      <c r="C22" s="13" t="s">
        <v>125</v>
      </c>
      <c r="D22" s="6"/>
      <c r="E22" s="34">
        <f>(1-delta_a)^(2027-E19)</f>
        <v>0.31640625</v>
      </c>
      <c r="F22" s="34">
        <f>(1-delta_a)^(2027-F19)</f>
        <v>0.421875</v>
      </c>
      <c r="G22" s="34">
        <f>(1-delta_a)^(2027-G19)</f>
        <v>0.5625</v>
      </c>
      <c r="H22" s="34">
        <f>(1-delta_a)^(2027-H19)</f>
        <v>0.75</v>
      </c>
      <c r="I22" s="34">
        <f>(1-delta_a)^(2027-I19)</f>
        <v>1</v>
      </c>
      <c r="J22" s="34"/>
      <c r="M22" s="13"/>
      <c r="N22" s="6"/>
      <c r="O22" s="6"/>
      <c r="P22" s="12"/>
      <c r="Q22" s="10"/>
      <c r="R22" s="8"/>
    </row>
    <row r="23" spans="1:21" s="29" customFormat="1" ht="13" x14ac:dyDescent="0.15"/>
    <row r="24" spans="1:21" s="29" customFormat="1" ht="15" customHeight="1" x14ac:dyDescent="0.15">
      <c r="A24" s="29" t="s">
        <v>2</v>
      </c>
      <c r="C24" s="20" t="s">
        <v>126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s="29" customFormat="1" ht="15" customHeight="1" x14ac:dyDescent="0.15"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s="29" customFormat="1" ht="15" customHeight="1" x14ac:dyDescent="0.3">
      <c r="C26" s="15" t="s">
        <v>98</v>
      </c>
      <c r="D26" s="15" t="s">
        <v>117</v>
      </c>
      <c r="E26" s="15" t="s">
        <v>127</v>
      </c>
      <c r="F26" s="15" t="s">
        <v>128</v>
      </c>
      <c r="G26" s="15" t="s">
        <v>129</v>
      </c>
      <c r="H26" s="15" t="s">
        <v>130</v>
      </c>
      <c r="M26" s="15"/>
      <c r="N26" s="15"/>
      <c r="O26" s="15"/>
      <c r="P26" s="15"/>
      <c r="Q26" s="15"/>
      <c r="R26" s="15"/>
    </row>
    <row r="27" spans="1:21" s="29" customFormat="1" ht="15" customHeight="1" x14ac:dyDescent="0.15">
      <c r="C27" s="13" t="s">
        <v>99</v>
      </c>
      <c r="D27" s="6">
        <f>'Capex Build'!D8</f>
        <v>64</v>
      </c>
      <c r="E27" s="23">
        <f>(1-delta_a)^5*F27+SUMPRODUCT($E$22:$I$22,'Capex Build'!E8:I8)</f>
        <v>621.78515625</v>
      </c>
      <c r="F27" s="23">
        <f>D27/delta_a</f>
        <v>256</v>
      </c>
      <c r="G27" s="57">
        <f>E27/F27</f>
        <v>2.4288482666015625</v>
      </c>
      <c r="H27" s="57">
        <f>LN(G27)</f>
        <v>0.88741718063434882</v>
      </c>
      <c r="M27" s="13"/>
      <c r="N27" s="6"/>
      <c r="O27" s="6"/>
      <c r="P27" s="12"/>
      <c r="Q27" s="10"/>
      <c r="R27" s="8"/>
    </row>
    <row r="28" spans="1:21" s="29" customFormat="1" ht="15" customHeight="1" x14ac:dyDescent="0.15">
      <c r="C28" s="13" t="s">
        <v>100</v>
      </c>
      <c r="D28" s="6">
        <f>'Capex Build'!D9</f>
        <v>31</v>
      </c>
      <c r="E28" s="23">
        <f>(1-delta_a)^5*F28+SUMPRODUCT($E$22:$I$22,'Capex Build'!E9:I9)</f>
        <v>506.84765625</v>
      </c>
      <c r="F28" s="23">
        <f>D28/delta_a</f>
        <v>124</v>
      </c>
      <c r="G28" s="57">
        <f>E28/F28</f>
        <v>4.087481098790323</v>
      </c>
      <c r="H28" s="57">
        <f>LN(G28)</f>
        <v>1.4079289120635239</v>
      </c>
      <c r="M28" s="13"/>
      <c r="N28" s="6"/>
      <c r="O28" s="6"/>
      <c r="P28" s="12"/>
      <c r="Q28" s="10"/>
      <c r="R28" s="8"/>
    </row>
    <row r="29" spans="1:21" s="29" customFormat="1" ht="15" customHeight="1" x14ac:dyDescent="0.15">
      <c r="C29" s="13" t="s">
        <v>101</v>
      </c>
      <c r="D29" s="6">
        <f>'Capex Build'!D10</f>
        <v>25</v>
      </c>
      <c r="E29" s="23">
        <f>(1-delta_a)^5*F29+SUMPRODUCT($E$22:$I$22,'Capex Build'!E10:I10)</f>
        <v>481.8671875</v>
      </c>
      <c r="F29" s="23">
        <f>D29/delta_a</f>
        <v>100</v>
      </c>
      <c r="G29" s="57">
        <f>E29/F29</f>
        <v>4.8186718749999997</v>
      </c>
      <c r="H29" s="57">
        <f>LN(G29)</f>
        <v>1.5724983454873098</v>
      </c>
      <c r="M29" s="13"/>
      <c r="N29" s="6"/>
      <c r="O29" s="6"/>
      <c r="P29" s="12"/>
      <c r="Q29" s="10"/>
      <c r="R29" s="8"/>
    </row>
    <row r="30" spans="1:21" s="29" customFormat="1" ht="15" customHeight="1" x14ac:dyDescent="0.15">
      <c r="C30" s="13" t="s">
        <v>102</v>
      </c>
      <c r="D30" s="6">
        <f>'Capex Build'!D11</f>
        <v>32</v>
      </c>
      <c r="E30" s="23">
        <f>(1-delta_a)^5*F30+SUMPRODUCT($E$22:$I$22,'Capex Build'!E11:I11)</f>
        <v>394.6875</v>
      </c>
      <c r="F30" s="23">
        <f>D30/delta_a</f>
        <v>128</v>
      </c>
      <c r="G30" s="57">
        <f>E30/F30</f>
        <v>3.08349609375</v>
      </c>
      <c r="H30" s="57">
        <f>LN(G30)</f>
        <v>1.1260640486251932</v>
      </c>
      <c r="M30" s="13"/>
      <c r="N30" s="6"/>
      <c r="O30" s="6"/>
      <c r="P30" s="12"/>
      <c r="Q30" s="10"/>
      <c r="R30" s="8"/>
    </row>
    <row r="31" spans="1:21" s="29" customFormat="1" ht="15" customHeight="1" x14ac:dyDescent="0.15">
      <c r="C31" s="13" t="s">
        <v>103</v>
      </c>
      <c r="D31" s="6">
        <f>'Capex Build'!D12</f>
        <v>7</v>
      </c>
      <c r="E31" s="23">
        <f>(1-delta_a)^5*F31+SUMPRODUCT($E$22:$I$22,'Capex Build'!E12:I12)</f>
        <v>207.1875</v>
      </c>
      <c r="F31" s="23">
        <f>D31/delta_a</f>
        <v>28</v>
      </c>
      <c r="G31" s="57">
        <f>E31/F31</f>
        <v>7.3995535714285712</v>
      </c>
      <c r="H31" s="57">
        <f>LN(G31)</f>
        <v>2.0014196702049776</v>
      </c>
      <c r="M31" s="13"/>
      <c r="N31" s="6"/>
      <c r="O31" s="6"/>
      <c r="P31" s="12"/>
      <c r="Q31" s="10"/>
      <c r="R31" s="8"/>
    </row>
    <row r="32" spans="1:21" s="29" customFormat="1" ht="15" customHeight="1" thickBot="1" x14ac:dyDescent="0.2">
      <c r="A32" s="29" t="s">
        <v>2</v>
      </c>
      <c r="C32" s="13" t="s">
        <v>131</v>
      </c>
      <c r="D32" s="21">
        <f>I_pre</f>
        <v>159</v>
      </c>
      <c r="E32" s="113">
        <f>D12</f>
        <v>2212.375</v>
      </c>
      <c r="F32" s="113">
        <f>K0</f>
        <v>636</v>
      </c>
      <c r="G32" s="135">
        <f>exp_xi</f>
        <v>3.4785770440251573</v>
      </c>
      <c r="H32" s="135">
        <f>xi</f>
        <v>1.2466233147707957</v>
      </c>
      <c r="M32" s="13"/>
      <c r="N32" s="6"/>
      <c r="O32" s="6"/>
      <c r="P32" s="6"/>
      <c r="Q32" s="38"/>
      <c r="R32" s="7"/>
    </row>
    <row r="33" spans="1:21" s="29" customFormat="1" thickTop="1" x14ac:dyDescent="0.15"/>
    <row r="34" spans="1:21" s="29" customFormat="1" ht="15" customHeight="1" x14ac:dyDescent="0.15">
      <c r="A34" s="29" t="s">
        <v>2</v>
      </c>
      <c r="C34" s="20" t="s">
        <v>132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s="29" customFormat="1" ht="15" customHeight="1" x14ac:dyDescent="0.15"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s="29" customFormat="1" ht="15" customHeight="1" x14ac:dyDescent="0.3">
      <c r="C36" s="36" t="s">
        <v>62</v>
      </c>
      <c r="D36" s="49"/>
      <c r="E36" s="49"/>
      <c r="F36" s="49"/>
      <c r="G36" s="49"/>
      <c r="H36" s="49"/>
      <c r="I36" s="49"/>
      <c r="J36" s="49"/>
      <c r="K36" s="49"/>
      <c r="L36" s="22"/>
      <c r="M36" s="36" t="s">
        <v>64</v>
      </c>
      <c r="N36" s="50"/>
      <c r="O36" s="50"/>
      <c r="P36" s="50"/>
      <c r="Q36" s="50"/>
      <c r="R36" s="50"/>
      <c r="S36" s="50"/>
      <c r="T36" s="50"/>
      <c r="U36" s="50"/>
    </row>
    <row r="37" spans="1:21" s="29" customFormat="1" ht="15" customHeight="1" x14ac:dyDescent="0.15">
      <c r="C37" s="32"/>
      <c r="D37" s="22">
        <v>0</v>
      </c>
      <c r="E37" s="51" t="s">
        <v>133</v>
      </c>
      <c r="F37" s="52"/>
      <c r="G37" s="52"/>
      <c r="H37" s="52"/>
      <c r="I37" s="53"/>
      <c r="J37" s="108"/>
      <c r="K37" s="54"/>
      <c r="L37" s="22"/>
      <c r="M37" s="32"/>
      <c r="N37" s="22">
        <v>0</v>
      </c>
      <c r="O37" s="51" t="s">
        <v>133</v>
      </c>
      <c r="P37" s="52"/>
      <c r="Q37" s="52"/>
      <c r="R37" s="52"/>
      <c r="S37" s="53"/>
      <c r="T37" s="108"/>
      <c r="U37" s="54"/>
    </row>
    <row r="38" spans="1:21" s="29" customFormat="1" ht="15" customHeight="1" x14ac:dyDescent="0.15">
      <c r="D38" s="13"/>
      <c r="E38" s="117">
        <f>F38-100</f>
        <v>300</v>
      </c>
      <c r="F38" s="118">
        <f>G38-100</f>
        <v>400</v>
      </c>
      <c r="G38" s="118">
        <f>ROUNDDOWN(H38-100, -2)</f>
        <v>500</v>
      </c>
      <c r="H38" s="118">
        <f>D11</f>
        <v>636</v>
      </c>
      <c r="I38" s="118">
        <f>ROUNDUP(H38+100, -2)</f>
        <v>800</v>
      </c>
      <c r="J38" s="118">
        <f>I38+100</f>
        <v>900</v>
      </c>
      <c r="K38" s="119">
        <f>J38+100</f>
        <v>1000</v>
      </c>
      <c r="N38" s="13"/>
      <c r="O38" s="117">
        <f t="shared" ref="O38:U38" si="1">E38</f>
        <v>300</v>
      </c>
      <c r="P38" s="118">
        <f t="shared" si="1"/>
        <v>400</v>
      </c>
      <c r="Q38" s="118">
        <f t="shared" si="1"/>
        <v>500</v>
      </c>
      <c r="R38" s="118">
        <f t="shared" si="1"/>
        <v>636</v>
      </c>
      <c r="S38" s="118">
        <f t="shared" si="1"/>
        <v>800</v>
      </c>
      <c r="T38" s="118">
        <f t="shared" si="1"/>
        <v>900</v>
      </c>
      <c r="U38" s="119">
        <f t="shared" si="1"/>
        <v>1000</v>
      </c>
    </row>
    <row r="39" spans="1:21" s="29" customFormat="1" ht="15" customHeight="1" x14ac:dyDescent="0.15">
      <c r="C39" s="109"/>
      <c r="D39" s="114">
        <f>D40-500</f>
        <v>700</v>
      </c>
      <c r="E39" s="24">
        <f t="shared" ref="E39:K45" si="2">$D39/E$38</f>
        <v>2.3333333333333335</v>
      </c>
      <c r="F39" s="10">
        <f t="shared" si="2"/>
        <v>1.75</v>
      </c>
      <c r="G39" s="10">
        <f t="shared" si="2"/>
        <v>1.4</v>
      </c>
      <c r="H39" s="10">
        <f t="shared" si="2"/>
        <v>1.10062893081761</v>
      </c>
      <c r="I39" s="10">
        <f t="shared" si="2"/>
        <v>0.875</v>
      </c>
      <c r="J39" s="10">
        <f t="shared" si="2"/>
        <v>0.77777777777777779</v>
      </c>
      <c r="K39" s="10">
        <f t="shared" si="2"/>
        <v>0.7</v>
      </c>
      <c r="M39" s="109"/>
      <c r="N39" s="114">
        <f t="shared" ref="N39:N45" si="3">D39</f>
        <v>700</v>
      </c>
      <c r="O39" s="24">
        <f>LN(E39)</f>
        <v>0.84729786038720367</v>
      </c>
      <c r="P39" s="10">
        <f t="shared" ref="P39:U45" si="4">LN(F39)</f>
        <v>0.55961578793542266</v>
      </c>
      <c r="Q39" s="10">
        <f t="shared" si="4"/>
        <v>0.33647223662121289</v>
      </c>
      <c r="R39" s="10">
        <f t="shared" si="4"/>
        <v>9.5881771703282506E-2</v>
      </c>
      <c r="S39" s="10">
        <f t="shared" si="4"/>
        <v>-0.13353139262452263</v>
      </c>
      <c r="T39" s="10">
        <f t="shared" si="4"/>
        <v>-0.25131442828090605</v>
      </c>
      <c r="U39" s="10">
        <f t="shared" si="4"/>
        <v>-0.35667494393873245</v>
      </c>
    </row>
    <row r="40" spans="1:21" s="29" customFormat="1" ht="15" customHeight="1" x14ac:dyDescent="0.15">
      <c r="C40" s="110"/>
      <c r="D40" s="115">
        <f>D41-500</f>
        <v>1200</v>
      </c>
      <c r="E40" s="24">
        <f t="shared" si="2"/>
        <v>4</v>
      </c>
      <c r="F40" s="10">
        <f t="shared" si="2"/>
        <v>3</v>
      </c>
      <c r="G40" s="10">
        <f t="shared" si="2"/>
        <v>2.4</v>
      </c>
      <c r="H40" s="10">
        <f t="shared" si="2"/>
        <v>1.8867924528301887</v>
      </c>
      <c r="I40" s="10">
        <f t="shared" si="2"/>
        <v>1.5</v>
      </c>
      <c r="J40" s="10">
        <f t="shared" si="2"/>
        <v>1.3333333333333333</v>
      </c>
      <c r="K40" s="10">
        <f t="shared" si="2"/>
        <v>1.2</v>
      </c>
      <c r="M40" s="110"/>
      <c r="N40" s="115">
        <f t="shared" si="3"/>
        <v>1200</v>
      </c>
      <c r="O40" s="24">
        <f t="shared" ref="O40:O45" si="5">LN(E40)</f>
        <v>1.3862943611198906</v>
      </c>
      <c r="P40" s="10">
        <f t="shared" si="4"/>
        <v>1.0986122886681098</v>
      </c>
      <c r="Q40" s="10">
        <f t="shared" si="4"/>
        <v>0.87546873735389985</v>
      </c>
      <c r="R40" s="10">
        <f t="shared" si="4"/>
        <v>0.6348782724359695</v>
      </c>
      <c r="S40" s="10">
        <f t="shared" si="4"/>
        <v>0.40546510810816438</v>
      </c>
      <c r="T40" s="10">
        <f t="shared" si="4"/>
        <v>0.28768207245178085</v>
      </c>
      <c r="U40" s="10">
        <f t="shared" si="4"/>
        <v>0.18232155679395459</v>
      </c>
    </row>
    <row r="41" spans="1:21" s="29" customFormat="1" ht="15" customHeight="1" x14ac:dyDescent="0.15">
      <c r="C41" s="110"/>
      <c r="D41" s="115">
        <f>ROUNDDOWN(D42-500, -2)</f>
        <v>1700</v>
      </c>
      <c r="E41" s="24">
        <f t="shared" si="2"/>
        <v>5.666666666666667</v>
      </c>
      <c r="F41" s="10">
        <f t="shared" si="2"/>
        <v>4.25</v>
      </c>
      <c r="G41" s="10">
        <f t="shared" si="2"/>
        <v>3.4</v>
      </c>
      <c r="H41" s="10">
        <f t="shared" si="2"/>
        <v>2.6729559748427674</v>
      </c>
      <c r="I41" s="10">
        <f t="shared" si="2"/>
        <v>2.125</v>
      </c>
      <c r="J41" s="10">
        <f t="shared" si="2"/>
        <v>1.8888888888888888</v>
      </c>
      <c r="K41" s="10">
        <f t="shared" si="2"/>
        <v>1.7</v>
      </c>
      <c r="M41" s="110"/>
      <c r="N41" s="115">
        <f t="shared" si="3"/>
        <v>1700</v>
      </c>
      <c r="O41" s="24">
        <f t="shared" si="5"/>
        <v>1.7346010553881064</v>
      </c>
      <c r="P41" s="10">
        <f t="shared" si="4"/>
        <v>1.4469189829363254</v>
      </c>
      <c r="Q41" s="10">
        <f t="shared" si="4"/>
        <v>1.2237754316221157</v>
      </c>
      <c r="R41" s="10">
        <f t="shared" si="4"/>
        <v>0.98318496670418531</v>
      </c>
      <c r="S41" s="10">
        <f t="shared" si="4"/>
        <v>0.7537718023763802</v>
      </c>
      <c r="T41" s="10">
        <f t="shared" si="4"/>
        <v>0.63598876671999671</v>
      </c>
      <c r="U41" s="10">
        <f t="shared" si="4"/>
        <v>0.53062825106217038</v>
      </c>
    </row>
    <row r="42" spans="1:21" s="29" customFormat="1" ht="15" customHeight="1" x14ac:dyDescent="0.15">
      <c r="C42" s="111" t="s">
        <v>120</v>
      </c>
      <c r="D42" s="115">
        <f>D12</f>
        <v>2212.375</v>
      </c>
      <c r="E42" s="24">
        <f t="shared" si="2"/>
        <v>7.3745833333333337</v>
      </c>
      <c r="F42" s="10">
        <f t="shared" si="2"/>
        <v>5.5309375000000003</v>
      </c>
      <c r="G42" s="10">
        <f t="shared" si="2"/>
        <v>4.4247500000000004</v>
      </c>
      <c r="H42" s="31">
        <f t="shared" si="2"/>
        <v>3.4785770440251573</v>
      </c>
      <c r="I42" s="10">
        <f t="shared" si="2"/>
        <v>2.7654687500000001</v>
      </c>
      <c r="J42" s="10">
        <f t="shared" si="2"/>
        <v>2.4581944444444446</v>
      </c>
      <c r="K42" s="10">
        <f t="shared" si="2"/>
        <v>2.2123750000000002</v>
      </c>
      <c r="M42" s="111" t="s">
        <v>120</v>
      </c>
      <c r="N42" s="115">
        <f t="shared" si="3"/>
        <v>2212.375</v>
      </c>
      <c r="O42" s="24">
        <f t="shared" si="5"/>
        <v>1.9980394034547169</v>
      </c>
      <c r="P42" s="10">
        <f t="shared" si="4"/>
        <v>1.7103573310029359</v>
      </c>
      <c r="Q42" s="10">
        <f t="shared" si="4"/>
        <v>1.4872137796887261</v>
      </c>
      <c r="R42" s="31">
        <f t="shared" si="4"/>
        <v>1.2466233147707957</v>
      </c>
      <c r="S42" s="10">
        <f t="shared" si="4"/>
        <v>1.0172101504429907</v>
      </c>
      <c r="T42" s="10">
        <f t="shared" si="4"/>
        <v>0.89942711478660708</v>
      </c>
      <c r="U42" s="10">
        <f t="shared" si="4"/>
        <v>0.79406659912878086</v>
      </c>
    </row>
    <row r="43" spans="1:21" s="29" customFormat="1" ht="15" customHeight="1" x14ac:dyDescent="0.15">
      <c r="C43" s="110"/>
      <c r="D43" s="115">
        <f>ROUNDUP(D42+500, -2)</f>
        <v>2800</v>
      </c>
      <c r="E43" s="24">
        <f t="shared" si="2"/>
        <v>9.3333333333333339</v>
      </c>
      <c r="F43" s="10">
        <f t="shared" si="2"/>
        <v>7</v>
      </c>
      <c r="G43" s="10">
        <f t="shared" si="2"/>
        <v>5.6</v>
      </c>
      <c r="H43" s="10">
        <f t="shared" si="2"/>
        <v>4.4025157232704402</v>
      </c>
      <c r="I43" s="10">
        <f t="shared" si="2"/>
        <v>3.5</v>
      </c>
      <c r="J43" s="10">
        <f t="shared" si="2"/>
        <v>3.1111111111111112</v>
      </c>
      <c r="K43" s="10">
        <f t="shared" si="2"/>
        <v>2.8</v>
      </c>
      <c r="M43" s="110"/>
      <c r="N43" s="115">
        <f t="shared" si="3"/>
        <v>2800</v>
      </c>
      <c r="O43" s="24">
        <f t="shared" si="5"/>
        <v>2.2335922215070942</v>
      </c>
      <c r="P43" s="10">
        <f t="shared" si="4"/>
        <v>1.9459101490553132</v>
      </c>
      <c r="Q43" s="10">
        <f t="shared" si="4"/>
        <v>1.7227665977411035</v>
      </c>
      <c r="R43" s="10">
        <f t="shared" si="4"/>
        <v>1.4821761328231731</v>
      </c>
      <c r="S43" s="10">
        <f t="shared" si="4"/>
        <v>1.2527629684953681</v>
      </c>
      <c r="T43" s="10">
        <f t="shared" si="4"/>
        <v>1.1349799328389845</v>
      </c>
      <c r="U43" s="10">
        <f t="shared" si="4"/>
        <v>1.0296194171811581</v>
      </c>
    </row>
    <row r="44" spans="1:21" s="29" customFormat="1" ht="15" customHeight="1" x14ac:dyDescent="0.15">
      <c r="C44" s="110"/>
      <c r="D44" s="115">
        <f>D43+500</f>
        <v>3300</v>
      </c>
      <c r="E44" s="24">
        <f t="shared" si="2"/>
        <v>11</v>
      </c>
      <c r="F44" s="10">
        <f t="shared" si="2"/>
        <v>8.25</v>
      </c>
      <c r="G44" s="10">
        <f t="shared" si="2"/>
        <v>6.6</v>
      </c>
      <c r="H44" s="10">
        <f t="shared" si="2"/>
        <v>5.1886792452830193</v>
      </c>
      <c r="I44" s="10">
        <f t="shared" si="2"/>
        <v>4.125</v>
      </c>
      <c r="J44" s="10">
        <f t="shared" si="2"/>
        <v>3.6666666666666665</v>
      </c>
      <c r="K44" s="10">
        <f t="shared" si="2"/>
        <v>3.3</v>
      </c>
      <c r="M44" s="110"/>
      <c r="N44" s="115">
        <f t="shared" si="3"/>
        <v>3300</v>
      </c>
      <c r="O44" s="24">
        <f t="shared" si="5"/>
        <v>2.3978952727983707</v>
      </c>
      <c r="P44" s="10">
        <f t="shared" si="4"/>
        <v>2.1102132003465894</v>
      </c>
      <c r="Q44" s="10">
        <f t="shared" si="4"/>
        <v>1.8870696490323797</v>
      </c>
      <c r="R44" s="10">
        <f t="shared" si="4"/>
        <v>1.6464791841144495</v>
      </c>
      <c r="S44" s="10">
        <f t="shared" si="4"/>
        <v>1.4170660197866443</v>
      </c>
      <c r="T44" s="10">
        <f t="shared" si="4"/>
        <v>1.2992829841302609</v>
      </c>
      <c r="U44" s="10">
        <f t="shared" si="4"/>
        <v>1.1939224684724346</v>
      </c>
    </row>
    <row r="45" spans="1:21" s="29" customFormat="1" ht="15" customHeight="1" x14ac:dyDescent="0.15">
      <c r="A45" s="29" t="s">
        <v>2</v>
      </c>
      <c r="C45" s="112"/>
      <c r="D45" s="116">
        <f>D44+500</f>
        <v>3800</v>
      </c>
      <c r="E45" s="24">
        <f t="shared" si="2"/>
        <v>12.666666666666666</v>
      </c>
      <c r="F45" s="10">
        <f t="shared" si="2"/>
        <v>9.5</v>
      </c>
      <c r="G45" s="10">
        <f t="shared" si="2"/>
        <v>7.6</v>
      </c>
      <c r="H45" s="10">
        <f t="shared" si="2"/>
        <v>5.9748427672955975</v>
      </c>
      <c r="I45" s="10">
        <f t="shared" si="2"/>
        <v>4.75</v>
      </c>
      <c r="J45" s="10">
        <f t="shared" si="2"/>
        <v>4.2222222222222223</v>
      </c>
      <c r="K45" s="10">
        <f t="shared" si="2"/>
        <v>3.8</v>
      </c>
      <c r="M45" s="112"/>
      <c r="N45" s="116">
        <f t="shared" si="3"/>
        <v>3800</v>
      </c>
      <c r="O45" s="24">
        <f t="shared" si="5"/>
        <v>2.5389738710582761</v>
      </c>
      <c r="P45" s="10">
        <f t="shared" si="4"/>
        <v>2.2512917986064953</v>
      </c>
      <c r="Q45" s="10">
        <f t="shared" si="4"/>
        <v>2.0281482472922852</v>
      </c>
      <c r="R45" s="10">
        <f t="shared" si="4"/>
        <v>1.7875577823743549</v>
      </c>
      <c r="S45" s="10">
        <f t="shared" si="4"/>
        <v>1.5581446180465499</v>
      </c>
      <c r="T45" s="10">
        <f t="shared" si="4"/>
        <v>1.4403615823901663</v>
      </c>
      <c r="U45" s="10">
        <f t="shared" si="4"/>
        <v>1.33500106673234</v>
      </c>
    </row>
    <row r="46" spans="1:21" s="29" customFormat="1" ht="13" x14ac:dyDescent="0.15"/>
    <row r="47" spans="1:21" s="29" customFormat="1" ht="13" x14ac:dyDescent="0.15"/>
    <row r="48" spans="1:21" s="29" customFormat="1" ht="15" customHeight="1" x14ac:dyDescent="0.15">
      <c r="A48" s="29" t="s">
        <v>2</v>
      </c>
      <c r="C48" s="20" t="inlineStr">
        <is>
          <t>Long-run growth and boom probability</t>
        </is>
      </c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s="29" customFormat="1" ht="15" customHeight="1" x14ac:dyDescent="0.15"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</row>
    <row r="50" spans="1:21" s="29" customFormat="1" ht="15" customHeight="1" x14ac:dyDescent="0.3">
      <c r="C50" s="15" t="s">
        <v>116</v>
      </c>
      <c r="D50" s="15" t="s">
        <v>54</v>
      </c>
      <c r="E50" s="15"/>
      <c r="M50" s="15"/>
      <c r="N50" s="15"/>
      <c r="O50" s="15"/>
    </row>
    <row r="51" spans="1:21" s="29" customFormat="1" ht="13" x14ac:dyDescent="0.15">
      <c r="C51" s="13" t="s">
        <v>47</v>
      </c>
      <c r="D51" s="11">
        <f>Parameters!D16</f>
        <v>1.06E-2</v>
      </c>
      <c r="M51" s="13"/>
      <c r="N51" s="11"/>
    </row>
    <row r="52" spans="1:21" s="29" customFormat="1" ht="13" x14ac:dyDescent="0.15">
      <c r="C52" s="13" t="s">
        <v>49</v>
      </c>
      <c r="D52" s="11">
        <f>Parameters!D17</f>
        <v>2.7E-2</v>
      </c>
      <c r="M52" s="13"/>
      <c r="N52" s="11"/>
    </row>
    <row r="53" spans="1:21" s="29" customFormat="1" ht="13" x14ac:dyDescent="0.15">
      <c r="C53" s="13" t="s">
        <v>51</v>
      </c>
      <c r="D53" s="11">
        <f>Parameters!D18</f>
        <v>0.05</v>
      </c>
      <c r="M53" s="13"/>
      <c r="N53" s="11"/>
    </row>
    <row r="54" spans="1:21" s="29" customFormat="1" ht="15" customHeight="1" x14ac:dyDescent="0.15">
      <c r="C54" s="13" t="s">
        <v>135</v>
      </c>
      <c r="D54" s="9">
        <f>D52+D53</f>
        <v>7.6999999999999999E-2</v>
      </c>
      <c r="E54" s="73"/>
      <c r="M54" s="13"/>
      <c r="N54" s="9"/>
      <c r="O54" s="73"/>
    </row>
    <row r="55" spans="1:21" s="29" customFormat="1" ht="15" customHeight="1" x14ac:dyDescent="0.15">
      <c r="C55" s="13" t="s">
        <v>136</v>
      </c>
      <c r="D55" s="9">
        <f>D54-D51</f>
        <v>6.6400000000000001E-2</v>
      </c>
      <c r="E55" s="73"/>
      <c r="M55" s="13"/>
      <c r="N55" s="9"/>
      <c r="O55" s="73"/>
    </row>
    <row r="56" spans="1:21" s="29" customFormat="1" ht="15" customHeight="1" x14ac:dyDescent="0.15">
      <c r="A56" s="29" t="s">
        <v>2</v>
      </c>
      <c r="C56" s="13" t="inlineStr">
        <is>
          <t>Valuation-implied p* (reference)</t>
        </is>
      </c>
      <c r="D56" s="9">
        <f>D55/(exp_xi-1)</f>
        <v>2.6789564665767981E-2</v>
      </c>
      <c r="E56" s="13"/>
      <c r="M56" s="13"/>
      <c r="N56" s="9"/>
      <c r="O56" s="73"/>
    </row>
    <row r="57">
      <c r="C57" s="13" t="inlineStr">
        <is>
          <t>Paper baseline growth target</t>
        </is>
      </c>
      <c r="D57" s="9">
        <v>0.07435731132075472</v>
      </c>
      <c r="E57" s="13" t="inlineStr">
        <is>
          <t>Fixed at 3% x (3.4785770440251573 - 1). v09, Appendix B.</t>
        </is>
      </c>
    </row>
  </sheetData>
  <conditionalFormatting sqref="E39:K4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9:U4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M460"/>
  <sheetViews>
    <sheetView showGridLines="0" zoomScaleNormal="85" workbookViewId="0">
      <pane xSplit="3" topLeftCell="D1" activePane="topRight" state="frozen"/>
      <selection activeCell="A7" sqref="A7"/>
      <selection pane="topRight"/>
    </sheetView>
  </sheetViews>
  <sheetFormatPr baseColWidth="10" defaultColWidth="8.6640625" defaultRowHeight="13" x14ac:dyDescent="0.15"/>
  <cols>
    <col min="1" max="2" width="1.6640625" style="29" customWidth="1"/>
    <col min="3" max="12" width="25.6640625" style="29" customWidth="1"/>
    <col min="13" max="13" width="20.6640625" style="29" customWidth="1"/>
    <col min="14" max="29" width="13" style="29" customWidth="1"/>
    <col min="30" max="16384" width="8.6640625" style="29"/>
  </cols>
  <sheetData>
    <row r="2" spans="1:13" ht="15.75" customHeight="1" x14ac:dyDescent="0.2">
      <c r="B2" s="30"/>
      <c r="C2" s="1" t="s">
        <v>138</v>
      </c>
    </row>
    <row r="3" spans="1:13" ht="15.75" customHeight="1" x14ac:dyDescent="0.15">
      <c r="C3" s="2" t="s">
        <v>23</v>
      </c>
    </row>
    <row r="5" spans="1:13" ht="15" customHeight="1" x14ac:dyDescent="0.15">
      <c r="A5" s="29" t="s">
        <v>2</v>
      </c>
      <c r="C5" s="20" t="s">
        <v>9</v>
      </c>
      <c r="D5" s="20"/>
      <c r="E5" s="20"/>
      <c r="F5" s="20"/>
      <c r="G5" s="20"/>
      <c r="H5" s="20"/>
      <c r="I5" s="30"/>
      <c r="J5" s="30"/>
      <c r="K5" s="30"/>
      <c r="L5" s="30"/>
      <c r="M5" s="30"/>
    </row>
    <row r="6" spans="1:13" ht="15" customHeight="1" x14ac:dyDescent="0.15">
      <c r="C6" s="22"/>
      <c r="D6" s="22"/>
      <c r="E6" s="22"/>
      <c r="F6" s="22"/>
      <c r="G6" s="22"/>
      <c r="H6" s="22"/>
    </row>
    <row r="7" spans="1:13" ht="15" customHeight="1" x14ac:dyDescent="0.15">
      <c r="C7" s="32" t="s">
        <v>139</v>
      </c>
      <c r="D7" s="22"/>
      <c r="E7" s="22"/>
      <c r="F7" s="22"/>
      <c r="G7" s="22"/>
      <c r="H7" s="22"/>
    </row>
    <row r="8" spans="1:13" ht="15" customHeight="1" x14ac:dyDescent="0.15">
      <c r="C8" s="39" t="s">
        <v>140</v>
      </c>
      <c r="D8" s="96" t="b">
        <v>0</v>
      </c>
      <c r="E8" s="22"/>
      <c r="F8" s="22"/>
      <c r="G8" s="22"/>
      <c r="H8" s="22"/>
    </row>
    <row r="9" spans="1:13" ht="15" customHeight="1" x14ac:dyDescent="0.15">
      <c r="C9" s="39" t="s">
        <v>141</v>
      </c>
      <c r="D9" s="97">
        <v>2</v>
      </c>
      <c r="E9" s="40"/>
      <c r="F9" s="22"/>
      <c r="G9" s="22"/>
      <c r="H9" s="22"/>
    </row>
    <row r="10" spans="1:13" ht="15" customHeight="1" x14ac:dyDescent="0.15">
      <c r="C10" s="43" t="s">
        <v>142</v>
      </c>
      <c r="D10" s="42" t="str">
        <f>INDEX(D13:G13,1,D9)</f>
        <v>Transformative-a</v>
      </c>
      <c r="E10" s="40"/>
      <c r="F10" s="22"/>
      <c r="G10" s="22"/>
      <c r="H10" s="22"/>
    </row>
    <row r="11" spans="1:13" ht="15" customHeight="1" x14ac:dyDescent="0.15">
      <c r="C11" s="39"/>
      <c r="D11" s="41"/>
      <c r="E11" s="40"/>
      <c r="F11" s="22"/>
      <c r="G11" s="22"/>
      <c r="H11" s="22"/>
    </row>
    <row r="12" spans="1:13" ht="15" customHeight="1" x14ac:dyDescent="0.15">
      <c r="C12" s="37" t="s">
        <v>143</v>
      </c>
      <c r="D12" s="6"/>
    </row>
    <row r="13" spans="1:13" ht="15" customHeight="1" x14ac:dyDescent="0.15">
      <c r="C13" s="44" t="s">
        <v>95</v>
      </c>
      <c r="D13" s="45" t="s">
        <v>144</v>
      </c>
      <c r="E13" s="45" t="s">
        <v>145</v>
      </c>
      <c r="F13" s="45" t="s">
        <v>146</v>
      </c>
      <c r="G13" s="45" t="s">
        <v>147</v>
      </c>
    </row>
    <row r="14" spans="1:13" ht="15" customHeight="1" x14ac:dyDescent="0.15">
      <c r="C14" s="5">
        <v>2029</v>
      </c>
      <c r="D14" s="90" t="b">
        <f>FALSE</f>
        <v>0</v>
      </c>
      <c r="E14" s="91" t="b">
        <f>TRUE</f>
        <v>1</v>
      </c>
      <c r="F14" s="91" t="b">
        <f>FALSE</f>
        <v>0</v>
      </c>
      <c r="G14" s="91" t="b">
        <f>TRUE</f>
        <v>1</v>
      </c>
    </row>
    <row r="15" spans="1:13" ht="15" customHeight="1" x14ac:dyDescent="0.15">
      <c r="C15" s="5">
        <v>2030</v>
      </c>
      <c r="D15" s="90" t="b">
        <f>FALSE</f>
        <v>0</v>
      </c>
      <c r="E15" s="91" t="b">
        <f>FALSE</f>
        <v>0</v>
      </c>
      <c r="F15" s="91" t="b">
        <f>TRUE</f>
        <v>1</v>
      </c>
      <c r="G15" s="91" t="b">
        <f>TRUE</f>
        <v>1</v>
      </c>
    </row>
    <row r="16" spans="1:13" ht="15" customHeight="1" x14ac:dyDescent="0.15">
      <c r="C16" s="4"/>
      <c r="D16" s="6"/>
    </row>
    <row r="17" spans="1:13" ht="15" customHeight="1" x14ac:dyDescent="0.15">
      <c r="A17" s="29" t="s">
        <v>2</v>
      </c>
      <c r="C17" s="20" t="s">
        <v>148</v>
      </c>
      <c r="D17" s="20"/>
      <c r="E17" s="20"/>
      <c r="F17" s="20"/>
      <c r="G17" s="20"/>
      <c r="H17" s="20"/>
      <c r="I17" s="30"/>
      <c r="J17" s="30"/>
      <c r="K17" s="30"/>
      <c r="L17" s="30"/>
      <c r="M17" s="30"/>
    </row>
    <row r="18" spans="1:13" ht="15" customHeight="1" x14ac:dyDescent="0.15">
      <c r="C18" s="22"/>
      <c r="D18" s="22"/>
      <c r="E18" s="22"/>
      <c r="F18" s="22"/>
      <c r="G18" s="22"/>
      <c r="H18" s="22"/>
    </row>
    <row r="19" spans="1:13" ht="15" customHeight="1" x14ac:dyDescent="0.3">
      <c r="C19" s="46" t="s">
        <v>95</v>
      </c>
      <c r="D19" s="15" t="s">
        <v>149</v>
      </c>
      <c r="E19" s="15" t="s">
        <v>150</v>
      </c>
      <c r="F19" s="15" t="s">
        <v>151</v>
      </c>
      <c r="G19" s="15" t="s">
        <v>152</v>
      </c>
      <c r="H19" s="15" t="s">
        <v>153</v>
      </c>
      <c r="I19" s="15" t="s">
        <v>154</v>
      </c>
      <c r="J19" s="15" t="s">
        <v>155</v>
      </c>
      <c r="K19" s="15" t="s">
        <v>156</v>
      </c>
      <c r="L19" s="15" t="s">
        <v>157</v>
      </c>
      <c r="M19" s="15" t="s">
        <v>158</v>
      </c>
    </row>
    <row r="20" spans="1:13" ht="15" customHeight="1" x14ac:dyDescent="0.15">
      <c r="C20" s="5">
        <v>2022</v>
      </c>
      <c r="D20" s="23">
        <f>INDEX('Scenario Calculations'!$D$8:$D$130,($D$9-1+IF($D$8,4,0))*16+1,1)</f>
        <v>836.04371177588575</v>
      </c>
      <c r="E20" s="35">
        <f>INDEX('Scenario Calculations'!$E$8:$E$130,($D$9-1+IF($D$8,4,0))*16+1,1)</f>
        <v>0</v>
      </c>
      <c r="F20" s="34">
        <f>INDEX('Scenario Calculations'!$F$8:$F$130,($D$9-1+IF($D$8,4,0))*16+1,1)</f>
        <v>1</v>
      </c>
      <c r="G20" s="33">
        <f>INDEX('Scenario Calculations'!$G$8:$G$130,($D$9-1+IF($D$8,4,0))*16+1,1)</f>
        <v>636</v>
      </c>
      <c r="H20" s="33">
        <f>INDEX('Scenario Calculations'!$H$8:$H$130,($D$9-1+IF($D$8,4,0))*16+1,1)</f>
        <v>636.00000000000011</v>
      </c>
      <c r="I20" s="6">
        <f>INDEX('Scenario Calculations'!$I$8:$I$130,($D$9-1+IF($D$8,4,0))*16+1,1)</f>
        <v>159</v>
      </c>
      <c r="J20" s="33">
        <f>INDEX('Scenario Calculations'!$J$8:$J$130,($D$9-1+IF($D$8,4,0))*16+1,1)</f>
        <v>763.2000000000005</v>
      </c>
      <c r="K20" s="137">
        <f t="shared" ref="K20:K30" si="0">(J20+Yn0)/1000</f>
        <v>24.116914285714287</v>
      </c>
      <c r="L20" s="70">
        <f>INDEX('Scenario Calculations'!$K$8:$K$130,($D$9-1+IF($D$8,4,0))*16+1,1)</f>
        <v>0</v>
      </c>
      <c r="M20" s="136">
        <f>INDEX('Scenario Calculations'!$L$8:$L$130,($D$9-1+IF($D$8,4,0))*16+1,1)</f>
        <v>3.1645839553034523E-2</v>
      </c>
    </row>
    <row r="21" spans="1:13" ht="15" customHeight="1" x14ac:dyDescent="0.15">
      <c r="C21" s="5">
        <v>2023</v>
      </c>
      <c r="D21" s="23">
        <f>INDEX('Scenario Calculations'!$D$8:$D$130,($D$9-1+IF($D$8,4,0))*16+2,1)</f>
        <v>836.04371177588575</v>
      </c>
      <c r="E21" s="35">
        <f>INDEX('Scenario Calculations'!$E$8:$E$130,($D$9-1+IF($D$8,4,0))*16+2,1)</f>
        <v>0</v>
      </c>
      <c r="F21" s="34">
        <f>INDEX('Scenario Calculations'!$F$8:$F$130,($D$9-1+IF($D$8,4,0))*16+2,1)</f>
        <v>1</v>
      </c>
      <c r="G21" s="33">
        <f>INDEX('Scenario Calculations'!$G$8:$G$130,($D$9-1+IF($D$8,4,0))*16+2,1)</f>
        <v>636</v>
      </c>
      <c r="H21" s="33">
        <f>INDEX('Scenario Calculations'!$H$8:$H$130,($D$9-1+IF($D$8,4,0))*16+2,1)</f>
        <v>636.00000000000011</v>
      </c>
      <c r="I21" s="6">
        <f>INDEX('Scenario Calculations'!$I$8:$I$130,($D$9-1+IF($D$8,4,0))*16+2,1)</f>
        <v>155</v>
      </c>
      <c r="J21" s="33">
        <f>INDEX('Scenario Calculations'!$J$8:$J$130,($D$9-1+IF($D$8,4,0))*16+2,1)</f>
        <v>763.2000000000005</v>
      </c>
      <c r="K21" s="137">
        <f t="shared" si="0"/>
        <v>24.116914285714287</v>
      </c>
      <c r="L21" s="70">
        <f>INDEX('Scenario Calculations'!$K$8:$K$130,($D$9-1+IF($D$8,4,0))*16+2,1)</f>
        <v>0</v>
      </c>
      <c r="M21" s="136">
        <f>INDEX('Scenario Calculations'!$L$8:$L$130,($D$9-1+IF($D$8,4,0))*16+2,1)</f>
        <v>3.1645839553034523E-2</v>
      </c>
    </row>
    <row r="22" spans="1:13" ht="15" customHeight="1" x14ac:dyDescent="0.15">
      <c r="C22" s="5">
        <v>2024</v>
      </c>
      <c r="D22" s="23">
        <f>INDEX('Scenario Calculations'!$D$8:$D$130,($D$9-1+IF($D$8,4,0))*16+3,1)</f>
        <v>2908.2424635851812</v>
      </c>
      <c r="E22" s="35">
        <f>INDEX('Scenario Calculations'!$E$8:$E$130,($D$9-1+IF($D$8,4,0))*16+3,1)</f>
        <v>0</v>
      </c>
      <c r="F22" s="34">
        <f>INDEX('Scenario Calculations'!$F$8:$F$130,($D$9-1+IF($D$8,4,0))*16+3,1)</f>
        <v>1</v>
      </c>
      <c r="G22" s="33">
        <f>INDEX('Scenario Calculations'!$G$8:$G$130,($D$9-1+IF($D$8,4,0))*16+3,1)</f>
        <v>632</v>
      </c>
      <c r="H22" s="33">
        <f>INDEX('Scenario Calculations'!$H$8:$H$130,($D$9-1+IF($D$8,4,0))*16+3,1)</f>
        <v>2212.3750000000005</v>
      </c>
      <c r="I22" s="6">
        <f>INDEX('Scenario Calculations'!$I$8:$I$130,($D$9-1+IF($D$8,4,0))*16+3,1)</f>
        <v>242</v>
      </c>
      <c r="J22" s="33">
        <f>INDEX('Scenario Calculations'!$J$8:$J$130,($D$9-1+IF($D$8,4,0))*16+3,1)</f>
        <v>1748.4750264928844</v>
      </c>
      <c r="K22" s="137">
        <f t="shared" si="0"/>
        <v>25.10218931220717</v>
      </c>
      <c r="L22" s="70">
        <f>INDEX('Scenario Calculations'!$K$8:$K$130,($D$9-1+IF($D$8,4,0))*16+3,1)</f>
        <v>4.08541082337599E-2</v>
      </c>
      <c r="M22" s="136">
        <f>INDEX('Scenario Calculations'!$L$8:$L$130,($D$9-1+IF($D$8,4,0))*16+3,1)</f>
        <v>6.9654284124237825E-2</v>
      </c>
    </row>
    <row r="23" spans="1:13" ht="15" customHeight="1" x14ac:dyDescent="0.15">
      <c r="C23" s="5">
        <v>2025</v>
      </c>
      <c r="D23" s="23">
        <f>INDEX('Scenario Calculations'!$D$8:$D$130,($D$9-1+IF($D$8,4,0))*16+4,1)</f>
        <v>2908.2424635851812</v>
      </c>
      <c r="E23" s="35">
        <f>INDEX('Scenario Calculations'!$E$8:$E$130,($D$9-1+IF($D$8,4,0))*16+4,1)</f>
        <v>0</v>
      </c>
      <c r="F23" s="34">
        <f>INDEX('Scenario Calculations'!$F$8:$F$130,($D$9-1+IF($D$8,4,0))*16+4,1)</f>
        <v>1</v>
      </c>
      <c r="G23" s="33">
        <f>INDEX('Scenario Calculations'!$G$8:$G$130,($D$9-1+IF($D$8,4,0))*16+4,1)</f>
        <v>716</v>
      </c>
      <c r="H23" s="33">
        <f>INDEX('Scenario Calculations'!$H$8:$H$130,($D$9-1+IF($D$8,4,0))*16+4,1)</f>
        <v>2212.3750000000005</v>
      </c>
      <c r="I23" s="6">
        <f>INDEX('Scenario Calculations'!$I$8:$I$130,($D$9-1+IF($D$8,4,0))*16+4,1)</f>
        <v>413</v>
      </c>
      <c r="J23" s="33">
        <f>INDEX('Scenario Calculations'!$J$8:$J$130,($D$9-1+IF($D$8,4,0))*16+4,1)</f>
        <v>1822.7401009782952</v>
      </c>
      <c r="K23" s="137">
        <f t="shared" si="0"/>
        <v>25.17645438669258</v>
      </c>
      <c r="L23" s="70">
        <f>INDEX('Scenario Calculations'!$K$8:$K$130,($D$9-1+IF($D$8,4,0))*16+4,1)</f>
        <v>4.393348537154762E-2</v>
      </c>
      <c r="M23" s="136">
        <f>INDEX('Scenario Calculations'!$L$8:$L$130,($D$9-1+IF($D$8,4,0))*16+4,1)</f>
        <v>7.2398602002581178E-2</v>
      </c>
    </row>
    <row r="24" spans="1:13" ht="15" customHeight="1" x14ac:dyDescent="0.15">
      <c r="C24" s="5">
        <v>2026</v>
      </c>
      <c r="D24" s="23">
        <f>INDEX('Scenario Calculations'!$D$8:$D$130,($D$9-1+IF($D$8,4,0))*16+5,1)</f>
        <v>2908.2424635851812</v>
      </c>
      <c r="E24" s="35">
        <f>INDEX('Scenario Calculations'!$E$8:$E$130,($D$9-1+IF($D$8,4,0))*16+5,1)</f>
        <v>0</v>
      </c>
      <c r="F24" s="34">
        <f>INDEX('Scenario Calculations'!$F$8:$F$130,($D$9-1+IF($D$8,4,0))*16+5,1)</f>
        <v>1</v>
      </c>
      <c r="G24" s="33">
        <f>INDEX('Scenario Calculations'!$G$8:$G$130,($D$9-1+IF($D$8,4,0))*16+5,1)</f>
        <v>950</v>
      </c>
      <c r="H24" s="33">
        <f>INDEX('Scenario Calculations'!$H$8:$H$130,($D$9-1+IF($D$8,4,0))*16+5,1)</f>
        <v>2212.3750000000005</v>
      </c>
      <c r="I24" s="6">
        <f>INDEX('Scenario Calculations'!$I$8:$I$130,($D$9-1+IF($D$8,4,0))*16+5,1)</f>
        <v>784</v>
      </c>
      <c r="J24" s="33">
        <f>INDEX('Scenario Calculations'!$J$8:$J$130,($D$9-1+IF($D$8,4,0))*16+5,1)</f>
        <v>2002.9108045241292</v>
      </c>
      <c r="K24" s="137">
        <f t="shared" si="0"/>
        <v>25.356625090238417</v>
      </c>
      <c r="L24" s="70">
        <f>INDEX('Scenario Calculations'!$K$8:$K$130,($D$9-1+IF($D$8,4,0))*16+5,1)</f>
        <v>5.1404204942523402E-2</v>
      </c>
      <c r="M24" s="136">
        <f>INDEX('Scenario Calculations'!$L$8:$L$130,($D$9-1+IF($D$8,4,0))*16+5,1)</f>
        <v>7.8989644615410318E-2</v>
      </c>
    </row>
    <row r="25" spans="1:13" ht="15" customHeight="1" x14ac:dyDescent="0.15">
      <c r="C25" s="5">
        <v>2027</v>
      </c>
      <c r="D25" s="23">
        <f>INDEX('Scenario Calculations'!$D$8:$D$130,($D$9-1+IF($D$8,4,0))*16+6,1)</f>
        <v>2908.2424635851812</v>
      </c>
      <c r="E25" s="35">
        <f>INDEX('Scenario Calculations'!$E$8:$E$130,($D$9-1+IF($D$8,4,0))*16+6,1)</f>
        <v>0</v>
      </c>
      <c r="F25" s="34">
        <f>INDEX('Scenario Calculations'!$F$8:$F$130,($D$9-1+IF($D$8,4,0))*16+6,1)</f>
        <v>1</v>
      </c>
      <c r="G25" s="33">
        <f>INDEX('Scenario Calculations'!$G$8:$G$130,($D$9-1+IF($D$8,4,0))*16+6,1)</f>
        <v>1496.5</v>
      </c>
      <c r="H25" s="33">
        <f>INDEX('Scenario Calculations'!$H$8:$H$130,($D$9-1+IF($D$8,4,0))*16+6,1)</f>
        <v>2212.3750000000005</v>
      </c>
      <c r="I25" s="6">
        <f>INDEX('Scenario Calculations'!$I$8:$I$130,($D$9-1+IF($D$8,4,0))*16+6,1)</f>
        <v>1090</v>
      </c>
      <c r="J25" s="33">
        <f>INDEX('Scenario Calculations'!$J$8:$J$130,($D$9-1+IF($D$8,4,0))*16+6,1)</f>
        <v>2330.4832254772145</v>
      </c>
      <c r="K25" s="137">
        <f t="shared" si="0"/>
        <v>25.684197511191503</v>
      </c>
      <c r="L25" s="70">
        <f>INDEX('Scenario Calculations'!$K$8:$K$130,($D$9-1+IF($D$8,4,0))*16+6,1)</f>
        <v>6.4986888741632942E-2</v>
      </c>
      <c r="M25" s="136">
        <f>INDEX('Scenario Calculations'!$L$8:$L$130,($D$9-1+IF($D$8,4,0))*16+6,1)</f>
        <v>9.0736073200719691E-2</v>
      </c>
    </row>
    <row r="26" spans="1:13" ht="15" customHeight="1" x14ac:dyDescent="0.15">
      <c r="C26" s="5">
        <v>2028</v>
      </c>
      <c r="D26" s="12">
        <f>INDEX('Scenario Calculations'!$D$8:$D$130,($D$9-1+IF($D$8,4,0))*16+7,1)</f>
        <v>2908.2424635851812</v>
      </c>
      <c r="E26" s="34">
        <f>INDEX('Scenario Calculations'!$E$8:$E$130,($D$9-1+IF($D$8,4,0))*16+7,1)</f>
        <v>0.5</v>
      </c>
      <c r="F26" s="34">
        <f>INDEX('Scenario Calculations'!$F$8:$F$130,($D$9-1+IF($D$8,4,0))*16+7,1)</f>
        <v>1.6479009679073209</v>
      </c>
      <c r="G26" s="33">
        <f>INDEX('Scenario Calculations'!$G$8:$G$130,($D$9-1+IF($D$8,4,0))*16+7,1)</f>
        <v>2212.375</v>
      </c>
      <c r="H26" s="33">
        <f>INDEX('Scenario Calculations'!$H$8:$H$130,($D$9-1+IF($D$8,4,0))*16+7,1)</f>
        <v>4680.1029390792382</v>
      </c>
      <c r="I26" s="33">
        <f>INDEX('Scenario Calculations'!$I$8:$I$130,($D$9-1+IF($D$8,4,0))*16+7,1)</f>
        <v>3020.8216890792382</v>
      </c>
      <c r="J26" s="33">
        <f>INDEX('Scenario Calculations'!$J$8:$J$130,($D$9-1+IF($D$8,4,0))*16+7,1)</f>
        <v>2654.8500000000035</v>
      </c>
      <c r="K26" s="137">
        <f t="shared" si="0"/>
        <v>26.008564285714289</v>
      </c>
      <c r="L26" s="70">
        <f>INDEX('Scenario Calculations'!$K$8:$K$130,($D$9-1+IF($D$8,4,0))*16+7,1)</f>
        <v>7.843665145505474E-2</v>
      </c>
      <c r="M26" s="136">
        <f>INDEX('Scenario Calculations'!$L$8:$L$130,($D$9-1+IF($D$8,4,0))*16+7,1)</f>
        <v>0.10207599200153589</v>
      </c>
    </row>
    <row r="27" spans="1:13" ht="15" customHeight="1" x14ac:dyDescent="0.15">
      <c r="C27" s="5">
        <v>2029</v>
      </c>
      <c r="D27" s="12">
        <f>INDEX('Scenario Calculations'!$D$8:$D$130,($D$9-1+IF($D$8,4,0))*16+8,1)</f>
        <v>10116.545472286582</v>
      </c>
      <c r="E27" s="34">
        <f>INDEX('Scenario Calculations'!$E$8:$E$130,($D$9-1+IF($D$8,4,0))*16+8,1)</f>
        <v>0.5</v>
      </c>
      <c r="F27" s="34">
        <f>INDEX('Scenario Calculations'!$F$8:$F$130,($D$9-1+IF($D$8,4,0))*16+8,1)</f>
        <v>1.6479009679073209</v>
      </c>
      <c r="G27" s="33">
        <f>INDEX('Scenario Calculations'!$G$8:$G$130,($D$9-1+IF($D$8,4,0))*16+8,1)</f>
        <v>4680.1029390792382</v>
      </c>
      <c r="H27" s="33">
        <f>INDEX('Scenario Calculations'!$H$8:$H$130,($D$9-1+IF($D$8,4,0))*16+8,1)</f>
        <v>16280.098647555707</v>
      </c>
      <c r="I27" s="33">
        <f>INDEX('Scenario Calculations'!$I$8:$I$130,($D$9-1+IF($D$8,4,0))*16+8,1)</f>
        <v>12770.021443246278</v>
      </c>
      <c r="J27" s="33">
        <f>INDEX('Scenario Calculations'!$J$8:$J$130,($D$9-1+IF($D$8,4,0))*16+8,1)</f>
        <v>7824.2003105280319</v>
      </c>
      <c r="K27" s="137">
        <f t="shared" si="0"/>
        <v>31.177914596242317</v>
      </c>
      <c r="L27" s="70">
        <f>INDEX('Scenario Calculations'!$K$8:$K$130,($D$9-1+IF($D$8,4,0))*16+8,1)</f>
        <v>0.29278207928576627</v>
      </c>
      <c r="M27" s="136">
        <f>INDEX('Scenario Calculations'!$L$8:$L$130,($D$9-1+IF($D$8,4,0))*16+8,1)</f>
        <v>0.25095329215736045</v>
      </c>
    </row>
    <row r="28" spans="1:13" ht="15" customHeight="1" x14ac:dyDescent="0.15">
      <c r="C28" s="5">
        <v>2030</v>
      </c>
      <c r="D28" s="12">
        <f>INDEX('Scenario Calculations'!$D$8:$D$130,($D$9-1+IF($D$8,4,0))*16+9,1)</f>
        <v>10116.545472286582</v>
      </c>
      <c r="E28" s="34">
        <f>INDEX('Scenario Calculations'!$E$8:$E$130,($D$9-1+IF($D$8,4,0))*16+9,1)</f>
        <v>0.03</v>
      </c>
      <c r="F28" s="34">
        <f>INDEX('Scenario Calculations'!$F$8:$F$130,($D$9-1+IF($D$8,4,0))*16+9,1)</f>
        <v>1.0388740580744393</v>
      </c>
      <c r="G28" s="33">
        <f>INDEX('Scenario Calculations'!$G$8:$G$130,($D$9-1+IF($D$8,4,0))*16+9,1)</f>
        <v>16280.098647555707</v>
      </c>
      <c r="H28" s="33">
        <f>INDEX('Scenario Calculations'!$H$8:$H$130,($D$9-1+IF($D$8,4,0))*16+9,1)</f>
        <v>8149.0075694450288</v>
      </c>
      <c r="I28" s="33">
        <f>INDEX('Scenario Calculations'!$I$8:$I$130,($D$9-1+IF($D$8,4,0))*16+9,1)</f>
        <v>-4061.0664162217518</v>
      </c>
      <c r="J28" s="33">
        <f>INDEX('Scenario Calculations'!$J$8:$J$130,($D$9-1+IF($D$8,4,0))*16+9,1)</f>
        <v>11855.153166076416</v>
      </c>
      <c r="K28" s="137">
        <f t="shared" si="0"/>
        <v>35.208867451790702</v>
      </c>
      <c r="L28" s="70">
        <f>INDEX('Scenario Calculations'!$K$8:$K$130,($D$9-1+IF($D$8,4,0))*16+9,1)</f>
        <v>0.45992422723195414</v>
      </c>
      <c r="M28" s="136">
        <f>INDEX('Scenario Calculations'!$L$8:$L$130,($D$9-1+IF($D$8,4,0))*16+9,1)</f>
        <v>0.33670930149369144</v>
      </c>
    </row>
    <row r="29" spans="1:13" ht="15" customHeight="1" x14ac:dyDescent="0.15">
      <c r="C29" s="5">
        <v>2031</v>
      </c>
      <c r="D29" s="12">
        <f>INDEX('Scenario Calculations'!$D$8:$D$130,($D$9-1+IF($D$8,4,0))*16+10,1)</f>
        <v>10116.545472286582</v>
      </c>
      <c r="E29" s="34">
        <f>INDEX('Scenario Calculations'!$E$8:$E$130,($D$9-1+IF($D$8,4,0))*16+10,1)</f>
        <v>0.03</v>
      </c>
      <c r="F29" s="34">
        <f>INDEX('Scenario Calculations'!$F$8:$F$130,($D$9-1+IF($D$8,4,0))*16+10,1)</f>
        <v>1.0388740580744393</v>
      </c>
      <c r="G29" s="33">
        <f>INDEX('Scenario Calculations'!$G$8:$G$130,($D$9-1+IF($D$8,4,0))*16+10,1)</f>
        <v>8149.0075694450288</v>
      </c>
      <c r="H29" s="33">
        <f>INDEX('Scenario Calculations'!$H$8:$H$130,($D$9-1+IF($D$8,4,0))*16+10,1)</f>
        <v>8149.0075694450288</v>
      </c>
      <c r="I29" s="33">
        <f>INDEX('Scenario Calculations'!$I$8:$I$130,($D$9-1+IF($D$8,4,0))*16+10,1)</f>
        <v>2037.2518923612572</v>
      </c>
      <c r="J29" s="33">
        <f>INDEX('Scenario Calculations'!$J$8:$J$130,($D$9-1+IF($D$8,4,0))*16+10,1)</f>
        <v>9412.8917815689201</v>
      </c>
      <c r="K29" s="137">
        <f t="shared" si="0"/>
        <v>32.766606067283206</v>
      </c>
      <c r="L29" s="70">
        <f>INDEX('Scenario Calculations'!$K$8:$K$130,($D$9-1+IF($D$8,4,0))*16+10,1)</f>
        <v>0.35865665396060153</v>
      </c>
      <c r="M29" s="136">
        <f>INDEX('Scenario Calculations'!$L$8:$L$130,($D$9-1+IF($D$8,4,0))*16+10,1)</f>
        <v>0.28727088067163303</v>
      </c>
    </row>
    <row r="30" spans="1:13" ht="15" customHeight="1" x14ac:dyDescent="0.15">
      <c r="C30" s="5">
        <v>2032</v>
      </c>
      <c r="D30" s="12">
        <f>INDEX('Scenario Calculations'!$D$8:$D$130,($D$9-1+IF($D$8,4,0))*16+11,1)</f>
        <v>10116.545472286582</v>
      </c>
      <c r="E30" s="34">
        <f>INDEX('Scenario Calculations'!$E$8:$E$130,($D$9-1+IF($D$8,4,0))*16+11,1)</f>
        <v>0.03</v>
      </c>
      <c r="F30" s="34">
        <f>INDEX('Scenario Calculations'!$F$8:$F$130,($D$9-1+IF($D$8,4,0))*16+11,1)</f>
        <v>1.0388740580744393</v>
      </c>
      <c r="G30" s="33">
        <f>INDEX('Scenario Calculations'!$G$8:$G$130,($D$9-1+IF($D$8,4,0))*16+11,1)</f>
        <v>8149.0075694450288</v>
      </c>
      <c r="H30" s="33">
        <f>INDEX('Scenario Calculations'!$H$8:$H$130,($D$9-1+IF($D$8,4,0))*16+11,1)</f>
        <v>8149.0075694450288</v>
      </c>
      <c r="I30" s="33">
        <f>INDEX('Scenario Calculations'!$I$8:$I$130,($D$9-1+IF($D$8,4,0))*16+11,1)</f>
        <v>2037.2518923612572</v>
      </c>
      <c r="J30" s="33">
        <f>INDEX('Scenario Calculations'!$J$8:$J$130,($D$9-1+IF($D$8,4,0))*16+11,1)</f>
        <v>9412.8917815689201</v>
      </c>
      <c r="K30" s="137">
        <f t="shared" si="0"/>
        <v>32.766606067283206</v>
      </c>
      <c r="L30" s="70">
        <f>INDEX('Scenario Calculations'!$K$8:$K$130,($D$9-1+IF($D$8,4,0))*16+11,1)</f>
        <v>0.35865665396060153</v>
      </c>
      <c r="M30" s="136">
        <f>INDEX('Scenario Calculations'!$L$8:$L$130,($D$9-1+IF($D$8,4,0))*16+11,1)</f>
        <v>0.28727088067163303</v>
      </c>
    </row>
    <row r="32" spans="1:13" ht="15" customHeight="1" x14ac:dyDescent="0.15">
      <c r="A32" s="29" t="s">
        <v>2</v>
      </c>
      <c r="C32" s="20" t="s">
        <v>159</v>
      </c>
      <c r="D32" s="20"/>
      <c r="E32" s="20"/>
      <c r="F32" s="20"/>
      <c r="G32" s="20"/>
      <c r="H32" s="20"/>
      <c r="I32" s="30"/>
      <c r="J32" s="30"/>
      <c r="K32" s="30"/>
      <c r="L32" s="30"/>
      <c r="M32" s="30"/>
    </row>
    <row r="33" spans="1:11" ht="15" customHeight="1" x14ac:dyDescent="0.3">
      <c r="C33" s="13"/>
      <c r="D33" s="15"/>
      <c r="E33" s="15"/>
      <c r="F33" s="15"/>
      <c r="G33" s="15"/>
    </row>
    <row r="34" spans="1:11" s="57" customFormat="1" ht="15" customHeight="1" x14ac:dyDescent="0.15">
      <c r="A34" s="57" t="s">
        <v>2</v>
      </c>
      <c r="C34" s="58" t="s">
        <v>160</v>
      </c>
    </row>
    <row r="35" spans="1:11" s="57" customFormat="1" ht="15" customHeight="1" x14ac:dyDescent="0.3">
      <c r="C35" s="46" t="s">
        <v>95</v>
      </c>
      <c r="D35" s="15" t="s">
        <v>161</v>
      </c>
      <c r="E35" s="15" t="s">
        <v>162</v>
      </c>
      <c r="F35" s="15" t="s">
        <v>163</v>
      </c>
      <c r="G35" s="15" t="s">
        <v>164</v>
      </c>
      <c r="H35" s="46" t="s">
        <v>165</v>
      </c>
      <c r="I35" s="46" t="s">
        <v>166</v>
      </c>
      <c r="J35" s="46" t="s">
        <v>167</v>
      </c>
      <c r="K35" s="46" t="s">
        <v>168</v>
      </c>
    </row>
    <row r="36" spans="1:11" s="57" customFormat="1" ht="15" customHeight="1" x14ac:dyDescent="0.15">
      <c r="C36" s="60">
        <v>2022</v>
      </c>
      <c r="D36" s="61">
        <f>'Scenario Calculations'!I8</f>
        <v>159</v>
      </c>
      <c r="E36" s="61">
        <f>'Scenario Calculations'!I24</f>
        <v>159</v>
      </c>
      <c r="F36" s="61">
        <f>'Scenario Calculations'!I40</f>
        <v>159</v>
      </c>
      <c r="G36" s="61">
        <f>'Scenario Calculations'!I56</f>
        <v>159</v>
      </c>
      <c r="H36" s="62">
        <f>'Scenario Calculations'!I72</f>
        <v>159</v>
      </c>
      <c r="I36" s="62">
        <f>'Scenario Calculations'!I88</f>
        <v>159</v>
      </c>
      <c r="J36" s="62">
        <f>'Scenario Calculations'!I104</f>
        <v>159</v>
      </c>
      <c r="K36" s="62">
        <f>'Scenario Calculations'!I120</f>
        <v>159</v>
      </c>
    </row>
    <row r="37" spans="1:11" s="57" customFormat="1" ht="15" customHeight="1" x14ac:dyDescent="0.15">
      <c r="C37" s="60">
        <v>2023</v>
      </c>
      <c r="D37" s="62">
        <f>'Scenario Calculations'!I9</f>
        <v>155</v>
      </c>
      <c r="E37" s="62">
        <f>'Scenario Calculations'!I25</f>
        <v>155</v>
      </c>
      <c r="F37" s="62">
        <f>'Scenario Calculations'!I41</f>
        <v>155</v>
      </c>
      <c r="G37" s="62">
        <f>'Scenario Calculations'!I57</f>
        <v>155</v>
      </c>
      <c r="H37" s="62">
        <f>'Scenario Calculations'!I73</f>
        <v>155</v>
      </c>
      <c r="I37" s="62">
        <f>'Scenario Calculations'!I89</f>
        <v>155</v>
      </c>
      <c r="J37" s="62">
        <f>'Scenario Calculations'!I105</f>
        <v>155</v>
      </c>
      <c r="K37" s="62">
        <f>'Scenario Calculations'!I121</f>
        <v>155</v>
      </c>
    </row>
    <row r="38" spans="1:11" s="57" customFormat="1" ht="15" customHeight="1" x14ac:dyDescent="0.15">
      <c r="C38" s="60">
        <v>2024</v>
      </c>
      <c r="D38" s="62">
        <f>'Scenario Calculations'!I10</f>
        <v>242</v>
      </c>
      <c r="E38" s="62">
        <f>'Scenario Calculations'!I26</f>
        <v>242</v>
      </c>
      <c r="F38" s="62">
        <f>'Scenario Calculations'!I42</f>
        <v>242</v>
      </c>
      <c r="G38" s="62">
        <f>'Scenario Calculations'!I58</f>
        <v>242</v>
      </c>
      <c r="H38" s="62">
        <f>'Scenario Calculations'!I74</f>
        <v>242</v>
      </c>
      <c r="I38" s="62">
        <f>'Scenario Calculations'!I90</f>
        <v>242</v>
      </c>
      <c r="J38" s="62">
        <f>'Scenario Calculations'!I106</f>
        <v>242</v>
      </c>
      <c r="K38" s="62">
        <f>'Scenario Calculations'!I122</f>
        <v>242</v>
      </c>
    </row>
    <row r="39" spans="1:11" s="57" customFormat="1" x14ac:dyDescent="0.15">
      <c r="C39" s="60">
        <v>2025</v>
      </c>
      <c r="D39" s="62">
        <f>'Scenario Calculations'!I11</f>
        <v>413</v>
      </c>
      <c r="E39" s="62">
        <f>'Scenario Calculations'!I27</f>
        <v>413</v>
      </c>
      <c r="F39" s="62">
        <f>'Scenario Calculations'!I43</f>
        <v>413</v>
      </c>
      <c r="G39" s="62">
        <f>'Scenario Calculations'!I59</f>
        <v>413</v>
      </c>
      <c r="H39" s="62">
        <f>'Scenario Calculations'!I75</f>
        <v>413</v>
      </c>
      <c r="I39" s="62">
        <f>'Scenario Calculations'!I91</f>
        <v>413</v>
      </c>
      <c r="J39" s="62">
        <f>'Scenario Calculations'!I107</f>
        <v>413</v>
      </c>
      <c r="K39" s="62">
        <f>'Scenario Calculations'!I123</f>
        <v>413</v>
      </c>
    </row>
    <row r="40" spans="1:11" s="57" customFormat="1" ht="15" customHeight="1" x14ac:dyDescent="0.15">
      <c r="C40" s="60">
        <v>2026</v>
      </c>
      <c r="D40" s="62">
        <f>'Scenario Calculations'!I12</f>
        <v>784</v>
      </c>
      <c r="E40" s="62">
        <f>'Scenario Calculations'!I28</f>
        <v>784</v>
      </c>
      <c r="F40" s="62">
        <f>'Scenario Calculations'!I44</f>
        <v>784</v>
      </c>
      <c r="G40" s="62">
        <f>'Scenario Calculations'!I60</f>
        <v>784</v>
      </c>
      <c r="H40" s="62">
        <f>'Scenario Calculations'!I76</f>
        <v>784</v>
      </c>
      <c r="I40" s="62">
        <f>'Scenario Calculations'!I92</f>
        <v>784</v>
      </c>
      <c r="J40" s="62">
        <f>'Scenario Calculations'!I108</f>
        <v>784</v>
      </c>
      <c r="K40" s="62">
        <f>'Scenario Calculations'!I124</f>
        <v>784</v>
      </c>
    </row>
    <row r="41" spans="1:11" s="57" customFormat="1" x14ac:dyDescent="0.15">
      <c r="C41" s="60">
        <v>2027</v>
      </c>
      <c r="D41" s="62">
        <f>'Scenario Calculations'!I13</f>
        <v>1090</v>
      </c>
      <c r="E41" s="62">
        <f>'Scenario Calculations'!I29</f>
        <v>1090</v>
      </c>
      <c r="F41" s="62">
        <f>'Scenario Calculations'!I45</f>
        <v>1090</v>
      </c>
      <c r="G41" s="62">
        <f>'Scenario Calculations'!I61</f>
        <v>1090</v>
      </c>
      <c r="H41" s="61">
        <f>'Scenario Calculations'!I77</f>
        <v>1090</v>
      </c>
      <c r="I41" s="61">
        <f>'Scenario Calculations'!I93</f>
        <v>1090</v>
      </c>
      <c r="J41" s="62">
        <f>'Scenario Calculations'!I109</f>
        <v>1090</v>
      </c>
      <c r="K41" s="62">
        <f>'Scenario Calculations'!I125</f>
        <v>1090</v>
      </c>
    </row>
    <row r="42" spans="1:11" s="57" customFormat="1" ht="15" customHeight="1" x14ac:dyDescent="0.15">
      <c r="C42" s="60">
        <v>2028</v>
      </c>
      <c r="D42" s="62">
        <f>'Scenario Calculations'!I14</f>
        <v>3020.8216890792382</v>
      </c>
      <c r="E42" s="62">
        <f>'Scenario Calculations'!I30</f>
        <v>3020.8216890792382</v>
      </c>
      <c r="F42" s="62">
        <f>'Scenario Calculations'!I46</f>
        <v>3020.8216890792382</v>
      </c>
      <c r="G42" s="62">
        <f>'Scenario Calculations'!I62</f>
        <v>3020.8216890792382</v>
      </c>
      <c r="H42" s="62">
        <f>'Scenario Calculations'!I78</f>
        <v>1375.6697296930793</v>
      </c>
      <c r="I42" s="62">
        <f>'Scenario Calculations'!I94</f>
        <v>1375.6697296930793</v>
      </c>
      <c r="J42" s="62">
        <f>'Scenario Calculations'!I110</f>
        <v>1375.6697296930793</v>
      </c>
      <c r="K42" s="62">
        <f>'Scenario Calculations'!I126</f>
        <v>1375.6697296930793</v>
      </c>
    </row>
    <row r="43" spans="1:11" s="57" customFormat="1" ht="15" customHeight="1" x14ac:dyDescent="0.15">
      <c r="C43" s="60">
        <v>2029</v>
      </c>
      <c r="D43" s="62">
        <f>'Scenario Calculations'!I15</f>
        <v>1170.0257347698096</v>
      </c>
      <c r="E43" s="62">
        <f>'Scenario Calculations'!I31</f>
        <v>12770.021443246278</v>
      </c>
      <c r="F43" s="62">
        <f>'Scenario Calculations'!I47</f>
        <v>1170.0257347698096</v>
      </c>
      <c r="G43" s="62">
        <f>'Scenario Calculations'!I63</f>
        <v>12770.021443246278</v>
      </c>
      <c r="H43" s="62">
        <f>'Scenario Calculations'!I79</f>
        <v>1307.1217313853228</v>
      </c>
      <c r="I43" s="62">
        <f>'Scenario Calculations'!I95</f>
        <v>5173.7869675441461</v>
      </c>
      <c r="J43" s="62">
        <f>'Scenario Calculations'!I111</f>
        <v>1307.1217313853228</v>
      </c>
      <c r="K43" s="62">
        <f>'Scenario Calculations'!I127</f>
        <v>5173.7869675441461</v>
      </c>
    </row>
    <row r="44" spans="1:11" s="57" customFormat="1" ht="15" customHeight="1" x14ac:dyDescent="0.15">
      <c r="C44" s="60">
        <v>2030</v>
      </c>
      <c r="D44" s="62">
        <f>'Scenario Calculations'!I16</f>
        <v>-1167.4504732321755</v>
      </c>
      <c r="E44" s="62">
        <f>'Scenario Calculations'!I32</f>
        <v>-4061.0664162217518</v>
      </c>
      <c r="F44" s="62">
        <f>'Scenario Calculations'!I48</f>
        <v>4638.9303651356004</v>
      </c>
      <c r="G44" s="62">
        <f>'Scenario Calculations'!I64</f>
        <v>16136.876676991937</v>
      </c>
      <c r="H44" s="62">
        <f>'Scenario Calculations'!I80</f>
        <v>482.26432984615673</v>
      </c>
      <c r="I44" s="62">
        <f>'Scenario Calculations'!I96</f>
        <v>2095.5025062888467</v>
      </c>
      <c r="J44" s="62">
        <f>'Scenario Calculations'!I112</f>
        <v>2417.7246093020822</v>
      </c>
      <c r="K44" s="62">
        <f>'Scenario Calculations'!I128</f>
        <v>8828.1502040267442</v>
      </c>
    </row>
    <row r="45" spans="1:11" s="57" customFormat="1" ht="15" customHeight="1" x14ac:dyDescent="0.15">
      <c r="C45" s="60">
        <v>2031</v>
      </c>
      <c r="D45" s="62">
        <f>'Scenario Calculations'!I17</f>
        <v>585.65668276931365</v>
      </c>
      <c r="E45" s="62">
        <f>'Scenario Calculations'!I33</f>
        <v>2037.2518923612572</v>
      </c>
      <c r="F45" s="62">
        <f>'Scenario Calculations'!I49</f>
        <v>2037.2518923612572</v>
      </c>
      <c r="G45" s="62">
        <f>'Scenario Calculations'!I65</f>
        <v>7086.7376656646793</v>
      </c>
      <c r="H45" s="62">
        <f>'Scenario Calculations'!I81</f>
        <v>516.728447487209</v>
      </c>
      <c r="I45" s="62">
        <f>'Scenario Calculations'!I97</f>
        <v>2076.08563497965</v>
      </c>
      <c r="J45" s="62">
        <f>'Scenario Calculations'!I113</f>
        <v>2290.9003703218068</v>
      </c>
      <c r="K45" s="62">
        <f>'Scenario Calculations'!I129</f>
        <v>8247.6793579060541</v>
      </c>
    </row>
    <row r="46" spans="1:11" s="57" customFormat="1" ht="15" customHeight="1" x14ac:dyDescent="0.15">
      <c r="C46" s="60">
        <v>2032</v>
      </c>
      <c r="D46" s="62">
        <f>'Scenario Calculations'!I18</f>
        <v>585.65668276931331</v>
      </c>
      <c r="E46" s="62">
        <f>'Scenario Calculations'!I34</f>
        <v>2037.2518923612572</v>
      </c>
      <c r="F46" s="62">
        <f>'Scenario Calculations'!I50</f>
        <v>2037.2518923612572</v>
      </c>
      <c r="G46" s="62">
        <f>'Scenario Calculations'!I66</f>
        <v>7086.7376656646793</v>
      </c>
      <c r="H46" s="62">
        <f>'Scenario Calculations'!I82</f>
        <v>539.70452591457706</v>
      </c>
      <c r="I46" s="62">
        <f>'Scenario Calculations'!I98</f>
        <v>2063.1410541068526</v>
      </c>
      <c r="J46" s="62">
        <f>'Scenario Calculations'!I114</f>
        <v>2206.3508776682902</v>
      </c>
      <c r="K46" s="62">
        <f>'Scenario Calculations'!I130</f>
        <v>7860.698793825597</v>
      </c>
    </row>
    <row r="47" spans="1:11" s="57" customFormat="1" x14ac:dyDescent="0.15">
      <c r="C47" s="59"/>
    </row>
    <row r="48" spans="1:11" s="57" customFormat="1" x14ac:dyDescent="0.15">
      <c r="C48" s="59"/>
    </row>
    <row r="49" spans="1:11" s="57" customFormat="1" ht="15" customHeight="1" x14ac:dyDescent="0.15">
      <c r="A49" s="57" t="s">
        <v>2</v>
      </c>
      <c r="C49" s="58" t="s">
        <v>169</v>
      </c>
    </row>
    <row r="50" spans="1:11" s="57" customFormat="1" ht="15" customHeight="1" x14ac:dyDescent="0.3">
      <c r="C50" s="46" t="s">
        <v>95</v>
      </c>
      <c r="D50" s="15" t="s">
        <v>161</v>
      </c>
      <c r="E50" s="15" t="s">
        <v>162</v>
      </c>
      <c r="F50" s="15" t="s">
        <v>163</v>
      </c>
      <c r="G50" s="15" t="s">
        <v>164</v>
      </c>
      <c r="H50" s="46" t="s">
        <v>165</v>
      </c>
      <c r="I50" s="46" t="s">
        <v>166</v>
      </c>
      <c r="J50" s="46" t="s">
        <v>167</v>
      </c>
      <c r="K50" s="46" t="s">
        <v>168</v>
      </c>
    </row>
    <row r="51" spans="1:11" s="57" customFormat="1" ht="15" customHeight="1" x14ac:dyDescent="0.15">
      <c r="C51" s="60">
        <v>2022</v>
      </c>
      <c r="D51" s="63">
        <f>'Scenario Calculations'!K8</f>
        <v>0</v>
      </c>
      <c r="E51" s="63">
        <f>'Scenario Calculations'!K24</f>
        <v>0</v>
      </c>
      <c r="F51" s="63">
        <f>'Scenario Calculations'!K40</f>
        <v>0</v>
      </c>
      <c r="G51" s="63">
        <f>'Scenario Calculations'!K56</f>
        <v>0</v>
      </c>
      <c r="H51" s="64">
        <f>'Scenario Calculations'!K72</f>
        <v>0</v>
      </c>
      <c r="I51" s="64">
        <f>'Scenario Calculations'!K88</f>
        <v>0</v>
      </c>
      <c r="J51" s="64">
        <f>'Scenario Calculations'!K104</f>
        <v>0</v>
      </c>
      <c r="K51" s="64">
        <f>'Scenario Calculations'!K120</f>
        <v>0</v>
      </c>
    </row>
    <row r="52" spans="1:11" s="57" customFormat="1" ht="15" customHeight="1" x14ac:dyDescent="0.15">
      <c r="C52" s="60">
        <v>2023</v>
      </c>
      <c r="D52" s="64">
        <f>'Scenario Calculations'!K9</f>
        <v>0</v>
      </c>
      <c r="E52" s="64">
        <f>'Scenario Calculations'!K25</f>
        <v>0</v>
      </c>
      <c r="F52" s="64">
        <f>'Scenario Calculations'!K41</f>
        <v>0</v>
      </c>
      <c r="G52" s="64">
        <f>'Scenario Calculations'!K57</f>
        <v>0</v>
      </c>
      <c r="H52" s="64">
        <f>'Scenario Calculations'!K73</f>
        <v>0</v>
      </c>
      <c r="I52" s="64">
        <f>'Scenario Calculations'!K89</f>
        <v>0</v>
      </c>
      <c r="J52" s="64">
        <f>'Scenario Calculations'!K105</f>
        <v>0</v>
      </c>
      <c r="K52" s="64">
        <f>'Scenario Calculations'!K121</f>
        <v>0</v>
      </c>
    </row>
    <row r="53" spans="1:11" s="57" customFormat="1" ht="15" customHeight="1" x14ac:dyDescent="0.15">
      <c r="C53" s="60">
        <v>2024</v>
      </c>
      <c r="D53" s="64">
        <f>'Scenario Calculations'!K10</f>
        <v>4.08541082337599E-2</v>
      </c>
      <c r="E53" s="64">
        <f>'Scenario Calculations'!K26</f>
        <v>4.08541082337599E-2</v>
      </c>
      <c r="F53" s="64">
        <f>'Scenario Calculations'!K42</f>
        <v>4.08541082337599E-2</v>
      </c>
      <c r="G53" s="64">
        <f>'Scenario Calculations'!K58</f>
        <v>4.08541082337599E-2</v>
      </c>
      <c r="H53" s="64">
        <f>'Scenario Calculations'!K74</f>
        <v>4.08541082337599E-2</v>
      </c>
      <c r="I53" s="64">
        <f>'Scenario Calculations'!K90</f>
        <v>4.08541082337599E-2</v>
      </c>
      <c r="J53" s="64">
        <f>'Scenario Calculations'!K106</f>
        <v>4.08541082337599E-2</v>
      </c>
      <c r="K53" s="64">
        <f>'Scenario Calculations'!K122</f>
        <v>4.08541082337599E-2</v>
      </c>
    </row>
    <row r="54" spans="1:11" s="57" customFormat="1" x14ac:dyDescent="0.15">
      <c r="C54" s="60">
        <v>2025</v>
      </c>
      <c r="D54" s="64">
        <f>'Scenario Calculations'!K11</f>
        <v>4.393348537154762E-2</v>
      </c>
      <c r="E54" s="64">
        <f>'Scenario Calculations'!K27</f>
        <v>4.393348537154762E-2</v>
      </c>
      <c r="F54" s="64">
        <f>'Scenario Calculations'!K43</f>
        <v>4.393348537154762E-2</v>
      </c>
      <c r="G54" s="64">
        <f>'Scenario Calculations'!K59</f>
        <v>4.393348537154762E-2</v>
      </c>
      <c r="H54" s="64">
        <f>'Scenario Calculations'!K75</f>
        <v>4.393348537154762E-2</v>
      </c>
      <c r="I54" s="64">
        <f>'Scenario Calculations'!K91</f>
        <v>4.393348537154762E-2</v>
      </c>
      <c r="J54" s="64">
        <f>'Scenario Calculations'!K107</f>
        <v>4.393348537154762E-2</v>
      </c>
      <c r="K54" s="64">
        <f>'Scenario Calculations'!K123</f>
        <v>4.393348537154762E-2</v>
      </c>
    </row>
    <row r="55" spans="1:11" s="57" customFormat="1" ht="15" customHeight="1" x14ac:dyDescent="0.15">
      <c r="C55" s="60">
        <v>2026</v>
      </c>
      <c r="D55" s="64">
        <f>'Scenario Calculations'!K12</f>
        <v>5.1404204942523402E-2</v>
      </c>
      <c r="E55" s="64">
        <f>'Scenario Calculations'!K28</f>
        <v>5.1404204942523402E-2</v>
      </c>
      <c r="F55" s="64">
        <f>'Scenario Calculations'!K44</f>
        <v>5.1404204942523402E-2</v>
      </c>
      <c r="G55" s="64">
        <f>'Scenario Calculations'!K60</f>
        <v>5.1404204942523402E-2</v>
      </c>
      <c r="H55" s="64">
        <f>'Scenario Calculations'!K76</f>
        <v>5.1404204942523402E-2</v>
      </c>
      <c r="I55" s="64">
        <f>'Scenario Calculations'!K92</f>
        <v>5.1404204942523402E-2</v>
      </c>
      <c r="J55" s="64">
        <f>'Scenario Calculations'!K108</f>
        <v>5.1404204942523402E-2</v>
      </c>
      <c r="K55" s="64">
        <f>'Scenario Calculations'!K124</f>
        <v>5.1404204942523402E-2</v>
      </c>
    </row>
    <row r="56" spans="1:11" s="57" customFormat="1" x14ac:dyDescent="0.15">
      <c r="C56" s="60">
        <v>2027</v>
      </c>
      <c r="D56" s="64">
        <f>'Scenario Calculations'!K13</f>
        <v>6.4986888741632942E-2</v>
      </c>
      <c r="E56" s="64">
        <f>'Scenario Calculations'!K29</f>
        <v>6.4986888741632942E-2</v>
      </c>
      <c r="F56" s="64">
        <f>'Scenario Calculations'!K45</f>
        <v>6.4986888741632942E-2</v>
      </c>
      <c r="G56" s="64">
        <f>'Scenario Calculations'!K61</f>
        <v>6.4986888741632942E-2</v>
      </c>
      <c r="H56" s="63">
        <f>'Scenario Calculations'!K77</f>
        <v>6.4986888741632942E-2</v>
      </c>
      <c r="I56" s="63">
        <f>'Scenario Calculations'!K93</f>
        <v>6.4986888741632942E-2</v>
      </c>
      <c r="J56" s="64">
        <f>'Scenario Calculations'!K109</f>
        <v>6.4986888741632942E-2</v>
      </c>
      <c r="K56" s="64">
        <f>'Scenario Calculations'!K125</f>
        <v>6.4986888741632942E-2</v>
      </c>
    </row>
    <row r="57" spans="1:11" s="57" customFormat="1" ht="15" customHeight="1" x14ac:dyDescent="0.15">
      <c r="C57" s="60">
        <v>2028</v>
      </c>
      <c r="D57" s="64">
        <f>'Scenario Calculations'!K14</f>
        <v>7.843665145505474E-2</v>
      </c>
      <c r="E57" s="64">
        <f>'Scenario Calculations'!K30</f>
        <v>7.843665145505474E-2</v>
      </c>
      <c r="F57" s="64">
        <f>'Scenario Calculations'!K46</f>
        <v>7.843665145505474E-2</v>
      </c>
      <c r="G57" s="64">
        <f>'Scenario Calculations'!K62</f>
        <v>7.843665145505474E-2</v>
      </c>
      <c r="H57" s="64">
        <f>'Scenario Calculations'!K78</f>
        <v>7.843665145505474E-2</v>
      </c>
      <c r="I57" s="64">
        <f>'Scenario Calculations'!K94</f>
        <v>7.843665145505474E-2</v>
      </c>
      <c r="J57" s="64">
        <f>'Scenario Calculations'!K110</f>
        <v>7.843665145505474E-2</v>
      </c>
      <c r="K57" s="64">
        <f>'Scenario Calculations'!K126</f>
        <v>7.843665145505474E-2</v>
      </c>
    </row>
    <row r="58" spans="1:11" s="57" customFormat="1" ht="15" customHeight="1" x14ac:dyDescent="0.15">
      <c r="C58" s="60">
        <v>2029</v>
      </c>
      <c r="D58" s="64">
        <f>'Scenario Calculations'!K15</f>
        <v>0.10966770922384672</v>
      </c>
      <c r="E58" s="64">
        <f>'Scenario Calculations'!K31</f>
        <v>0.29278207928576627</v>
      </c>
      <c r="F58" s="64">
        <f>'Scenario Calculations'!K47</f>
        <v>0.10966770922384672</v>
      </c>
      <c r="G58" s="64">
        <f>'Scenario Calculations'!K63</f>
        <v>0.29278207928576627</v>
      </c>
      <c r="H58" s="64">
        <f>'Scenario Calculations'!K79</f>
        <v>9.066996077286138E-2</v>
      </c>
      <c r="I58" s="64">
        <f>'Scenario Calculations'!K95</f>
        <v>0.2491670116158744</v>
      </c>
      <c r="J58" s="64">
        <f>'Scenario Calculations'!K111</f>
        <v>9.066996077286138E-2</v>
      </c>
      <c r="K58" s="64">
        <f>'Scenario Calculations'!K127</f>
        <v>0.2491670116158744</v>
      </c>
    </row>
    <row r="59" spans="1:11" s="57" customFormat="1" ht="15" customHeight="1" x14ac:dyDescent="0.15">
      <c r="C59" s="60">
        <v>2030</v>
      </c>
      <c r="D59" s="64">
        <f>'Scenario Calculations'!K16</f>
        <v>0.10966770922384672</v>
      </c>
      <c r="E59" s="64">
        <f>'Scenario Calculations'!K32</f>
        <v>0.45992422723195414</v>
      </c>
      <c r="F59" s="64">
        <f>'Scenario Calculations'!K48</f>
        <v>0.29278207928576627</v>
      </c>
      <c r="G59" s="64">
        <f>'Scenario Calculations'!K64</f>
        <v>1.0969016713604756</v>
      </c>
      <c r="H59" s="64">
        <f>'Scenario Calculations'!K80</f>
        <v>9.7633106695506955E-2</v>
      </c>
      <c r="I59" s="64">
        <f>'Scenario Calculations'!K96</f>
        <v>0.34716161215055696</v>
      </c>
      <c r="J59" s="64">
        <f>'Scenario Calculations'!K112</f>
        <v>0.26515301550444415</v>
      </c>
      <c r="K59" s="64">
        <f>'Scenario Calculations'!K128</f>
        <v>0.83802104136908317</v>
      </c>
    </row>
    <row r="60" spans="1:11" s="57" customFormat="1" ht="15" customHeight="1" x14ac:dyDescent="0.15">
      <c r="C60" s="60">
        <v>2031</v>
      </c>
      <c r="D60" s="64">
        <f>'Scenario Calculations'!K17</f>
        <v>8.0555928173807745E-2</v>
      </c>
      <c r="E60" s="64">
        <f>'Scenario Calculations'!K33</f>
        <v>0.35865665396060153</v>
      </c>
      <c r="F60" s="64">
        <f>'Scenario Calculations'!K49</f>
        <v>0.35865665396060153</v>
      </c>
      <c r="G60" s="64">
        <f>'Scenario Calculations'!K65</f>
        <v>1.3260514546092788</v>
      </c>
      <c r="H60" s="64">
        <f>'Scenario Calculations'!K81</f>
        <v>9.2454903428015767E-2</v>
      </c>
      <c r="I60" s="64">
        <f>'Scenario Calculations'!K97</f>
        <v>0.35107027296178939</v>
      </c>
      <c r="J60" s="64">
        <f>'Scenario Calculations'!K113</f>
        <v>0.30232207003395328</v>
      </c>
      <c r="K60" s="64">
        <f>'Scenario Calculations'!K129</f>
        <v>1.0520620869601327</v>
      </c>
    </row>
    <row r="61" spans="1:11" s="57" customFormat="1" ht="15" customHeight="1" x14ac:dyDescent="0.15">
      <c r="C61" s="60">
        <v>2032</v>
      </c>
      <c r="D61" s="64">
        <f>'Scenario Calculations'!K18</f>
        <v>8.0555928173807745E-2</v>
      </c>
      <c r="E61" s="64">
        <f>'Scenario Calculations'!K34</f>
        <v>0.35865665396060153</v>
      </c>
      <c r="F61" s="64">
        <f>'Scenario Calculations'!K50</f>
        <v>0.35865665396060153</v>
      </c>
      <c r="G61" s="64">
        <f>'Scenario Calculations'!K66</f>
        <v>1.3260514546092788</v>
      </c>
      <c r="H61" s="64">
        <f>'Scenario Calculations'!K82</f>
        <v>8.874704178399373E-2</v>
      </c>
      <c r="I61" s="64">
        <f>'Scenario Calculations'!K98</f>
        <v>0.35363233500340896</v>
      </c>
      <c r="J61" s="64">
        <f>'Scenario Calculations'!K114</f>
        <v>0.32312340427320563</v>
      </c>
      <c r="K61" s="64">
        <f>'Scenario Calculations'!K130</f>
        <v>1.1577800158338247</v>
      </c>
    </row>
    <row r="62" spans="1:11" s="57" customFormat="1" ht="15" customHeight="1" x14ac:dyDescent="0.15">
      <c r="C62" s="60"/>
      <c r="D62" s="62"/>
      <c r="E62" s="62"/>
      <c r="F62" s="62"/>
      <c r="G62" s="62"/>
      <c r="H62" s="62"/>
      <c r="I62" s="62"/>
      <c r="J62" s="62"/>
      <c r="K62" s="62"/>
    </row>
    <row r="63" spans="1:11" s="57" customFormat="1" x14ac:dyDescent="0.15"/>
    <row r="64" spans="1:11" s="57" customFormat="1" ht="15" customHeight="1" x14ac:dyDescent="0.15">
      <c r="A64" s="57" t="s">
        <v>2</v>
      </c>
      <c r="C64" s="58" t="s">
        <v>170</v>
      </c>
    </row>
    <row r="65" spans="1:13" s="57" customFormat="1" ht="15" customHeight="1" x14ac:dyDescent="0.3">
      <c r="C65" s="46" t="s">
        <v>95</v>
      </c>
      <c r="D65" s="15" t="s">
        <v>161</v>
      </c>
      <c r="E65" s="15" t="s">
        <v>162</v>
      </c>
      <c r="F65" s="15" t="s">
        <v>163</v>
      </c>
      <c r="G65" s="15" t="s">
        <v>164</v>
      </c>
      <c r="H65" s="46" t="s">
        <v>165</v>
      </c>
      <c r="I65" s="46" t="s">
        <v>166</v>
      </c>
      <c r="J65" s="46" t="s">
        <v>167</v>
      </c>
      <c r="K65" s="46" t="s">
        <v>168</v>
      </c>
    </row>
    <row r="66" spans="1:13" s="57" customFormat="1" ht="15" customHeight="1" x14ac:dyDescent="0.15">
      <c r="C66" s="60">
        <v>2022</v>
      </c>
      <c r="D66" s="63">
        <f>'Scenario Calculations'!L8</f>
        <v>3.1645839553034523E-2</v>
      </c>
      <c r="E66" s="63">
        <f>'Scenario Calculations'!L24</f>
        <v>3.1645839553034523E-2</v>
      </c>
      <c r="F66" s="63">
        <f>'Scenario Calculations'!L40</f>
        <v>3.1645839553034523E-2</v>
      </c>
      <c r="G66" s="63">
        <f>'Scenario Calculations'!L56</f>
        <v>3.1645839553034523E-2</v>
      </c>
      <c r="H66" s="64">
        <f>'Scenario Calculations'!L72</f>
        <v>3.1645839553034523E-2</v>
      </c>
      <c r="I66" s="64">
        <f>'Scenario Calculations'!L88</f>
        <v>3.1645839553034523E-2</v>
      </c>
      <c r="J66" s="64">
        <f>'Scenario Calculations'!L104</f>
        <v>3.1645839553034523E-2</v>
      </c>
      <c r="K66" s="64">
        <f>'Scenario Calculations'!L120</f>
        <v>3.1645839553034523E-2</v>
      </c>
    </row>
    <row r="67" spans="1:13" s="57" customFormat="1" ht="15" customHeight="1" x14ac:dyDescent="0.15">
      <c r="C67" s="60">
        <v>2023</v>
      </c>
      <c r="D67" s="64">
        <f>'Scenario Calculations'!L9</f>
        <v>3.1645839553034523E-2</v>
      </c>
      <c r="E67" s="64">
        <f>'Scenario Calculations'!L25</f>
        <v>3.1645839553034523E-2</v>
      </c>
      <c r="F67" s="64">
        <f>'Scenario Calculations'!L41</f>
        <v>3.1645839553034523E-2</v>
      </c>
      <c r="G67" s="64">
        <f>'Scenario Calculations'!L57</f>
        <v>3.1645839553034523E-2</v>
      </c>
      <c r="H67" s="64">
        <f>'Scenario Calculations'!L73</f>
        <v>3.1645839553034523E-2</v>
      </c>
      <c r="I67" s="64">
        <f>'Scenario Calculations'!L89</f>
        <v>3.1645839553034523E-2</v>
      </c>
      <c r="J67" s="64">
        <f>'Scenario Calculations'!L105</f>
        <v>3.1645839553034523E-2</v>
      </c>
      <c r="K67" s="64">
        <f>'Scenario Calculations'!L121</f>
        <v>3.1645839553034523E-2</v>
      </c>
    </row>
    <row r="68" spans="1:13" s="57" customFormat="1" ht="15" customHeight="1" x14ac:dyDescent="0.15">
      <c r="C68" s="60">
        <v>2024</v>
      </c>
      <c r="D68" s="64">
        <f>'Scenario Calculations'!L10</f>
        <v>6.9654284124237825E-2</v>
      </c>
      <c r="E68" s="64">
        <f>'Scenario Calculations'!L26</f>
        <v>6.9654284124237825E-2</v>
      </c>
      <c r="F68" s="64">
        <f>'Scenario Calculations'!L42</f>
        <v>6.9654284124237825E-2</v>
      </c>
      <c r="G68" s="64">
        <f>'Scenario Calculations'!L58</f>
        <v>6.9654284124237825E-2</v>
      </c>
      <c r="H68" s="64">
        <f>'Scenario Calculations'!L74</f>
        <v>6.9654284124237825E-2</v>
      </c>
      <c r="I68" s="64">
        <f>'Scenario Calculations'!L90</f>
        <v>6.9654284124237825E-2</v>
      </c>
      <c r="J68" s="64">
        <f>'Scenario Calculations'!L106</f>
        <v>6.9654284124237825E-2</v>
      </c>
      <c r="K68" s="64">
        <f>'Scenario Calculations'!L122</f>
        <v>6.9654284124237825E-2</v>
      </c>
    </row>
    <row r="69" spans="1:13" s="57" customFormat="1" x14ac:dyDescent="0.15">
      <c r="C69" s="60">
        <v>2025</v>
      </c>
      <c r="D69" s="64">
        <f>'Scenario Calculations'!L11</f>
        <v>7.2398602002581178E-2</v>
      </c>
      <c r="E69" s="64">
        <f>'Scenario Calculations'!L27</f>
        <v>7.2398602002581178E-2</v>
      </c>
      <c r="F69" s="64">
        <f>'Scenario Calculations'!L43</f>
        <v>7.2398602002581178E-2</v>
      </c>
      <c r="G69" s="64">
        <f>'Scenario Calculations'!L59</f>
        <v>7.2398602002581178E-2</v>
      </c>
      <c r="H69" s="64">
        <f>'Scenario Calculations'!L75</f>
        <v>7.2398602002581178E-2</v>
      </c>
      <c r="I69" s="64">
        <f>'Scenario Calculations'!L91</f>
        <v>7.2398602002581178E-2</v>
      </c>
      <c r="J69" s="64">
        <f>'Scenario Calculations'!L107</f>
        <v>7.2398602002581178E-2</v>
      </c>
      <c r="K69" s="64">
        <f>'Scenario Calculations'!L123</f>
        <v>7.2398602002581178E-2</v>
      </c>
    </row>
    <row r="70" spans="1:13" s="57" customFormat="1" ht="15" customHeight="1" x14ac:dyDescent="0.15">
      <c r="C70" s="60">
        <v>2026</v>
      </c>
      <c r="D70" s="64">
        <f>'Scenario Calculations'!L12</f>
        <v>7.8989644615410318E-2</v>
      </c>
      <c r="E70" s="64">
        <f>'Scenario Calculations'!L28</f>
        <v>7.8989644615410318E-2</v>
      </c>
      <c r="F70" s="64">
        <f>'Scenario Calculations'!L44</f>
        <v>7.8989644615410318E-2</v>
      </c>
      <c r="G70" s="64">
        <f>'Scenario Calculations'!L60</f>
        <v>7.8989644615410318E-2</v>
      </c>
      <c r="H70" s="64">
        <f>'Scenario Calculations'!L76</f>
        <v>7.8989644615410318E-2</v>
      </c>
      <c r="I70" s="64">
        <f>'Scenario Calculations'!L92</f>
        <v>7.8989644615410318E-2</v>
      </c>
      <c r="J70" s="64">
        <f>'Scenario Calculations'!L108</f>
        <v>7.8989644615410318E-2</v>
      </c>
      <c r="K70" s="64">
        <f>'Scenario Calculations'!L124</f>
        <v>7.8989644615410318E-2</v>
      </c>
    </row>
    <row r="71" spans="1:13" s="57" customFormat="1" x14ac:dyDescent="0.15">
      <c r="C71" s="60">
        <v>2027</v>
      </c>
      <c r="D71" s="64">
        <f>'Scenario Calculations'!L13</f>
        <v>9.0736073200719691E-2</v>
      </c>
      <c r="E71" s="64">
        <f>'Scenario Calculations'!L29</f>
        <v>9.0736073200719691E-2</v>
      </c>
      <c r="F71" s="64">
        <f>'Scenario Calculations'!L45</f>
        <v>9.0736073200719691E-2</v>
      </c>
      <c r="G71" s="64">
        <f>'Scenario Calculations'!L61</f>
        <v>9.0736073200719691E-2</v>
      </c>
      <c r="H71" s="63">
        <f>'Scenario Calculations'!L77</f>
        <v>9.0736073200719691E-2</v>
      </c>
      <c r="I71" s="63">
        <f>'Scenario Calculations'!L93</f>
        <v>9.0736073200719691E-2</v>
      </c>
      <c r="J71" s="64">
        <f>'Scenario Calculations'!L109</f>
        <v>9.0736073200719691E-2</v>
      </c>
      <c r="K71" s="64">
        <f>'Scenario Calculations'!L125</f>
        <v>9.0736073200719691E-2</v>
      </c>
    </row>
    <row r="72" spans="1:13" s="57" customFormat="1" ht="15" customHeight="1" x14ac:dyDescent="0.15">
      <c r="C72" s="60">
        <v>2028</v>
      </c>
      <c r="D72" s="64">
        <f>'Scenario Calculations'!L14</f>
        <v>0.10207599200153589</v>
      </c>
      <c r="E72" s="64">
        <f>'Scenario Calculations'!L30</f>
        <v>0.10207599200153589</v>
      </c>
      <c r="F72" s="64">
        <f>'Scenario Calculations'!L46</f>
        <v>0.10207599200153589</v>
      </c>
      <c r="G72" s="64">
        <f>'Scenario Calculations'!L62</f>
        <v>0.10207599200153589</v>
      </c>
      <c r="H72" s="64">
        <f>'Scenario Calculations'!L78</f>
        <v>0.10207599200153589</v>
      </c>
      <c r="I72" s="64">
        <f>'Scenario Calculations'!L94</f>
        <v>0.10207599200153589</v>
      </c>
      <c r="J72" s="64">
        <f>'Scenario Calculations'!L110</f>
        <v>0.10207599200153589</v>
      </c>
      <c r="K72" s="64">
        <f>'Scenario Calculations'!L126</f>
        <v>0.10207599200153589</v>
      </c>
    </row>
    <row r="73" spans="1:13" s="57" customFormat="1" ht="15" customHeight="1" x14ac:dyDescent="0.15">
      <c r="C73" s="60">
        <v>2029</v>
      </c>
      <c r="D73" s="64">
        <f>'Scenario Calculations'!L15</f>
        <v>0.12734762632294905</v>
      </c>
      <c r="E73" s="64">
        <f>'Scenario Calculations'!L31</f>
        <v>0.25095329215736045</v>
      </c>
      <c r="F73" s="64">
        <f>'Scenario Calculations'!L47</f>
        <v>0.12734762632294905</v>
      </c>
      <c r="G73" s="64">
        <f>'Scenario Calculations'!L63</f>
        <v>0.25095329215736045</v>
      </c>
      <c r="H73" s="64">
        <f>'Scenario Calculations'!L79</f>
        <v>0.1121473999698511</v>
      </c>
      <c r="I73" s="64">
        <f>'Scenario Calculations'!L95</f>
        <v>0.22480008562318676</v>
      </c>
      <c r="J73" s="64">
        <f>'Scenario Calculations'!L111</f>
        <v>0.1121473999698511</v>
      </c>
      <c r="K73" s="64">
        <f>'Scenario Calculations'!L127</f>
        <v>0.22480008562318676</v>
      </c>
    </row>
    <row r="74" spans="1:13" s="57" customFormat="1" ht="15" customHeight="1" x14ac:dyDescent="0.15">
      <c r="C74" s="60">
        <v>2030</v>
      </c>
      <c r="D74" s="64">
        <f>'Scenario Calculations'!L16</f>
        <v>0.12734762632294905</v>
      </c>
      <c r="E74" s="64">
        <f>'Scenario Calculations'!L32</f>
        <v>0.33670930149369144</v>
      </c>
      <c r="F74" s="64">
        <f>'Scenario Calculations'!L48</f>
        <v>0.25095329215736045</v>
      </c>
      <c r="G74" s="64">
        <f>'Scenario Calculations'!L64</f>
        <v>0.53819763049800295</v>
      </c>
      <c r="H74" s="64">
        <f>'Scenario Calculations'!L80</f>
        <v>0.11777974394171098</v>
      </c>
      <c r="I74" s="64">
        <f>'Scenario Calculations'!L96</f>
        <v>0.28118931558543886</v>
      </c>
      <c r="J74" s="64">
        <f>'Scenario Calculations'!L112</f>
        <v>0.2345952239928373</v>
      </c>
      <c r="K74" s="64">
        <f>'Scenario Calculations'!L128</f>
        <v>0.47315393096606251</v>
      </c>
    </row>
    <row r="75" spans="1:13" s="57" customFormat="1" ht="15" customHeight="1" x14ac:dyDescent="0.15">
      <c r="C75" s="60">
        <v>2031</v>
      </c>
      <c r="D75" s="64">
        <f>'Scenario Calculations'!L17</f>
        <v>0.10383707571385845</v>
      </c>
      <c r="E75" s="64">
        <f>'Scenario Calculations'!L33</f>
        <v>0.28727088067163303</v>
      </c>
      <c r="F75" s="64">
        <f>'Scenario Calculations'!L49</f>
        <v>0.28727088067163303</v>
      </c>
      <c r="G75" s="64">
        <f>'Scenario Calculations'!L65</f>
        <v>0.58369185749176555</v>
      </c>
      <c r="H75" s="64">
        <f>'Scenario Calculations'!L81</f>
        <v>0.11359804655701056</v>
      </c>
      <c r="I75" s="64">
        <f>'Scenario Calculations'!L97</f>
        <v>0.28326884261604041</v>
      </c>
      <c r="J75" s="64">
        <f>'Scenario Calculations'!L113</f>
        <v>0.25644033628200807</v>
      </c>
      <c r="K75" s="64">
        <f>'Scenario Calculations'!L129</f>
        <v>0.52810679238197022</v>
      </c>
    </row>
    <row r="76" spans="1:13" s="57" customFormat="1" ht="15" customHeight="1" x14ac:dyDescent="0.15">
      <c r="C76" s="60">
        <v>2032</v>
      </c>
      <c r="D76" s="64">
        <f>'Scenario Calculations'!L18</f>
        <v>0.10383707571385845</v>
      </c>
      <c r="E76" s="64">
        <f>'Scenario Calculations'!L34</f>
        <v>0.28727088067163303</v>
      </c>
      <c r="F76" s="64">
        <f>'Scenario Calculations'!L50</f>
        <v>0.28727088067163303</v>
      </c>
      <c r="G76" s="64">
        <f>'Scenario Calculations'!L66</f>
        <v>0.58369185749176555</v>
      </c>
      <c r="H76" s="64">
        <f>'Scenario Calculations'!L82</f>
        <v>0.11057929593981315</v>
      </c>
      <c r="I76" s="64">
        <f>'Scenario Calculations'!L98</f>
        <v>0.28462542198024043</v>
      </c>
      <c r="J76" s="64">
        <f>'Scenario Calculations'!L114</f>
        <v>0.26813012503630801</v>
      </c>
      <c r="K76" s="64">
        <f>'Scenario Calculations'!L130</f>
        <v>0.55122665269806603</v>
      </c>
    </row>
    <row r="77" spans="1:13" s="57" customFormat="1" x14ac:dyDescent="0.15"/>
    <row r="78" spans="1:13" ht="15" customHeight="1" x14ac:dyDescent="0.15">
      <c r="A78" s="29" t="s">
        <v>2</v>
      </c>
      <c r="C78" s="20" t="s">
        <v>171</v>
      </c>
      <c r="D78" s="20"/>
      <c r="E78" s="20"/>
      <c r="F78" s="20"/>
      <c r="G78" s="20"/>
      <c r="H78" s="20"/>
      <c r="I78" s="30"/>
      <c r="J78" s="30"/>
      <c r="K78" s="30"/>
      <c r="L78" s="30"/>
      <c r="M78" s="30"/>
    </row>
    <row r="80" spans="1:13" x14ac:dyDescent="0.15">
      <c r="C80" s="29" t="s">
        <v>78</v>
      </c>
      <c r="D80" s="11">
        <f>p_star</f>
        <v>0.03</v>
      </c>
    </row>
    <row r="81" spans="1:13" x14ac:dyDescent="0.15">
      <c r="C81" s="29" t="s">
        <v>172</v>
      </c>
      <c r="D81" s="65">
        <f>(1-D80)+D80*exp_xi^(1-alpha)</f>
        <v>1.0388740580744393</v>
      </c>
    </row>
    <row r="83" spans="1:13" ht="17" x14ac:dyDescent="0.3">
      <c r="C83" s="46" t="s">
        <v>141</v>
      </c>
      <c r="D83" s="46"/>
      <c r="E83" s="15" t="s">
        <v>149</v>
      </c>
      <c r="F83" s="15" t="s">
        <v>173</v>
      </c>
      <c r="G83" s="15" t="s">
        <v>174</v>
      </c>
      <c r="H83" s="46" t="s">
        <v>155</v>
      </c>
      <c r="I83" s="46" t="s">
        <v>175</v>
      </c>
      <c r="J83" s="46" t="s">
        <v>176</v>
      </c>
      <c r="K83" s="46" t="s">
        <v>177</v>
      </c>
    </row>
    <row r="84" spans="1:13" x14ac:dyDescent="0.15">
      <c r="E84" s="67">
        <f>D30</f>
        <v>10116.545472286582</v>
      </c>
      <c r="F84" s="68">
        <f>E84*(alpha*$D$81/(r_a+delta_a))^(1/(1-alpha))</f>
        <v>8149.0075694450288</v>
      </c>
      <c r="G84" s="69"/>
      <c r="H84" s="69"/>
      <c r="I84" s="69"/>
    </row>
    <row r="85" spans="1:13" x14ac:dyDescent="0.15">
      <c r="C85" s="66" t="s">
        <v>144</v>
      </c>
      <c r="D85" s="69">
        <v>1</v>
      </c>
      <c r="E85" s="33">
        <f>_z1*exp_xi^0</f>
        <v>2908.2424635851812</v>
      </c>
      <c r="F85" s="47">
        <f>E85*(alpha*$D$81/(r_a+delta_a))^(1/(1-alpha))</f>
        <v>2342.6267310772532</v>
      </c>
      <c r="G85" s="47">
        <f>(r_a + delta_a)/$D$81*F85</f>
        <v>901.98680499129182</v>
      </c>
      <c r="H85" s="47">
        <f>G85/alpha</f>
        <v>2705.9604149738757</v>
      </c>
      <c r="I85" s="70">
        <f>H85/(H85+Yn0)</f>
        <v>0.10383707571385835</v>
      </c>
      <c r="J85" s="55">
        <f>(H85+Yn0)/GDP_0-1</f>
        <v>8.0555928173807745E-2</v>
      </c>
      <c r="K85" s="125">
        <f>delta_a*F85</f>
        <v>585.65668276931331</v>
      </c>
    </row>
    <row r="86" spans="1:13" x14ac:dyDescent="0.15">
      <c r="C86" s="66" t="s">
        <v>145</v>
      </c>
      <c r="D86" s="69">
        <v>2</v>
      </c>
      <c r="E86" s="33">
        <f>_z1*exp_xi^1</f>
        <v>10116.545472286582</v>
      </c>
      <c r="F86" s="47">
        <f>E86*(alpha*$D$81/(r_a+delta_a))^(1/(1-alpha))</f>
        <v>8149.0075694450288</v>
      </c>
      <c r="G86" s="47">
        <f>(r_a + delta_a)/$D$81*F86</f>
        <v>3137.6305938563041</v>
      </c>
      <c r="H86" s="47">
        <f>G86/alpha</f>
        <v>9412.8917815689128</v>
      </c>
      <c r="I86" s="70">
        <f>H86/(H86+Yn0)</f>
        <v>0.28727088067163287</v>
      </c>
      <c r="J86" s="55">
        <f>(H86+Yn0)/GDP_0-1</f>
        <v>0.35865665396060131</v>
      </c>
      <c r="K86" s="125">
        <f>delta_a*F86</f>
        <v>2037.2518923612572</v>
      </c>
    </row>
    <row r="87" spans="1:13" x14ac:dyDescent="0.15">
      <c r="C87" s="66" t="s">
        <v>146</v>
      </c>
      <c r="D87" s="69">
        <v>3</v>
      </c>
      <c r="E87" s="33">
        <f>_z1*exp_xi^1</f>
        <v>10116.545472286582</v>
      </c>
      <c r="F87" s="47">
        <f>E87*(alpha*$D$81/(r_a+delta_a))^(1/(1-alpha))</f>
        <v>8149.0075694450288</v>
      </c>
      <c r="G87" s="47">
        <f>(r_a + delta_a)/$D$81*F87</f>
        <v>3137.6305938563041</v>
      </c>
      <c r="H87" s="47">
        <f>G87/alpha</f>
        <v>9412.8917815689128</v>
      </c>
      <c r="I87" s="70">
        <f>H87/(H87+Yn0)</f>
        <v>0.28727088067163287</v>
      </c>
      <c r="J87" s="55">
        <f>(H87+Yn0)/GDP_0-1</f>
        <v>0.35865665396060131</v>
      </c>
      <c r="K87" s="125">
        <f>delta_a*F87</f>
        <v>2037.2518923612572</v>
      </c>
    </row>
    <row r="88" spans="1:13" x14ac:dyDescent="0.15">
      <c r="C88" s="66" t="s">
        <v>147</v>
      </c>
      <c r="D88" s="69">
        <v>4</v>
      </c>
      <c r="E88" s="33">
        <f>_z1*exp_xi^2</f>
        <v>35191.18284473275</v>
      </c>
      <c r="F88" s="47">
        <f>E88*(alpha*$D$81/(r_a+delta_a))^(1/(1-alpha))</f>
        <v>28346.950662658721</v>
      </c>
      <c r="G88" s="47">
        <f>(r_a + delta_a)/$D$81*F88</f>
        <v>10914.489756419562</v>
      </c>
      <c r="H88" s="47">
        <f>G88/alpha</f>
        <v>32743.469269258687</v>
      </c>
      <c r="I88" s="70">
        <f>H88/(H88+Yn0)</f>
        <v>0.58369185749176533</v>
      </c>
      <c r="J88" s="55">
        <f>(H88+Yn0)/GDP_0-1</f>
        <v>1.326051454609277</v>
      </c>
      <c r="K88" s="125">
        <f>delta_a*F88</f>
        <v>7086.7376656646802</v>
      </c>
    </row>
    <row r="90" spans="1:13" ht="15" customHeight="1" x14ac:dyDescent="0.15">
      <c r="A90" s="29" t="s">
        <v>2</v>
      </c>
      <c r="C90" s="20" t="s">
        <v>178</v>
      </c>
      <c r="D90" s="20"/>
      <c r="E90" s="20"/>
      <c r="F90" s="20"/>
      <c r="G90" s="20"/>
      <c r="H90" s="20"/>
      <c r="I90" s="30"/>
      <c r="J90" s="30"/>
      <c r="K90" s="30"/>
      <c r="L90" s="30"/>
      <c r="M90" s="30"/>
    </row>
    <row r="91" spans="1:13" x14ac:dyDescent="0.15">
      <c r="C91" s="2" t="s">
        <v>179</v>
      </c>
    </row>
    <row r="93" spans="1:13" x14ac:dyDescent="0.15">
      <c r="C93" s="71" t="s">
        <v>180</v>
      </c>
    </row>
    <row r="94" spans="1:13" ht="16" x14ac:dyDescent="0.3">
      <c r="C94" s="74" t="s">
        <v>95</v>
      </c>
      <c r="D94" s="74" t="s">
        <v>181</v>
      </c>
      <c r="E94" s="74" t="s">
        <v>182</v>
      </c>
      <c r="F94" s="74" t="s">
        <v>183</v>
      </c>
      <c r="G94" s="74" t="s">
        <v>184</v>
      </c>
      <c r="H94" s="74" t="s">
        <v>185</v>
      </c>
    </row>
    <row r="95" spans="1:13" x14ac:dyDescent="0.15">
      <c r="C95" s="29">
        <v>2030</v>
      </c>
      <c r="D95" s="55">
        <f>(SUMPRODUCT('Scenario Calculations'!E140:Y140,'Scenario Calculations'!E167:Y167)+Yn0)/GDP_0-1</f>
        <v>8.0555928173807745E-2</v>
      </c>
      <c r="E95" s="55">
        <f>(INDEX('Scenario Calculations'!$E$167:$Y$167,1,'Scenario Calculations'!D181+1)+Yn0)/GDP_0-1</f>
        <v>8.0555928173807745E-2</v>
      </c>
      <c r="F95" s="55">
        <f>(INDEX('Scenario Calculations'!$E$167:$Y$167,1,'Scenario Calculations'!E181+1)+Yn0)/GDP_0-1</f>
        <v>8.0555928173807745E-2</v>
      </c>
      <c r="G95" s="55">
        <f>(INDEX('Scenario Calculations'!$E$167:$Y$167,1,'Scenario Calculations'!F181+1)+Yn0)/GDP_0-1</f>
        <v>8.0555928173807745E-2</v>
      </c>
      <c r="H95" s="55">
        <f>(INDEX('Scenario Calculations'!$E$167:$Y$167,1,'Scenario Calculations'!G181+1)+Yn0)/GDP_0-1</f>
        <v>8.0555928173807745E-2</v>
      </c>
    </row>
    <row r="96" spans="1:13" x14ac:dyDescent="0.15">
      <c r="C96" s="29">
        <v>2031</v>
      </c>
      <c r="D96" s="55">
        <f>(SUMPRODUCT('Scenario Calculations'!E141:Y141,'Scenario Calculations'!E167:Y167)+Yn0)/GDP_0-1</f>
        <v>8.8898949947411543E-2</v>
      </c>
      <c r="E96" s="55">
        <f>(INDEX('Scenario Calculations'!$E$167:$Y$167,1,'Scenario Calculations'!D182+1)+Yn0)/GDP_0-1</f>
        <v>8.0555928173807745E-2</v>
      </c>
      <c r="F96" s="55">
        <f>(INDEX('Scenario Calculations'!$E$167:$Y$167,1,'Scenario Calculations'!E182+1)+Yn0)/GDP_0-1</f>
        <v>8.0555928173807745E-2</v>
      </c>
      <c r="G96" s="55">
        <f>(INDEX('Scenario Calculations'!$E$167:$Y$167,1,'Scenario Calculations'!F182+1)+Yn0)/GDP_0-1</f>
        <v>8.0555928173807745E-2</v>
      </c>
      <c r="H96" s="55">
        <f>(INDEX('Scenario Calculations'!$E$167:$Y$167,1,'Scenario Calculations'!G182+1)+Yn0)/GDP_0-1</f>
        <v>8.0555928173807745E-2</v>
      </c>
    </row>
    <row r="97" spans="3:8" x14ac:dyDescent="0.15">
      <c r="C97" s="29">
        <v>2032</v>
      </c>
      <c r="D97" s="55">
        <f>(SUMPRODUCT('Scenario Calculations'!E142:Y142,'Scenario Calculations'!E167:Y167)+Yn0)/GDP_0-1</f>
        <v>9.7862336388391036E-2</v>
      </c>
      <c r="E97" s="55">
        <f>(INDEX('Scenario Calculations'!$E$167:$Y$167,1,'Scenario Calculations'!D183+1)+Yn0)/GDP_0-1</f>
        <v>8.0555928173807745E-2</v>
      </c>
      <c r="F97" s="55">
        <f>(INDEX('Scenario Calculations'!$E$167:$Y$167,1,'Scenario Calculations'!E183+1)+Yn0)/GDP_0-1</f>
        <v>8.0555928173807745E-2</v>
      </c>
      <c r="G97" s="55">
        <f>(INDEX('Scenario Calculations'!$E$167:$Y$167,1,'Scenario Calculations'!F183+1)+Yn0)/GDP_0-1</f>
        <v>8.0555928173807745E-2</v>
      </c>
      <c r="H97" s="55">
        <f>(INDEX('Scenario Calculations'!$E$167:$Y$167,1,'Scenario Calculations'!G183+1)+Yn0)/GDP_0-1</f>
        <v>8.0555928173807745E-2</v>
      </c>
    </row>
    <row r="98" spans="3:8" x14ac:dyDescent="0.15">
      <c r="C98" s="29">
        <v>2033</v>
      </c>
      <c r="D98" s="55">
        <f>(SUMPRODUCT('Scenario Calculations'!E143:Y143,'Scenario Calculations'!E167:Y167)+Yn0)/GDP_0-1</f>
        <v>0.10749221614545057</v>
      </c>
      <c r="E98" s="55">
        <f>(INDEX('Scenario Calculations'!$E$167:$Y$167,1,'Scenario Calculations'!D184+1)+Yn0)/GDP_0-1</f>
        <v>8.0555928173807745E-2</v>
      </c>
      <c r="F98" s="55">
        <f>(INDEX('Scenario Calculations'!$E$167:$Y$167,1,'Scenario Calculations'!E184+1)+Yn0)/GDP_0-1</f>
        <v>8.0555928173807745E-2</v>
      </c>
      <c r="G98" s="55">
        <f>(INDEX('Scenario Calculations'!$E$167:$Y$167,1,'Scenario Calculations'!F184+1)+Yn0)/GDP_0-1</f>
        <v>8.0555928173807745E-2</v>
      </c>
      <c r="H98" s="55">
        <f>(INDEX('Scenario Calculations'!$E$167:$Y$167,1,'Scenario Calculations'!G184+1)+Yn0)/GDP_0-1</f>
        <v>8.0555928173807745E-2</v>
      </c>
    </row>
    <row r="99" spans="3:8" x14ac:dyDescent="0.15">
      <c r="C99" s="29">
        <v>2034</v>
      </c>
      <c r="D99" s="55">
        <f>(SUMPRODUCT('Scenario Calculations'!E144:Y144,'Scenario Calculations'!E167:Y167)+Yn0)/GDP_0-1</f>
        <v>0.11783814786958735</v>
      </c>
      <c r="E99" s="55">
        <f>(INDEX('Scenario Calculations'!$E$167:$Y$167,1,'Scenario Calculations'!D185+1)+Yn0)/GDP_0-1</f>
        <v>8.0555928173807745E-2</v>
      </c>
      <c r="F99" s="55">
        <f>(INDEX('Scenario Calculations'!$E$167:$Y$167,1,'Scenario Calculations'!E185+1)+Yn0)/GDP_0-1</f>
        <v>8.0555928173807745E-2</v>
      </c>
      <c r="G99" s="55">
        <f>(INDEX('Scenario Calculations'!$E$167:$Y$167,1,'Scenario Calculations'!F185+1)+Yn0)/GDP_0-1</f>
        <v>8.0555928173807745E-2</v>
      </c>
      <c r="H99" s="55">
        <f>(INDEX('Scenario Calculations'!$E$167:$Y$167,1,'Scenario Calculations'!G185+1)+Yn0)/GDP_0-1</f>
        <v>0.35865665396060153</v>
      </c>
    </row>
    <row r="100" spans="3:8" x14ac:dyDescent="0.15">
      <c r="C100" s="29">
        <v>2035</v>
      </c>
      <c r="D100" s="55">
        <f>(SUMPRODUCT('Scenario Calculations'!E145:Y145,'Scenario Calculations'!E167:Y167)+Yn0)/GDP_0-1</f>
        <v>0.12895337525983908</v>
      </c>
      <c r="E100" s="55">
        <f>(INDEX('Scenario Calculations'!$E$167:$Y$167,1,'Scenario Calculations'!D186+1)+Yn0)/GDP_0-1</f>
        <v>8.0555928173807745E-2</v>
      </c>
      <c r="F100" s="55">
        <f>(INDEX('Scenario Calculations'!$E$167:$Y$167,1,'Scenario Calculations'!E186+1)+Yn0)/GDP_0-1</f>
        <v>8.0555928173807745E-2</v>
      </c>
      <c r="G100" s="55">
        <f>(INDEX('Scenario Calculations'!$E$167:$Y$167,1,'Scenario Calculations'!F186+1)+Yn0)/GDP_0-1</f>
        <v>8.0555928173807745E-2</v>
      </c>
      <c r="H100" s="55">
        <f>(INDEX('Scenario Calculations'!$E$167:$Y$167,1,'Scenario Calculations'!G186+1)+Yn0)/GDP_0-1</f>
        <v>0.35865665396060153</v>
      </c>
    </row>
    <row r="101" spans="3:8" x14ac:dyDescent="0.15">
      <c r="C101" s="29">
        <v>2036</v>
      </c>
      <c r="D101" s="55">
        <f>(SUMPRODUCT('Scenario Calculations'!E146:Y146,'Scenario Calculations'!E167:Y167)+Yn0)/GDP_0-1</f>
        <v>0.14089510107354863</v>
      </c>
      <c r="E101" s="55">
        <f>(INDEX('Scenario Calculations'!$E$167:$Y$167,1,'Scenario Calculations'!D187+1)+Yn0)/GDP_0-1</f>
        <v>8.0555928173807745E-2</v>
      </c>
      <c r="F101" s="55">
        <f>(INDEX('Scenario Calculations'!$E$167:$Y$167,1,'Scenario Calculations'!E187+1)+Yn0)/GDP_0-1</f>
        <v>8.0555928173807745E-2</v>
      </c>
      <c r="G101" s="55">
        <f>(INDEX('Scenario Calculations'!$E$167:$Y$167,1,'Scenario Calculations'!F187+1)+Yn0)/GDP_0-1</f>
        <v>8.0555928173807745E-2</v>
      </c>
      <c r="H101" s="55">
        <f>(INDEX('Scenario Calculations'!$E$167:$Y$167,1,'Scenario Calculations'!G187+1)+Yn0)/GDP_0-1</f>
        <v>0.35865665396060153</v>
      </c>
    </row>
    <row r="102" spans="3:8" x14ac:dyDescent="0.15">
      <c r="C102" s="29">
        <v>2037</v>
      </c>
      <c r="D102" s="55">
        <f>(SUMPRODUCT('Scenario Calculations'!E147:Y147,'Scenario Calculations'!E167:Y167)+Yn0)/GDP_0-1</f>
        <v>0.15372478151129543</v>
      </c>
      <c r="E102" s="55">
        <f>(INDEX('Scenario Calculations'!$E$167:$Y$167,1,'Scenario Calculations'!D188+1)+Yn0)/GDP_0-1</f>
        <v>8.0555928173807745E-2</v>
      </c>
      <c r="F102" s="55">
        <f>(INDEX('Scenario Calculations'!$E$167:$Y$167,1,'Scenario Calculations'!E188+1)+Yn0)/GDP_0-1</f>
        <v>8.0555928173807745E-2</v>
      </c>
      <c r="G102" s="55">
        <f>(INDEX('Scenario Calculations'!$E$167:$Y$167,1,'Scenario Calculations'!F188+1)+Yn0)/GDP_0-1</f>
        <v>8.0555928173807745E-2</v>
      </c>
      <c r="H102" s="55">
        <f>(INDEX('Scenario Calculations'!$E$167:$Y$167,1,'Scenario Calculations'!G188+1)+Yn0)/GDP_0-1</f>
        <v>0.35865665396060153</v>
      </c>
    </row>
    <row r="103" spans="3:8" x14ac:dyDescent="0.15">
      <c r="C103" s="29">
        <v>2038</v>
      </c>
      <c r="D103" s="55">
        <f>(SUMPRODUCT('Scenario Calculations'!E148:Y148,'Scenario Calculations'!E167:Y167)+Yn0)/GDP_0-1</f>
        <v>0.16750844249149743</v>
      </c>
      <c r="E103" s="55">
        <f>(INDEX('Scenario Calculations'!$E$167:$Y$167,1,'Scenario Calculations'!D189+1)+Yn0)/GDP_0-1</f>
        <v>8.0555928173807745E-2</v>
      </c>
      <c r="F103" s="55">
        <f>(INDEX('Scenario Calculations'!$E$167:$Y$167,1,'Scenario Calculations'!E189+1)+Yn0)/GDP_0-1</f>
        <v>8.0555928173807745E-2</v>
      </c>
      <c r="G103" s="55">
        <f>(INDEX('Scenario Calculations'!$E$167:$Y$167,1,'Scenario Calculations'!F189+1)+Yn0)/GDP_0-1</f>
        <v>8.0555928173807745E-2</v>
      </c>
      <c r="H103" s="55">
        <f>(INDEX('Scenario Calculations'!$E$167:$Y$167,1,'Scenario Calculations'!G189+1)+Yn0)/GDP_0-1</f>
        <v>0.35865665396060153</v>
      </c>
    </row>
    <row r="104" spans="3:8" x14ac:dyDescent="0.15">
      <c r="C104" s="29">
        <v>2039</v>
      </c>
      <c r="D104" s="55">
        <f>(SUMPRODUCT('Scenario Calculations'!E149:Y149,'Scenario Calculations'!E167:Y167)+Yn0)/GDP_0-1</f>
        <v>0.18231701944234424</v>
      </c>
      <c r="E104" s="55">
        <f>(INDEX('Scenario Calculations'!$E$167:$Y$167,1,'Scenario Calculations'!D190+1)+Yn0)/GDP_0-1</f>
        <v>8.0555928173807745E-2</v>
      </c>
      <c r="F104" s="55">
        <f>(INDEX('Scenario Calculations'!$E$167:$Y$167,1,'Scenario Calculations'!E190+1)+Yn0)/GDP_0-1</f>
        <v>8.0555928173807745E-2</v>
      </c>
      <c r="G104" s="55">
        <f>(INDEX('Scenario Calculations'!$E$167:$Y$167,1,'Scenario Calculations'!F190+1)+Yn0)/GDP_0-1</f>
        <v>8.0555928173807745E-2</v>
      </c>
      <c r="H104" s="55">
        <f>(INDEX('Scenario Calculations'!$E$167:$Y$167,1,'Scenario Calculations'!G190+1)+Yn0)/GDP_0-1</f>
        <v>0.35865665396060153</v>
      </c>
    </row>
    <row r="105" spans="3:8" x14ac:dyDescent="0.15">
      <c r="C105" s="29">
        <v>2040</v>
      </c>
      <c r="D105" s="55">
        <f>(SUMPRODUCT('Scenario Calculations'!E150:Y150,'Scenario Calculations'!E167:Y167)+Yn0)/GDP_0-1</f>
        <v>0.19822672235974204</v>
      </c>
      <c r="E105" s="55">
        <f>(INDEX('Scenario Calculations'!$E$167:$Y$167,1,'Scenario Calculations'!D191+1)+Yn0)/GDP_0-1</f>
        <v>8.0555928173807745E-2</v>
      </c>
      <c r="F105" s="55">
        <f>(INDEX('Scenario Calculations'!$E$167:$Y$167,1,'Scenario Calculations'!E191+1)+Yn0)/GDP_0-1</f>
        <v>8.0555928173807745E-2</v>
      </c>
      <c r="G105" s="55">
        <f>(INDEX('Scenario Calculations'!$E$167:$Y$167,1,'Scenario Calculations'!F191+1)+Yn0)/GDP_0-1</f>
        <v>0.35865665396060153</v>
      </c>
      <c r="H105" s="55">
        <f>(INDEX('Scenario Calculations'!$E$167:$Y$167,1,'Scenario Calculations'!G191+1)+Yn0)/GDP_0-1</f>
        <v>0.35865665396060153</v>
      </c>
    </row>
    <row r="106" spans="3:8" x14ac:dyDescent="0.15">
      <c r="C106" s="29">
        <v>2041</v>
      </c>
      <c r="D106" s="55">
        <f>(SUMPRODUCT('Scenario Calculations'!E151:Y151,'Scenario Calculations'!E167:Y167)+Yn0)/GDP_0-1</f>
        <v>0.21531942800998993</v>
      </c>
      <c r="E106" s="55">
        <f>(INDEX('Scenario Calculations'!$E$167:$Y$167,1,'Scenario Calculations'!D192+1)+Yn0)/GDP_0-1</f>
        <v>8.0555928173807745E-2</v>
      </c>
      <c r="F106" s="55">
        <f>(INDEX('Scenario Calculations'!$E$167:$Y$167,1,'Scenario Calculations'!E192+1)+Yn0)/GDP_0-1</f>
        <v>8.0555928173807745E-2</v>
      </c>
      <c r="G106" s="55">
        <f>(INDEX('Scenario Calculations'!$E$167:$Y$167,1,'Scenario Calculations'!F192+1)+Yn0)/GDP_0-1</f>
        <v>0.35865665396060153</v>
      </c>
      <c r="H106" s="55">
        <f>(INDEX('Scenario Calculations'!$E$167:$Y$167,1,'Scenario Calculations'!G192+1)+Yn0)/GDP_0-1</f>
        <v>0.35865665396060153</v>
      </c>
    </row>
    <row r="107" spans="3:8" x14ac:dyDescent="0.15">
      <c r="C107" s="29">
        <v>2042</v>
      </c>
      <c r="D107" s="55">
        <f>(SUMPRODUCT('Scenario Calculations'!E152:Y152,'Scenario Calculations'!E167:Y167)+Yn0)/GDP_0-1</f>
        <v>0.23368310129558734</v>
      </c>
      <c r="E107" s="55">
        <f>(INDEX('Scenario Calculations'!$E$167:$Y$167,1,'Scenario Calculations'!D193+1)+Yn0)/GDP_0-1</f>
        <v>8.0555928173807745E-2</v>
      </c>
      <c r="F107" s="55">
        <f>(INDEX('Scenario Calculations'!$E$167:$Y$167,1,'Scenario Calculations'!E193+1)+Yn0)/GDP_0-1</f>
        <v>8.0555928173807745E-2</v>
      </c>
      <c r="G107" s="55">
        <f>(INDEX('Scenario Calculations'!$E$167:$Y$167,1,'Scenario Calculations'!F193+1)+Yn0)/GDP_0-1</f>
        <v>0.35865665396060153</v>
      </c>
      <c r="H107" s="55">
        <f>(INDEX('Scenario Calculations'!$E$167:$Y$167,1,'Scenario Calculations'!G193+1)+Yn0)/GDP_0-1</f>
        <v>0.35865665396060153</v>
      </c>
    </row>
    <row r="108" spans="3:8" x14ac:dyDescent="0.15">
      <c r="C108" s="29">
        <v>2043</v>
      </c>
      <c r="D108" s="55">
        <f>(SUMPRODUCT('Scenario Calculations'!E153:Y153,'Scenario Calculations'!E167:Y167)+Yn0)/GDP_0-1</f>
        <v>0.25341224795267436</v>
      </c>
      <c r="E108" s="55">
        <f>(INDEX('Scenario Calculations'!$E$167:$Y$167,1,'Scenario Calculations'!D194+1)+Yn0)/GDP_0-1</f>
        <v>8.0555928173807745E-2</v>
      </c>
      <c r="F108" s="55">
        <f>(INDEX('Scenario Calculations'!$E$167:$Y$167,1,'Scenario Calculations'!E194+1)+Yn0)/GDP_0-1</f>
        <v>8.0555928173807745E-2</v>
      </c>
      <c r="G108" s="55">
        <f>(INDEX('Scenario Calculations'!$E$167:$Y$167,1,'Scenario Calculations'!F194+1)+Yn0)/GDP_0-1</f>
        <v>0.35865665396060153</v>
      </c>
      <c r="H108" s="55">
        <f>(INDEX('Scenario Calculations'!$E$167:$Y$167,1,'Scenario Calculations'!G194+1)+Yn0)/GDP_0-1</f>
        <v>0.35865665396060153</v>
      </c>
    </row>
    <row r="109" spans="3:8" x14ac:dyDescent="0.15">
      <c r="C109" s="29">
        <v>2044</v>
      </c>
      <c r="D109" s="55">
        <f>(SUMPRODUCT('Scenario Calculations'!E154:Y154,'Scenario Calculations'!E167:Y167)+Yn0)/GDP_0-1</f>
        <v>0.27460840090983529</v>
      </c>
      <c r="E109" s="55">
        <f>(INDEX('Scenario Calculations'!$E$167:$Y$167,1,'Scenario Calculations'!D195+1)+Yn0)/GDP_0-1</f>
        <v>8.0555928173807745E-2</v>
      </c>
      <c r="F109" s="55">
        <f>(INDEX('Scenario Calculations'!$E$167:$Y$167,1,'Scenario Calculations'!E195+1)+Yn0)/GDP_0-1</f>
        <v>8.0555928173807745E-2</v>
      </c>
      <c r="G109" s="55">
        <f>(INDEX('Scenario Calculations'!$E$167:$Y$167,1,'Scenario Calculations'!F195+1)+Yn0)/GDP_0-1</f>
        <v>0.35865665396060153</v>
      </c>
      <c r="H109" s="55">
        <f>(INDEX('Scenario Calculations'!$E$167:$Y$167,1,'Scenario Calculations'!G195+1)+Yn0)/GDP_0-1</f>
        <v>0.35865665396060153</v>
      </c>
    </row>
    <row r="110" spans="3:8" x14ac:dyDescent="0.15">
      <c r="C110" s="29">
        <v>2045</v>
      </c>
      <c r="D110" s="55">
        <f>(SUMPRODUCT('Scenario Calculations'!E155:Y155,'Scenario Calculations'!E167:Y167)+Yn0)/GDP_0-1</f>
        <v>0.29738064281123422</v>
      </c>
      <c r="E110" s="55">
        <f>(INDEX('Scenario Calculations'!$E$167:$Y$167,1,'Scenario Calculations'!D196+1)+Yn0)/GDP_0-1</f>
        <v>8.0555928173807745E-2</v>
      </c>
      <c r="F110" s="55">
        <f>(INDEX('Scenario Calculations'!$E$167:$Y$167,1,'Scenario Calculations'!E196+1)+Yn0)/GDP_0-1</f>
        <v>8.0555928173807745E-2</v>
      </c>
      <c r="G110" s="55">
        <f>(INDEX('Scenario Calculations'!$E$167:$Y$167,1,'Scenario Calculations'!F196+1)+Yn0)/GDP_0-1</f>
        <v>0.35865665396060153</v>
      </c>
      <c r="H110" s="55">
        <f>(INDEX('Scenario Calculations'!$E$167:$Y$167,1,'Scenario Calculations'!G196+1)+Yn0)/GDP_0-1</f>
        <v>0.35865665396060153</v>
      </c>
    </row>
    <row r="111" spans="3:8" x14ac:dyDescent="0.15">
      <c r="C111" s="29">
        <v>2046</v>
      </c>
      <c r="D111" s="55">
        <f>(SUMPRODUCT('Scenario Calculations'!E156:Y156,'Scenario Calculations'!E167:Y167)+Yn0)/GDP_0-1</f>
        <v>0.32184616739316696</v>
      </c>
      <c r="E111" s="55">
        <f>(INDEX('Scenario Calculations'!$E$167:$Y$167,1,'Scenario Calculations'!D197+1)+Yn0)/GDP_0-1</f>
        <v>8.0555928173807745E-2</v>
      </c>
      <c r="F111" s="55">
        <f>(INDEX('Scenario Calculations'!$E$167:$Y$167,1,'Scenario Calculations'!E197+1)+Yn0)/GDP_0-1</f>
        <v>8.0555928173807745E-2</v>
      </c>
      <c r="G111" s="55">
        <f>(INDEX('Scenario Calculations'!$E$167:$Y$167,1,'Scenario Calculations'!F197+1)+Yn0)/GDP_0-1</f>
        <v>0.35865665396060153</v>
      </c>
      <c r="H111" s="55">
        <f>(INDEX('Scenario Calculations'!$E$167:$Y$167,1,'Scenario Calculations'!G197+1)+Yn0)/GDP_0-1</f>
        <v>0.35865665396060153</v>
      </c>
    </row>
    <row r="112" spans="3:8" x14ac:dyDescent="0.15">
      <c r="C112" s="29">
        <v>2047</v>
      </c>
      <c r="D112" s="55">
        <f>(SUMPRODUCT('Scenario Calculations'!E157:Y157,'Scenario Calculations'!E167:Y167)+Yn0)/GDP_0-1</f>
        <v>0.34813088260306402</v>
      </c>
      <c r="E112" s="55">
        <f>(INDEX('Scenario Calculations'!$E$167:$Y$167,1,'Scenario Calculations'!D198+1)+Yn0)/GDP_0-1</f>
        <v>8.0555928173807745E-2</v>
      </c>
      <c r="F112" s="55">
        <f>(INDEX('Scenario Calculations'!$E$167:$Y$167,1,'Scenario Calculations'!E198+1)+Yn0)/GDP_0-1</f>
        <v>8.0555928173807745E-2</v>
      </c>
      <c r="G112" s="55">
        <f>(INDEX('Scenario Calculations'!$E$167:$Y$167,1,'Scenario Calculations'!F198+1)+Yn0)/GDP_0-1</f>
        <v>0.35865665396060153</v>
      </c>
      <c r="H112" s="55">
        <f>(INDEX('Scenario Calculations'!$E$167:$Y$167,1,'Scenario Calculations'!G198+1)+Yn0)/GDP_0-1</f>
        <v>0.35865665396060153</v>
      </c>
    </row>
    <row r="113" spans="3:8" x14ac:dyDescent="0.15">
      <c r="C113" s="29">
        <v>2048</v>
      </c>
      <c r="D113" s="55">
        <f>(SUMPRODUCT('Scenario Calculations'!E158:Y158,'Scenario Calculations'!E167:Y167)+Yn0)/GDP_0-1</f>
        <v>0.37637005856480088</v>
      </c>
      <c r="E113" s="55">
        <f>(INDEX('Scenario Calculations'!$E$167:$Y$167,1,'Scenario Calculations'!D199+1)+Yn0)/GDP_0-1</f>
        <v>8.0555928173807745E-2</v>
      </c>
      <c r="F113" s="55">
        <f>(INDEX('Scenario Calculations'!$E$167:$Y$167,1,'Scenario Calculations'!E199+1)+Yn0)/GDP_0-1</f>
        <v>8.0555928173807745E-2</v>
      </c>
      <c r="G113" s="55">
        <f>(INDEX('Scenario Calculations'!$E$167:$Y$167,1,'Scenario Calculations'!F199+1)+Yn0)/GDP_0-1</f>
        <v>0.35865665396060153</v>
      </c>
      <c r="H113" s="55">
        <f>(INDEX('Scenario Calculations'!$E$167:$Y$167,1,'Scenario Calculations'!G199+1)+Yn0)/GDP_0-1</f>
        <v>1.3260514546092779</v>
      </c>
    </row>
    <row r="114" spans="3:8" x14ac:dyDescent="0.15">
      <c r="C114" s="29">
        <v>2049</v>
      </c>
      <c r="D114" s="55">
        <f>(SUMPRODUCT('Scenario Calculations'!E159:Y159,'Scenario Calculations'!E167:Y167)+Yn0)/GDP_0-1</f>
        <v>0.40670902372496598</v>
      </c>
      <c r="E114" s="55">
        <f>(INDEX('Scenario Calculations'!$E$167:$Y$167,1,'Scenario Calculations'!D200+1)+Yn0)/GDP_0-1</f>
        <v>8.0555928173807745E-2</v>
      </c>
      <c r="F114" s="55">
        <f>(INDEX('Scenario Calculations'!$E$167:$Y$167,1,'Scenario Calculations'!E200+1)+Yn0)/GDP_0-1</f>
        <v>8.0555928173807745E-2</v>
      </c>
      <c r="G114" s="55">
        <f>(INDEX('Scenario Calculations'!$E$167:$Y$167,1,'Scenario Calculations'!F200+1)+Yn0)/GDP_0-1</f>
        <v>0.35865665396060153</v>
      </c>
      <c r="H114" s="55">
        <f>(INDEX('Scenario Calculations'!$E$167:$Y$167,1,'Scenario Calculations'!G200+1)+Yn0)/GDP_0-1</f>
        <v>1.3260514546092779</v>
      </c>
    </row>
    <row r="115" spans="3:8" x14ac:dyDescent="0.15">
      <c r="C115" s="29">
        <v>2050</v>
      </c>
      <c r="D115" s="55">
        <f>(SUMPRODUCT('Scenario Calculations'!E160:Y160,'Scenario Calculations'!E167:Y167)+Yn0)/GDP_0-1</f>
        <v>0.43930391276269543</v>
      </c>
      <c r="E115" s="55">
        <f>(INDEX('Scenario Calculations'!$E$167:$Y$167,1,'Scenario Calculations'!D201+1)+Yn0)/GDP_0-1</f>
        <v>8.0555928173807745E-2</v>
      </c>
      <c r="F115" s="55">
        <f>(INDEX('Scenario Calculations'!$E$167:$Y$167,1,'Scenario Calculations'!E201+1)+Yn0)/GDP_0-1</f>
        <v>8.0555928173807745E-2</v>
      </c>
      <c r="G115" s="55">
        <f>(INDEX('Scenario Calculations'!$E$167:$Y$167,1,'Scenario Calculations'!F201+1)+Yn0)/GDP_0-1</f>
        <v>0.35865665396060153</v>
      </c>
      <c r="H115" s="55">
        <f>(INDEX('Scenario Calculations'!$E$167:$Y$167,1,'Scenario Calculations'!G201+1)+Yn0)/GDP_0-1</f>
        <v>1.3260514546092779</v>
      </c>
    </row>
    <row r="117" spans="3:8" x14ac:dyDescent="0.15">
      <c r="C117" s="71" t="s">
        <v>186</v>
      </c>
    </row>
    <row r="118" spans="3:8" ht="16" x14ac:dyDescent="0.3">
      <c r="C118" s="74" t="s">
        <v>95</v>
      </c>
      <c r="D118" s="74" t="s">
        <v>181</v>
      </c>
      <c r="E118" s="74" t="s">
        <v>182</v>
      </c>
      <c r="F118" s="74" t="s">
        <v>183</v>
      </c>
      <c r="G118" s="74" t="s">
        <v>184</v>
      </c>
      <c r="H118" s="74" t="s">
        <v>185</v>
      </c>
    </row>
    <row r="119" spans="3:8" x14ac:dyDescent="0.15">
      <c r="C119" s="29">
        <v>2030</v>
      </c>
      <c r="D119" s="55">
        <f>SUMPRODUCT('Scenario Calculations'!E140:Y140,'Scenario Calculations'!E173:Y173)</f>
        <v>0.10383707571385838</v>
      </c>
      <c r="E119" s="55">
        <f>INDEX('Scenario Calculations'!$E$173:$Y$173,1,'Scenario Calculations'!D181+1)</f>
        <v>0.10383707571385838</v>
      </c>
      <c r="F119" s="55">
        <f>INDEX('Scenario Calculations'!$E$173:$Y$173,1,'Scenario Calculations'!E181+1)</f>
        <v>0.10383707571385838</v>
      </c>
      <c r="G119" s="55">
        <f>INDEX('Scenario Calculations'!$E$173:$Y$173,1,'Scenario Calculations'!F181+1)</f>
        <v>0.10383707571385838</v>
      </c>
      <c r="H119" s="55">
        <f>INDEX('Scenario Calculations'!$E$173:$Y$173,1,'Scenario Calculations'!G181+1)</f>
        <v>0.10383707571385838</v>
      </c>
    </row>
    <row r="120" spans="3:8" x14ac:dyDescent="0.15">
      <c r="C120" s="29">
        <v>2031</v>
      </c>
      <c r="D120" s="55">
        <f>SUMPRODUCT('Scenario Calculations'!E141:Y141,'Scenario Calculations'!E173:Y173)</f>
        <v>0.10934008986259161</v>
      </c>
      <c r="E120" s="55">
        <f>INDEX('Scenario Calculations'!$E$173:$Y$173,1,'Scenario Calculations'!D182+1)</f>
        <v>0.10383707571385838</v>
      </c>
      <c r="F120" s="55">
        <f>INDEX('Scenario Calculations'!$E$173:$Y$173,1,'Scenario Calculations'!E182+1)</f>
        <v>0.10383707571385838</v>
      </c>
      <c r="G120" s="55">
        <f>INDEX('Scenario Calculations'!$E$173:$Y$173,1,'Scenario Calculations'!F182+1)</f>
        <v>0.10383707571385838</v>
      </c>
      <c r="H120" s="55">
        <f>INDEX('Scenario Calculations'!$E$173:$Y$173,1,'Scenario Calculations'!G182+1)</f>
        <v>0.10383707571385838</v>
      </c>
    </row>
    <row r="121" spans="3:8" x14ac:dyDescent="0.15">
      <c r="C121" s="29">
        <v>2032</v>
      </c>
      <c r="D121" s="55">
        <f>SUMPRODUCT('Scenario Calculations'!E142:Y142,'Scenario Calculations'!E173:Y173)</f>
        <v>0.11494479246600096</v>
      </c>
      <c r="E121" s="55">
        <f>INDEX('Scenario Calculations'!$E$173:$Y$173,1,'Scenario Calculations'!D183+1)</f>
        <v>0.10383707571385838</v>
      </c>
      <c r="F121" s="55">
        <f>INDEX('Scenario Calculations'!$E$173:$Y$173,1,'Scenario Calculations'!E183+1)</f>
        <v>0.10383707571385838</v>
      </c>
      <c r="G121" s="55">
        <f>INDEX('Scenario Calculations'!$E$173:$Y$173,1,'Scenario Calculations'!F183+1)</f>
        <v>0.10383707571385838</v>
      </c>
      <c r="H121" s="55">
        <f>INDEX('Scenario Calculations'!$E$173:$Y$173,1,'Scenario Calculations'!G183+1)</f>
        <v>0.10383707571385838</v>
      </c>
    </row>
    <row r="122" spans="3:8" x14ac:dyDescent="0.15">
      <c r="C122" s="29">
        <v>2033</v>
      </c>
      <c r="D122" s="55">
        <f>SUMPRODUCT('Scenario Calculations'!E143:Y143,'Scenario Calculations'!E173:Y173)</f>
        <v>0.12064677579772112</v>
      </c>
      <c r="E122" s="55">
        <f>INDEX('Scenario Calculations'!$E$173:$Y$173,1,'Scenario Calculations'!D184+1)</f>
        <v>0.10383707571385838</v>
      </c>
      <c r="F122" s="55">
        <f>INDEX('Scenario Calculations'!$E$173:$Y$173,1,'Scenario Calculations'!E184+1)</f>
        <v>0.10383707571385838</v>
      </c>
      <c r="G122" s="55">
        <f>INDEX('Scenario Calculations'!$E$173:$Y$173,1,'Scenario Calculations'!F184+1)</f>
        <v>0.10383707571385838</v>
      </c>
      <c r="H122" s="55">
        <f>INDEX('Scenario Calculations'!$E$173:$Y$173,1,'Scenario Calculations'!G184+1)</f>
        <v>0.10383707571385838</v>
      </c>
    </row>
    <row r="123" spans="3:8" x14ac:dyDescent="0.15">
      <c r="C123" s="29">
        <v>2034</v>
      </c>
      <c r="D123" s="55">
        <f>SUMPRODUCT('Scenario Calculations'!E144:Y144,'Scenario Calculations'!E173:Y173)</f>
        <v>0.12644169842144176</v>
      </c>
      <c r="E123" s="55">
        <f>INDEX('Scenario Calculations'!$E$173:$Y$173,1,'Scenario Calculations'!D185+1)</f>
        <v>0.10383707571385838</v>
      </c>
      <c r="F123" s="55">
        <f>INDEX('Scenario Calculations'!$E$173:$Y$173,1,'Scenario Calculations'!E185+1)</f>
        <v>0.10383707571385838</v>
      </c>
      <c r="G123" s="55">
        <f>INDEX('Scenario Calculations'!$E$173:$Y$173,1,'Scenario Calculations'!F185+1)</f>
        <v>0.10383707571385838</v>
      </c>
      <c r="H123" s="55">
        <f>INDEX('Scenario Calculations'!$E$173:$Y$173,1,'Scenario Calculations'!G185+1)</f>
        <v>0.28727088067163298</v>
      </c>
    </row>
    <row r="124" spans="3:8" x14ac:dyDescent="0.15">
      <c r="C124" s="29">
        <v>2035</v>
      </c>
      <c r="D124" s="55">
        <f>SUMPRODUCT('Scenario Calculations'!E145:Y145,'Scenario Calculations'!E173:Y173)</f>
        <v>0.13232528654571729</v>
      </c>
      <c r="E124" s="55">
        <f>INDEX('Scenario Calculations'!$E$173:$Y$173,1,'Scenario Calculations'!D186+1)</f>
        <v>0.10383707571385838</v>
      </c>
      <c r="F124" s="55">
        <f>INDEX('Scenario Calculations'!$E$173:$Y$173,1,'Scenario Calculations'!E186+1)</f>
        <v>0.10383707571385838</v>
      </c>
      <c r="G124" s="55">
        <f>INDEX('Scenario Calculations'!$E$173:$Y$173,1,'Scenario Calculations'!F186+1)</f>
        <v>0.10383707571385838</v>
      </c>
      <c r="H124" s="55">
        <f>INDEX('Scenario Calculations'!$E$173:$Y$173,1,'Scenario Calculations'!G186+1)</f>
        <v>0.28727088067163298</v>
      </c>
    </row>
    <row r="125" spans="3:8" x14ac:dyDescent="0.15">
      <c r="C125" s="29">
        <v>2036</v>
      </c>
      <c r="D125" s="55">
        <f>SUMPRODUCT('Scenario Calculations'!E146:Y146,'Scenario Calculations'!E173:Y173)</f>
        <v>0.13829333523208151</v>
      </c>
      <c r="E125" s="55">
        <f>INDEX('Scenario Calculations'!$E$173:$Y$173,1,'Scenario Calculations'!D187+1)</f>
        <v>0.10383707571385838</v>
      </c>
      <c r="F125" s="55">
        <f>INDEX('Scenario Calculations'!$E$173:$Y$173,1,'Scenario Calculations'!E187+1)</f>
        <v>0.10383707571385838</v>
      </c>
      <c r="G125" s="55">
        <f>INDEX('Scenario Calculations'!$E$173:$Y$173,1,'Scenario Calculations'!F187+1)</f>
        <v>0.10383707571385838</v>
      </c>
      <c r="H125" s="55">
        <f>INDEX('Scenario Calculations'!$E$173:$Y$173,1,'Scenario Calculations'!G187+1)</f>
        <v>0.28727088067163298</v>
      </c>
    </row>
    <row r="126" spans="3:8" x14ac:dyDescent="0.15">
      <c r="C126" s="29">
        <v>2037</v>
      </c>
      <c r="D126" s="55">
        <f>SUMPRODUCT('Scenario Calculations'!E147:Y147,'Scenario Calculations'!E173:Y173)</f>
        <v>0.14434170946357874</v>
      </c>
      <c r="E126" s="55">
        <f>INDEX('Scenario Calculations'!$E$173:$Y$173,1,'Scenario Calculations'!D188+1)</f>
        <v>0.10383707571385838</v>
      </c>
      <c r="F126" s="55">
        <f>INDEX('Scenario Calculations'!$E$173:$Y$173,1,'Scenario Calculations'!E188+1)</f>
        <v>0.10383707571385838</v>
      </c>
      <c r="G126" s="55">
        <f>INDEX('Scenario Calculations'!$E$173:$Y$173,1,'Scenario Calculations'!F188+1)</f>
        <v>0.10383707571385838</v>
      </c>
      <c r="H126" s="55">
        <f>INDEX('Scenario Calculations'!$E$173:$Y$173,1,'Scenario Calculations'!G188+1)</f>
        <v>0.28727088067163298</v>
      </c>
    </row>
    <row r="127" spans="3:8" x14ac:dyDescent="0.15">
      <c r="C127" s="29">
        <v>2038</v>
      </c>
      <c r="D127" s="55">
        <f>SUMPRODUCT('Scenario Calculations'!E148:Y148,'Scenario Calculations'!E173:Y173)</f>
        <v>0.15046634508054946</v>
      </c>
      <c r="E127" s="55">
        <f>INDEX('Scenario Calculations'!$E$173:$Y$173,1,'Scenario Calculations'!D189+1)</f>
        <v>0.10383707571385838</v>
      </c>
      <c r="F127" s="55">
        <f>INDEX('Scenario Calculations'!$E$173:$Y$173,1,'Scenario Calculations'!E189+1)</f>
        <v>0.10383707571385838</v>
      </c>
      <c r="G127" s="55">
        <f>INDEX('Scenario Calculations'!$E$173:$Y$173,1,'Scenario Calculations'!F189+1)</f>
        <v>0.10383707571385838</v>
      </c>
      <c r="H127" s="55">
        <f>INDEX('Scenario Calculations'!$E$173:$Y$173,1,'Scenario Calculations'!G189+1)</f>
        <v>0.28727088067163298</v>
      </c>
    </row>
    <row r="128" spans="3:8" x14ac:dyDescent="0.15">
      <c r="C128" s="29">
        <v>2039</v>
      </c>
      <c r="D128" s="55">
        <f>SUMPRODUCT('Scenario Calculations'!E149:Y149,'Scenario Calculations'!E173:Y173)</f>
        <v>0.15666324959025263</v>
      </c>
      <c r="E128" s="55">
        <f>INDEX('Scenario Calculations'!$E$173:$Y$173,1,'Scenario Calculations'!D190+1)</f>
        <v>0.10383707571385838</v>
      </c>
      <c r="F128" s="55">
        <f>INDEX('Scenario Calculations'!$E$173:$Y$173,1,'Scenario Calculations'!E190+1)</f>
        <v>0.10383707571385838</v>
      </c>
      <c r="G128" s="55">
        <f>INDEX('Scenario Calculations'!$E$173:$Y$173,1,'Scenario Calculations'!F190+1)</f>
        <v>0.10383707571385838</v>
      </c>
      <c r="H128" s="55">
        <f>INDEX('Scenario Calculations'!$E$173:$Y$173,1,'Scenario Calculations'!G190+1)</f>
        <v>0.28727088067163298</v>
      </c>
    </row>
    <row r="129" spans="3:8" x14ac:dyDescent="0.15">
      <c r="C129" s="29">
        <v>2040</v>
      </c>
      <c r="D129" s="55">
        <f>SUMPRODUCT('Scenario Calculations'!E150:Y150,'Scenario Calculations'!E173:Y173)</f>
        <v>0.16292850285665053</v>
      </c>
      <c r="E129" s="55">
        <f>INDEX('Scenario Calculations'!$E$173:$Y$173,1,'Scenario Calculations'!D191+1)</f>
        <v>0.10383707571385838</v>
      </c>
      <c r="F129" s="55">
        <f>INDEX('Scenario Calculations'!$E$173:$Y$173,1,'Scenario Calculations'!E191+1)</f>
        <v>0.10383707571385838</v>
      </c>
      <c r="G129" s="55">
        <f>INDEX('Scenario Calculations'!$E$173:$Y$173,1,'Scenario Calculations'!F191+1)</f>
        <v>0.28727088067163298</v>
      </c>
      <c r="H129" s="55">
        <f>INDEX('Scenario Calculations'!$E$173:$Y$173,1,'Scenario Calculations'!G191+1)</f>
        <v>0.28727088067163298</v>
      </c>
    </row>
    <row r="130" spans="3:8" x14ac:dyDescent="0.15">
      <c r="C130" s="29">
        <v>2041</v>
      </c>
      <c r="D130" s="55">
        <f>SUMPRODUCT('Scenario Calculations'!E151:Y151,'Scenario Calculations'!E173:Y173)</f>
        <v>0.1692582576764407</v>
      </c>
      <c r="E130" s="55">
        <f>INDEX('Scenario Calculations'!$E$173:$Y$173,1,'Scenario Calculations'!D192+1)</f>
        <v>0.10383707571385838</v>
      </c>
      <c r="F130" s="55">
        <f>INDEX('Scenario Calculations'!$E$173:$Y$173,1,'Scenario Calculations'!E192+1)</f>
        <v>0.10383707571385838</v>
      </c>
      <c r="G130" s="55">
        <f>INDEX('Scenario Calculations'!$E$173:$Y$173,1,'Scenario Calculations'!F192+1)</f>
        <v>0.28727088067163298</v>
      </c>
      <c r="H130" s="55">
        <f>INDEX('Scenario Calculations'!$E$173:$Y$173,1,'Scenario Calculations'!G192+1)</f>
        <v>0.28727088067163298</v>
      </c>
    </row>
    <row r="131" spans="3:8" x14ac:dyDescent="0.15">
      <c r="C131" s="29">
        <v>2042</v>
      </c>
      <c r="D131" s="55">
        <f>SUMPRODUCT('Scenario Calculations'!E152:Y152,'Scenario Calculations'!E173:Y173)</f>
        <v>0.17564874024718377</v>
      </c>
      <c r="E131" s="55">
        <f>INDEX('Scenario Calculations'!$E$173:$Y$173,1,'Scenario Calculations'!D193+1)</f>
        <v>0.10383707571385838</v>
      </c>
      <c r="F131" s="55">
        <f>INDEX('Scenario Calculations'!$E$173:$Y$173,1,'Scenario Calculations'!E193+1)</f>
        <v>0.10383707571385838</v>
      </c>
      <c r="G131" s="55">
        <f>INDEX('Scenario Calculations'!$E$173:$Y$173,1,'Scenario Calculations'!F193+1)</f>
        <v>0.28727088067163298</v>
      </c>
      <c r="H131" s="55">
        <f>INDEX('Scenario Calculations'!$E$173:$Y$173,1,'Scenario Calculations'!G193+1)</f>
        <v>0.28727088067163298</v>
      </c>
    </row>
    <row r="132" spans="3:8" x14ac:dyDescent="0.15">
      <c r="C132" s="29">
        <v>2043</v>
      </c>
      <c r="D132" s="55">
        <f>SUMPRODUCT('Scenario Calculations'!E153:Y153,'Scenario Calculations'!E173:Y173)</f>
        <v>0.18209625053314699</v>
      </c>
      <c r="E132" s="55">
        <f>INDEX('Scenario Calculations'!$E$173:$Y$173,1,'Scenario Calculations'!D194+1)</f>
        <v>0.10383707571385838</v>
      </c>
      <c r="F132" s="55">
        <f>INDEX('Scenario Calculations'!$E$173:$Y$173,1,'Scenario Calculations'!E194+1)</f>
        <v>0.10383707571385838</v>
      </c>
      <c r="G132" s="55">
        <f>INDEX('Scenario Calculations'!$E$173:$Y$173,1,'Scenario Calculations'!F194+1)</f>
        <v>0.28727088067163298</v>
      </c>
      <c r="H132" s="55">
        <f>INDEX('Scenario Calculations'!$E$173:$Y$173,1,'Scenario Calculations'!G194+1)</f>
        <v>0.28727088067163298</v>
      </c>
    </row>
    <row r="133" spans="3:8" x14ac:dyDescent="0.15">
      <c r="C133" s="29">
        <v>2044</v>
      </c>
      <c r="D133" s="55">
        <f>SUMPRODUCT('Scenario Calculations'!E154:Y154,'Scenario Calculations'!E173:Y173)</f>
        <v>0.18859716253426465</v>
      </c>
      <c r="E133" s="55">
        <f>INDEX('Scenario Calculations'!$E$173:$Y$173,1,'Scenario Calculations'!D195+1)</f>
        <v>0.10383707571385838</v>
      </c>
      <c r="F133" s="55">
        <f>INDEX('Scenario Calculations'!$E$173:$Y$173,1,'Scenario Calculations'!E195+1)</f>
        <v>0.10383707571385838</v>
      </c>
      <c r="G133" s="55">
        <f>INDEX('Scenario Calculations'!$E$173:$Y$173,1,'Scenario Calculations'!F195+1)</f>
        <v>0.28727088067163298</v>
      </c>
      <c r="H133" s="55">
        <f>INDEX('Scenario Calculations'!$E$173:$Y$173,1,'Scenario Calculations'!G195+1)</f>
        <v>0.28727088067163298</v>
      </c>
    </row>
    <row r="134" spans="3:8" x14ac:dyDescent="0.15">
      <c r="C134" s="29">
        <v>2045</v>
      </c>
      <c r="D134" s="55">
        <f>SUMPRODUCT('Scenario Calculations'!E155:Y155,'Scenario Calculations'!E173:Y173)</f>
        <v>0.19514792446340348</v>
      </c>
      <c r="E134" s="55">
        <f>INDEX('Scenario Calculations'!$E$173:$Y$173,1,'Scenario Calculations'!D196+1)</f>
        <v>0.10383707571385838</v>
      </c>
      <c r="F134" s="55">
        <f>INDEX('Scenario Calculations'!$E$173:$Y$173,1,'Scenario Calculations'!E196+1)</f>
        <v>0.10383707571385838</v>
      </c>
      <c r="G134" s="55">
        <f>INDEX('Scenario Calculations'!$E$173:$Y$173,1,'Scenario Calculations'!F196+1)</f>
        <v>0.28727088067163298</v>
      </c>
      <c r="H134" s="55">
        <f>INDEX('Scenario Calculations'!$E$173:$Y$173,1,'Scenario Calculations'!G196+1)</f>
        <v>0.28727088067163298</v>
      </c>
    </row>
    <row r="135" spans="3:8" x14ac:dyDescent="0.15">
      <c r="C135" s="29">
        <v>2046</v>
      </c>
      <c r="D135" s="55">
        <f>SUMPRODUCT('Scenario Calculations'!E156:Y156,'Scenario Calculations'!E173:Y173)</f>
        <v>0.2017450588369136</v>
      </c>
      <c r="E135" s="55">
        <f>INDEX('Scenario Calculations'!$E$173:$Y$173,1,'Scenario Calculations'!D197+1)</f>
        <v>0.10383707571385838</v>
      </c>
      <c r="F135" s="55">
        <f>INDEX('Scenario Calculations'!$E$173:$Y$173,1,'Scenario Calculations'!E197+1)</f>
        <v>0.10383707571385838</v>
      </c>
      <c r="G135" s="55">
        <f>INDEX('Scenario Calculations'!$E$173:$Y$173,1,'Scenario Calculations'!F197+1)</f>
        <v>0.28727088067163298</v>
      </c>
      <c r="H135" s="55">
        <f>INDEX('Scenario Calculations'!$E$173:$Y$173,1,'Scenario Calculations'!G197+1)</f>
        <v>0.28727088067163298</v>
      </c>
    </row>
    <row r="136" spans="3:8" x14ac:dyDescent="0.15">
      <c r="C136" s="29">
        <v>2047</v>
      </c>
      <c r="D136" s="55">
        <f>SUMPRODUCT('Scenario Calculations'!E157:Y157,'Scenario Calculations'!E173:Y173)</f>
        <v>0.20838516248325184</v>
      </c>
      <c r="E136" s="55">
        <f>INDEX('Scenario Calculations'!$E$173:$Y$173,1,'Scenario Calculations'!D198+1)</f>
        <v>0.10383707571385838</v>
      </c>
      <c r="F136" s="55">
        <f>INDEX('Scenario Calculations'!$E$173:$Y$173,1,'Scenario Calculations'!E198+1)</f>
        <v>0.10383707571385838</v>
      </c>
      <c r="G136" s="55">
        <f>INDEX('Scenario Calculations'!$E$173:$Y$173,1,'Scenario Calculations'!F198+1)</f>
        <v>0.28727088067163298</v>
      </c>
      <c r="H136" s="55">
        <f>INDEX('Scenario Calculations'!$E$173:$Y$173,1,'Scenario Calculations'!G198+1)</f>
        <v>0.28727088067163298</v>
      </c>
    </row>
    <row r="137" spans="3:8" x14ac:dyDescent="0.15">
      <c r="C137" s="29">
        <v>2048</v>
      </c>
      <c r="D137" s="55">
        <f>SUMPRODUCT('Scenario Calculations'!E158:Y158,'Scenario Calculations'!E173:Y173)</f>
        <v>0.21506490647426624</v>
      </c>
      <c r="E137" s="55">
        <f>INDEX('Scenario Calculations'!$E$173:$Y$173,1,'Scenario Calculations'!D199+1)</f>
        <v>0.10383707571385838</v>
      </c>
      <c r="F137" s="55">
        <f>INDEX('Scenario Calculations'!$E$173:$Y$173,1,'Scenario Calculations'!E199+1)</f>
        <v>0.10383707571385838</v>
      </c>
      <c r="G137" s="55">
        <f>INDEX('Scenario Calculations'!$E$173:$Y$173,1,'Scenario Calculations'!F199+1)</f>
        <v>0.28727088067163298</v>
      </c>
      <c r="H137" s="55">
        <f>INDEX('Scenario Calculations'!$E$173:$Y$173,1,'Scenario Calculations'!G199+1)</f>
        <v>0.58369185749176544</v>
      </c>
    </row>
    <row r="138" spans="3:8" x14ac:dyDescent="0.15">
      <c r="C138" s="29">
        <v>2049</v>
      </c>
      <c r="D138" s="55">
        <f>SUMPRODUCT('Scenario Calculations'!E159:Y159,'Scenario Calculations'!E173:Y173)</f>
        <v>0.22178103598355031</v>
      </c>
      <c r="E138" s="55">
        <f>INDEX('Scenario Calculations'!$E$173:$Y$173,1,'Scenario Calculations'!D200+1)</f>
        <v>0.10383707571385838</v>
      </c>
      <c r="F138" s="55">
        <f>INDEX('Scenario Calculations'!$E$173:$Y$173,1,'Scenario Calculations'!E200+1)</f>
        <v>0.10383707571385838</v>
      </c>
      <c r="G138" s="55">
        <f>INDEX('Scenario Calculations'!$E$173:$Y$173,1,'Scenario Calculations'!F200+1)</f>
        <v>0.28727088067163298</v>
      </c>
      <c r="H138" s="55">
        <f>INDEX('Scenario Calculations'!$E$173:$Y$173,1,'Scenario Calculations'!G200+1)</f>
        <v>0.58369185749176544</v>
      </c>
    </row>
    <row r="139" spans="3:8" x14ac:dyDescent="0.15">
      <c r="C139" s="29">
        <v>2050</v>
      </c>
      <c r="D139" s="55">
        <f>SUMPRODUCT('Scenario Calculations'!E160:Y160,'Scenario Calculations'!E173:Y173)</f>
        <v>0.22853037007609445</v>
      </c>
      <c r="E139" s="55">
        <f>INDEX('Scenario Calculations'!$E$173:$Y$173,1,'Scenario Calculations'!D201+1)</f>
        <v>0.10383707571385838</v>
      </c>
      <c r="F139" s="55">
        <f>INDEX('Scenario Calculations'!$E$173:$Y$173,1,'Scenario Calculations'!E201+1)</f>
        <v>0.10383707571385838</v>
      </c>
      <c r="G139" s="55">
        <f>INDEX('Scenario Calculations'!$E$173:$Y$173,1,'Scenario Calculations'!F201+1)</f>
        <v>0.28727088067163298</v>
      </c>
      <c r="H139" s="55">
        <f>INDEX('Scenario Calculations'!$E$173:$Y$173,1,'Scenario Calculations'!G201+1)</f>
        <v>0.58369185749176544</v>
      </c>
    </row>
    <row r="142" spans="3:8" x14ac:dyDescent="0.15">
      <c r="C142" s="71" t="s">
        <v>187</v>
      </c>
    </row>
    <row r="143" spans="3:8" ht="16" x14ac:dyDescent="0.3">
      <c r="C143" s="74" t="s">
        <v>95</v>
      </c>
      <c r="D143" s="74" t="s">
        <v>181</v>
      </c>
      <c r="E143" s="74" t="s">
        <v>182</v>
      </c>
      <c r="F143" s="74" t="s">
        <v>183</v>
      </c>
      <c r="G143" s="74" t="s">
        <v>184</v>
      </c>
      <c r="H143" s="74" t="s">
        <v>185</v>
      </c>
    </row>
    <row r="144" spans="3:8" x14ac:dyDescent="0.15">
      <c r="C144" s="29">
        <v>2030</v>
      </c>
      <c r="D144" s="55">
        <f>(SUMPRODUCT('Scenario Calculations'!E140:Y140,'Scenario Calculations'!E168:Y168)+Yn0)/GDP_0-1</f>
        <v>0.35865665396060153</v>
      </c>
      <c r="E144" s="55">
        <f>(INDEX('Scenario Calculations'!$E$168:$Y$168,1,'Scenario Calculations'!D181+1)+Yn0)/GDP_0-1</f>
        <v>0.35865665396060153</v>
      </c>
      <c r="F144" s="55">
        <f>(INDEX('Scenario Calculations'!$E$168:$Y$168,1,'Scenario Calculations'!E181+1)+Yn0)/GDP_0-1</f>
        <v>0.35865665396060153</v>
      </c>
      <c r="G144" s="55">
        <f>(INDEX('Scenario Calculations'!$E$168:$Y$168,1,'Scenario Calculations'!F181+1)+Yn0)/GDP_0-1</f>
        <v>0.35865665396060153</v>
      </c>
      <c r="H144" s="55">
        <f>(INDEX('Scenario Calculations'!$E$168:$Y$168,1,'Scenario Calculations'!G181+1)+Yn0)/GDP_0-1</f>
        <v>0.35865665396060153</v>
      </c>
    </row>
    <row r="145" spans="3:8" x14ac:dyDescent="0.15">
      <c r="C145" s="29">
        <v>2031</v>
      </c>
      <c r="D145" s="55">
        <f>(SUMPRODUCT('Scenario Calculations'!E141:Y141,'Scenario Calculations'!E168:Y168)+Yn0)/GDP_0-1</f>
        <v>0.38767849798006182</v>
      </c>
      <c r="E145" s="55">
        <f>(INDEX('Scenario Calculations'!$E$168:$Y$168,1,'Scenario Calculations'!D182+1)+Yn0)/GDP_0-1</f>
        <v>0.35865665396060153</v>
      </c>
      <c r="F145" s="55">
        <f>(INDEX('Scenario Calculations'!$E$168:$Y$168,1,'Scenario Calculations'!E182+1)+Yn0)/GDP_0-1</f>
        <v>0.35865665396060153</v>
      </c>
      <c r="G145" s="55">
        <f>(INDEX('Scenario Calculations'!$E$168:$Y$168,1,'Scenario Calculations'!F182+1)+Yn0)/GDP_0-1</f>
        <v>0.35865665396060153</v>
      </c>
      <c r="H145" s="55">
        <f>(INDEX('Scenario Calculations'!$E$168:$Y$168,1,'Scenario Calculations'!G182+1)+Yn0)/GDP_0-1</f>
        <v>0.35865665396060153</v>
      </c>
    </row>
    <row r="146" spans="3:8" x14ac:dyDescent="0.15">
      <c r="C146" s="29">
        <v>2032</v>
      </c>
      <c r="D146" s="55">
        <f>(SUMPRODUCT('Scenario Calculations'!E142:Y142,'Scenario Calculations'!E168:Y168)+Yn0)/GDP_0-1</f>
        <v>0.41885832829037972</v>
      </c>
      <c r="E146" s="55">
        <f>(INDEX('Scenario Calculations'!$E$168:$Y$168,1,'Scenario Calculations'!D183+1)+Yn0)/GDP_0-1</f>
        <v>0.35865665396060153</v>
      </c>
      <c r="F146" s="55">
        <f>(INDEX('Scenario Calculations'!$E$168:$Y$168,1,'Scenario Calculations'!E183+1)+Yn0)/GDP_0-1</f>
        <v>0.35865665396060153</v>
      </c>
      <c r="G146" s="55">
        <f>(INDEX('Scenario Calculations'!$E$168:$Y$168,1,'Scenario Calculations'!F183+1)+Yn0)/GDP_0-1</f>
        <v>0.35865665396060153</v>
      </c>
      <c r="H146" s="55">
        <f>(INDEX('Scenario Calculations'!$E$168:$Y$168,1,'Scenario Calculations'!G183+1)+Yn0)/GDP_0-1</f>
        <v>0.35865665396060153</v>
      </c>
    </row>
    <row r="147" spans="3:8" x14ac:dyDescent="0.15">
      <c r="C147" s="29">
        <v>2033</v>
      </c>
      <c r="D147" s="55">
        <f>(SUMPRODUCT('Scenario Calculations'!E143:Y143,'Scenario Calculations'!E168:Y168)+Yn0)/GDP_0-1</f>
        <v>0.45235660695000979</v>
      </c>
      <c r="E147" s="55">
        <f>(INDEX('Scenario Calculations'!$E$168:$Y$168,1,'Scenario Calculations'!D184+1)+Yn0)/GDP_0-1</f>
        <v>0.35865665396060153</v>
      </c>
      <c r="F147" s="55">
        <f>(INDEX('Scenario Calculations'!$E$168:$Y$168,1,'Scenario Calculations'!E184+1)+Yn0)/GDP_0-1</f>
        <v>0.35865665396060153</v>
      </c>
      <c r="G147" s="55">
        <f>(INDEX('Scenario Calculations'!$E$168:$Y$168,1,'Scenario Calculations'!F184+1)+Yn0)/GDP_0-1</f>
        <v>0.35865665396060153</v>
      </c>
      <c r="H147" s="55">
        <f>(INDEX('Scenario Calculations'!$E$168:$Y$168,1,'Scenario Calculations'!G184+1)+Yn0)/GDP_0-1</f>
        <v>0.35865665396060153</v>
      </c>
    </row>
    <row r="148" spans="3:8" x14ac:dyDescent="0.15">
      <c r="C148" s="29">
        <v>2034</v>
      </c>
      <c r="D148" s="55">
        <f>(SUMPRODUCT('Scenario Calculations'!E144:Y144,'Scenario Calculations'!E168:Y168)+Yn0)/GDP_0-1</f>
        <v>0.48834572754464345</v>
      </c>
      <c r="E148" s="55">
        <f>(INDEX('Scenario Calculations'!$E$168:$Y$168,1,'Scenario Calculations'!D185+1)+Yn0)/GDP_0-1</f>
        <v>0.35865665396060153</v>
      </c>
      <c r="F148" s="55">
        <f>(INDEX('Scenario Calculations'!$E$168:$Y$168,1,'Scenario Calculations'!E185+1)+Yn0)/GDP_0-1</f>
        <v>0.35865665396060153</v>
      </c>
      <c r="G148" s="55">
        <f>(INDEX('Scenario Calculations'!$E$168:$Y$168,1,'Scenario Calculations'!F185+1)+Yn0)/GDP_0-1</f>
        <v>0.35865665396060153</v>
      </c>
      <c r="H148" s="55">
        <f>(INDEX('Scenario Calculations'!$E$168:$Y$168,1,'Scenario Calculations'!G185+1)+Yn0)/GDP_0-1</f>
        <v>1.3260514546092779</v>
      </c>
    </row>
    <row r="149" spans="3:8" x14ac:dyDescent="0.15">
      <c r="C149" s="29">
        <v>2035</v>
      </c>
      <c r="D149" s="55">
        <f>(SUMPRODUCT('Scenario Calculations'!E145:Y145,'Scenario Calculations'!E168:Y168)+Yn0)/GDP_0-1</f>
        <v>0.5270109023834928</v>
      </c>
      <c r="E149" s="55">
        <f>(INDEX('Scenario Calculations'!$E$168:$Y$168,1,'Scenario Calculations'!D186+1)+Yn0)/GDP_0-1</f>
        <v>0.35865665396060153</v>
      </c>
      <c r="F149" s="55">
        <f>(INDEX('Scenario Calculations'!$E$168:$Y$168,1,'Scenario Calculations'!E186+1)+Yn0)/GDP_0-1</f>
        <v>0.35865665396060153</v>
      </c>
      <c r="G149" s="55">
        <f>(INDEX('Scenario Calculations'!$E$168:$Y$168,1,'Scenario Calculations'!F186+1)+Yn0)/GDP_0-1</f>
        <v>0.35865665396060153</v>
      </c>
      <c r="H149" s="55">
        <f>(INDEX('Scenario Calculations'!$E$168:$Y$168,1,'Scenario Calculations'!G186+1)+Yn0)/GDP_0-1</f>
        <v>1.3260514546092779</v>
      </c>
    </row>
    <row r="150" spans="3:8" x14ac:dyDescent="0.15">
      <c r="C150" s="29">
        <v>2036</v>
      </c>
      <c r="D150" s="55">
        <f>(SUMPRODUCT('Scenario Calculations'!E146:Y146,'Scenario Calculations'!E168:Y168)+Yn0)/GDP_0-1</f>
        <v>0.56855111566510552</v>
      </c>
      <c r="E150" s="55">
        <f>(INDEX('Scenario Calculations'!$E$168:$Y$168,1,'Scenario Calculations'!D187+1)+Yn0)/GDP_0-1</f>
        <v>0.35865665396060153</v>
      </c>
      <c r="F150" s="55">
        <f>(INDEX('Scenario Calculations'!$E$168:$Y$168,1,'Scenario Calculations'!E187+1)+Yn0)/GDP_0-1</f>
        <v>0.35865665396060153</v>
      </c>
      <c r="G150" s="55">
        <f>(INDEX('Scenario Calculations'!$E$168:$Y$168,1,'Scenario Calculations'!F187+1)+Yn0)/GDP_0-1</f>
        <v>0.35865665396060153</v>
      </c>
      <c r="H150" s="55">
        <f>(INDEX('Scenario Calculations'!$E$168:$Y$168,1,'Scenario Calculations'!G187+1)+Yn0)/GDP_0-1</f>
        <v>1.3260514546092779</v>
      </c>
    </row>
    <row r="151" spans="3:8" x14ac:dyDescent="0.15">
      <c r="C151" s="29">
        <v>2037</v>
      </c>
      <c r="D151" s="55">
        <f>(SUMPRODUCT('Scenario Calculations'!E147:Y147,'Scenario Calculations'!E168:Y168)+Yn0)/GDP_0-1</f>
        <v>0.61318014751802985</v>
      </c>
      <c r="E151" s="55">
        <f>(INDEX('Scenario Calculations'!$E$168:$Y$168,1,'Scenario Calculations'!D188+1)+Yn0)/GDP_0-1</f>
        <v>0.35865665396060153</v>
      </c>
      <c r="F151" s="55">
        <f>(INDEX('Scenario Calculations'!$E$168:$Y$168,1,'Scenario Calculations'!E188+1)+Yn0)/GDP_0-1</f>
        <v>0.35865665396060153</v>
      </c>
      <c r="G151" s="55">
        <f>(INDEX('Scenario Calculations'!$E$168:$Y$168,1,'Scenario Calculations'!F188+1)+Yn0)/GDP_0-1</f>
        <v>0.35865665396060153</v>
      </c>
      <c r="H151" s="55">
        <f>(INDEX('Scenario Calculations'!$E$168:$Y$168,1,'Scenario Calculations'!G188+1)+Yn0)/GDP_0-1</f>
        <v>1.3260514546092779</v>
      </c>
    </row>
    <row r="152" spans="3:8" x14ac:dyDescent="0.15">
      <c r="C152" s="29">
        <v>2038</v>
      </c>
      <c r="D152" s="55">
        <f>(SUMPRODUCT('Scenario Calculations'!E148:Y148,'Scenario Calculations'!E168:Y168)+Yn0)/GDP_0-1</f>
        <v>0.66112767418638585</v>
      </c>
      <c r="E152" s="55">
        <f>(INDEX('Scenario Calculations'!$E$168:$Y$168,1,'Scenario Calculations'!D189+1)+Yn0)/GDP_0-1</f>
        <v>0.35865665396060153</v>
      </c>
      <c r="F152" s="55">
        <f>(INDEX('Scenario Calculations'!$E$168:$Y$168,1,'Scenario Calculations'!E189+1)+Yn0)/GDP_0-1</f>
        <v>0.35865665396060153</v>
      </c>
      <c r="G152" s="55">
        <f>(INDEX('Scenario Calculations'!$E$168:$Y$168,1,'Scenario Calculations'!F189+1)+Yn0)/GDP_0-1</f>
        <v>0.35865665396060153</v>
      </c>
      <c r="H152" s="55">
        <f>(INDEX('Scenario Calculations'!$E$168:$Y$168,1,'Scenario Calculations'!G189+1)+Yn0)/GDP_0-1</f>
        <v>1.3260514546092779</v>
      </c>
    </row>
    <row r="153" spans="3:8" x14ac:dyDescent="0.15">
      <c r="C153" s="29">
        <v>2039</v>
      </c>
      <c r="D153" s="55">
        <f>(SUMPRODUCT('Scenario Calculations'!E149:Y149,'Scenario Calculations'!E168:Y168)+Yn0)/GDP_0-1</f>
        <v>0.71264045002228138</v>
      </c>
      <c r="E153" s="55">
        <f>(INDEX('Scenario Calculations'!$E$168:$Y$168,1,'Scenario Calculations'!D190+1)+Yn0)/GDP_0-1</f>
        <v>0.35865665396060153</v>
      </c>
      <c r="F153" s="55">
        <f>(INDEX('Scenario Calculations'!$E$168:$Y$168,1,'Scenario Calculations'!E190+1)+Yn0)/GDP_0-1</f>
        <v>0.35865665396060153</v>
      </c>
      <c r="G153" s="55">
        <f>(INDEX('Scenario Calculations'!$E$168:$Y$168,1,'Scenario Calculations'!F190+1)+Yn0)/GDP_0-1</f>
        <v>0.35865665396060153</v>
      </c>
      <c r="H153" s="55">
        <f>(INDEX('Scenario Calculations'!$E$168:$Y$168,1,'Scenario Calculations'!G190+1)+Yn0)/GDP_0-1</f>
        <v>1.3260514546092779</v>
      </c>
    </row>
    <row r="154" spans="3:8" x14ac:dyDescent="0.15">
      <c r="C154" s="29">
        <v>2040</v>
      </c>
      <c r="D154" s="55">
        <f>(SUMPRODUCT('Scenario Calculations'!E150:Y150,'Scenario Calculations'!E168:Y168)+Yn0)/GDP_0-1</f>
        <v>0.76798357736800238</v>
      </c>
      <c r="E154" s="55">
        <f>(INDEX('Scenario Calculations'!$E$168:$Y$168,1,'Scenario Calculations'!D191+1)+Yn0)/GDP_0-1</f>
        <v>0.35865665396060153</v>
      </c>
      <c r="F154" s="55">
        <f>(INDEX('Scenario Calculations'!$E$168:$Y$168,1,'Scenario Calculations'!E191+1)+Yn0)/GDP_0-1</f>
        <v>0.35865665396060153</v>
      </c>
      <c r="G154" s="55">
        <f>(INDEX('Scenario Calculations'!$E$168:$Y$168,1,'Scenario Calculations'!F191+1)+Yn0)/GDP_0-1</f>
        <v>1.3260514546092779</v>
      </c>
      <c r="H154" s="55">
        <f>(INDEX('Scenario Calculations'!$E$168:$Y$168,1,'Scenario Calculations'!G191+1)+Yn0)/GDP_0-1</f>
        <v>1.3260514546092779</v>
      </c>
    </row>
    <row r="155" spans="3:8" x14ac:dyDescent="0.15">
      <c r="C155" s="29">
        <v>2041</v>
      </c>
      <c r="D155" s="55">
        <f>(SUMPRODUCT('Scenario Calculations'!E151:Y151,'Scenario Calculations'!E168:Y168)+Yn0)/GDP_0-1</f>
        <v>0.8274418708632334</v>
      </c>
      <c r="E155" s="55">
        <f>(INDEX('Scenario Calculations'!$E$168:$Y$168,1,'Scenario Calculations'!D192+1)+Yn0)/GDP_0-1</f>
        <v>0.35865665396060153</v>
      </c>
      <c r="F155" s="55">
        <f>(INDEX('Scenario Calculations'!$E$168:$Y$168,1,'Scenario Calculations'!E192+1)+Yn0)/GDP_0-1</f>
        <v>0.35865665396060153</v>
      </c>
      <c r="G155" s="55">
        <f>(INDEX('Scenario Calculations'!$E$168:$Y$168,1,'Scenario Calculations'!F192+1)+Yn0)/GDP_0-1</f>
        <v>1.3260514546092779</v>
      </c>
      <c r="H155" s="55">
        <f>(INDEX('Scenario Calculations'!$E$168:$Y$168,1,'Scenario Calculations'!G192+1)+Yn0)/GDP_0-1</f>
        <v>1.3260514546092779</v>
      </c>
    </row>
    <row r="156" spans="3:8" x14ac:dyDescent="0.15">
      <c r="C156" s="29">
        <v>2042</v>
      </c>
      <c r="D156" s="55">
        <f>(SUMPRODUCT('Scenario Calculations'!E152:Y152,'Scenario Calculations'!E168:Y168)+Yn0)/GDP_0-1</f>
        <v>0.89132132319849022</v>
      </c>
      <c r="E156" s="55">
        <f>(INDEX('Scenario Calculations'!$E$168:$Y$168,1,'Scenario Calculations'!D193+1)+Yn0)/GDP_0-1</f>
        <v>0.35865665396060153</v>
      </c>
      <c r="F156" s="55">
        <f>(INDEX('Scenario Calculations'!$E$168:$Y$168,1,'Scenario Calculations'!E193+1)+Yn0)/GDP_0-1</f>
        <v>0.35865665396060153</v>
      </c>
      <c r="G156" s="55">
        <f>(INDEX('Scenario Calculations'!$E$168:$Y$168,1,'Scenario Calculations'!F193+1)+Yn0)/GDP_0-1</f>
        <v>1.3260514546092779</v>
      </c>
      <c r="H156" s="55">
        <f>(INDEX('Scenario Calculations'!$E$168:$Y$168,1,'Scenario Calculations'!G193+1)+Yn0)/GDP_0-1</f>
        <v>1.3260514546092779</v>
      </c>
    </row>
    <row r="157" spans="3:8" x14ac:dyDescent="0.15">
      <c r="C157" s="29">
        <v>2043</v>
      </c>
      <c r="D157" s="55">
        <f>(SUMPRODUCT('Scenario Calculations'!E153:Y153,'Scenario Calculations'!E168:Y168)+Yn0)/GDP_0-1</f>
        <v>0.95995067985803884</v>
      </c>
      <c r="E157" s="55">
        <f>(INDEX('Scenario Calculations'!$E$168:$Y$168,1,'Scenario Calculations'!D194+1)+Yn0)/GDP_0-1</f>
        <v>0.35865665396060153</v>
      </c>
      <c r="F157" s="55">
        <f>(INDEX('Scenario Calculations'!$E$168:$Y$168,1,'Scenario Calculations'!E194+1)+Yn0)/GDP_0-1</f>
        <v>0.35865665396060153</v>
      </c>
      <c r="G157" s="55">
        <f>(INDEX('Scenario Calculations'!$E$168:$Y$168,1,'Scenario Calculations'!F194+1)+Yn0)/GDP_0-1</f>
        <v>1.3260514546092779</v>
      </c>
      <c r="H157" s="55">
        <f>(INDEX('Scenario Calculations'!$E$168:$Y$168,1,'Scenario Calculations'!G194+1)+Yn0)/GDP_0-1</f>
        <v>1.3260514546092779</v>
      </c>
    </row>
    <row r="158" spans="3:8" x14ac:dyDescent="0.15">
      <c r="C158" s="29">
        <v>2044</v>
      </c>
      <c r="D158" s="55">
        <f>(SUMPRODUCT('Scenario Calculations'!E154:Y154,'Scenario Calculations'!E168:Y168)+Yn0)/GDP_0-1</f>
        <v>1.0336831309564647</v>
      </c>
      <c r="E158" s="55">
        <f>(INDEX('Scenario Calculations'!$E$168:$Y$168,1,'Scenario Calculations'!D195+1)+Yn0)/GDP_0-1</f>
        <v>0.35865665396060153</v>
      </c>
      <c r="F158" s="55">
        <f>(INDEX('Scenario Calculations'!$E$168:$Y$168,1,'Scenario Calculations'!E195+1)+Yn0)/GDP_0-1</f>
        <v>0.35865665396060153</v>
      </c>
      <c r="G158" s="55">
        <f>(INDEX('Scenario Calculations'!$E$168:$Y$168,1,'Scenario Calculations'!F195+1)+Yn0)/GDP_0-1</f>
        <v>1.3260514546092779</v>
      </c>
      <c r="H158" s="55">
        <f>(INDEX('Scenario Calculations'!$E$168:$Y$168,1,'Scenario Calculations'!G195+1)+Yn0)/GDP_0-1</f>
        <v>1.3260514546092779</v>
      </c>
    </row>
    <row r="159" spans="3:8" x14ac:dyDescent="0.15">
      <c r="C159" s="29">
        <v>2045</v>
      </c>
      <c r="D159" s="55">
        <f>(SUMPRODUCT('Scenario Calculations'!E155:Y155,'Scenario Calculations'!E168:Y168)+Yn0)/GDP_0-1</f>
        <v>1.112898128875659</v>
      </c>
      <c r="E159" s="55">
        <f>(INDEX('Scenario Calculations'!$E$168:$Y$168,1,'Scenario Calculations'!D196+1)+Yn0)/GDP_0-1</f>
        <v>0.35865665396060153</v>
      </c>
      <c r="F159" s="55">
        <f>(INDEX('Scenario Calculations'!$E$168:$Y$168,1,'Scenario Calculations'!E196+1)+Yn0)/GDP_0-1</f>
        <v>0.35865665396060153</v>
      </c>
      <c r="G159" s="55">
        <f>(INDEX('Scenario Calculations'!$E$168:$Y$168,1,'Scenario Calculations'!F196+1)+Yn0)/GDP_0-1</f>
        <v>1.3260514546092779</v>
      </c>
      <c r="H159" s="55">
        <f>(INDEX('Scenario Calculations'!$E$168:$Y$168,1,'Scenario Calculations'!G196+1)+Yn0)/GDP_0-1</f>
        <v>1.3260514546092779</v>
      </c>
    </row>
    <row r="160" spans="3:8" x14ac:dyDescent="0.15">
      <c r="C160" s="29">
        <v>2046</v>
      </c>
      <c r="D160" s="55">
        <f>(SUMPRODUCT('Scenario Calculations'!E156:Y156,'Scenario Calculations'!E168:Y168)+Yn0)/GDP_0-1</f>
        <v>1.1980033410564035</v>
      </c>
      <c r="E160" s="55">
        <f>(INDEX('Scenario Calculations'!$E$168:$Y$168,1,'Scenario Calculations'!D197+1)+Yn0)/GDP_0-1</f>
        <v>0.35865665396060153</v>
      </c>
      <c r="F160" s="55">
        <f>(INDEX('Scenario Calculations'!$E$168:$Y$168,1,'Scenario Calculations'!E197+1)+Yn0)/GDP_0-1</f>
        <v>0.35865665396060153</v>
      </c>
      <c r="G160" s="55">
        <f>(INDEX('Scenario Calculations'!$E$168:$Y$168,1,'Scenario Calculations'!F197+1)+Yn0)/GDP_0-1</f>
        <v>1.3260514546092779</v>
      </c>
      <c r="H160" s="55">
        <f>(INDEX('Scenario Calculations'!$E$168:$Y$168,1,'Scenario Calculations'!G197+1)+Yn0)/GDP_0-1</f>
        <v>1.3260514546092779</v>
      </c>
    </row>
    <row r="161" spans="3:8" x14ac:dyDescent="0.15">
      <c r="C161" s="29">
        <v>2047</v>
      </c>
      <c r="D161" s="55">
        <f>(SUMPRODUCT('Scenario Calculations'!E157:Y157,'Scenario Calculations'!E168:Y168)+Yn0)/GDP_0-1</f>
        <v>1.2894367479942903</v>
      </c>
      <c r="E161" s="55">
        <f>(INDEX('Scenario Calculations'!$E$168:$Y$168,1,'Scenario Calculations'!D198+1)+Yn0)/GDP_0-1</f>
        <v>0.35865665396060153</v>
      </c>
      <c r="F161" s="55">
        <f>(INDEX('Scenario Calculations'!$E$168:$Y$168,1,'Scenario Calculations'!E198+1)+Yn0)/GDP_0-1</f>
        <v>0.35865665396060153</v>
      </c>
      <c r="G161" s="55">
        <f>(INDEX('Scenario Calculations'!$E$168:$Y$168,1,'Scenario Calculations'!F198+1)+Yn0)/GDP_0-1</f>
        <v>1.3260514546092779</v>
      </c>
      <c r="H161" s="55">
        <f>(INDEX('Scenario Calculations'!$E$168:$Y$168,1,'Scenario Calculations'!G198+1)+Yn0)/GDP_0-1</f>
        <v>1.3260514546092779</v>
      </c>
    </row>
    <row r="162" spans="3:8" x14ac:dyDescent="0.15">
      <c r="C162" s="29">
        <v>2048</v>
      </c>
      <c r="D162" s="55">
        <f>(SUMPRODUCT('Scenario Calculations'!E158:Y158,'Scenario Calculations'!E168:Y168)+Yn0)/GDP_0-1</f>
        <v>1.3876688972369751</v>
      </c>
      <c r="E162" s="55">
        <f>(INDEX('Scenario Calculations'!$E$168:$Y$168,1,'Scenario Calculations'!D199+1)+Yn0)/GDP_0-1</f>
        <v>0.35865665396060153</v>
      </c>
      <c r="F162" s="55">
        <f>(INDEX('Scenario Calculations'!$E$168:$Y$168,1,'Scenario Calculations'!E199+1)+Yn0)/GDP_0-1</f>
        <v>0.35865665396060153</v>
      </c>
      <c r="G162" s="55">
        <f>(INDEX('Scenario Calculations'!$E$168:$Y$168,1,'Scenario Calculations'!F199+1)+Yn0)/GDP_0-1</f>
        <v>1.3260514546092779</v>
      </c>
      <c r="H162" s="55">
        <f>(INDEX('Scenario Calculations'!$E$168:$Y$168,1,'Scenario Calculations'!G199+1)+Yn0)/GDP_0-1</f>
        <v>4.6912088006550565</v>
      </c>
    </row>
    <row r="163" spans="3:8" x14ac:dyDescent="0.15">
      <c r="C163" s="29">
        <v>2049</v>
      </c>
      <c r="D163" s="55">
        <f>(SUMPRODUCT('Scenario Calculations'!E159:Y159,'Scenario Calculations'!E168:Y168)+Yn0)/GDP_0-1</f>
        <v>1.4932053249826045</v>
      </c>
      <c r="E163" s="55">
        <f>(INDEX('Scenario Calculations'!$E$168:$Y$168,1,'Scenario Calculations'!D200+1)+Yn0)/GDP_0-1</f>
        <v>0.35865665396060153</v>
      </c>
      <c r="F163" s="55">
        <f>(INDEX('Scenario Calculations'!$E$168:$Y$168,1,'Scenario Calculations'!E200+1)+Yn0)/GDP_0-1</f>
        <v>0.35865665396060153</v>
      </c>
      <c r="G163" s="55">
        <f>(INDEX('Scenario Calculations'!$E$168:$Y$168,1,'Scenario Calculations'!F200+1)+Yn0)/GDP_0-1</f>
        <v>1.3260514546092779</v>
      </c>
      <c r="H163" s="55">
        <f>(INDEX('Scenario Calculations'!$E$168:$Y$168,1,'Scenario Calculations'!G200+1)+Yn0)/GDP_0-1</f>
        <v>4.6912088006550565</v>
      </c>
    </row>
    <row r="164" spans="3:8" x14ac:dyDescent="0.15">
      <c r="C164" s="29">
        <v>2050</v>
      </c>
      <c r="D164" s="55">
        <f>(SUMPRODUCT('Scenario Calculations'!E160:Y160,'Scenario Calculations'!E168:Y168)+Yn0)/GDP_0-1</f>
        <v>1.6065891577417966</v>
      </c>
      <c r="E164" s="55">
        <f>(INDEX('Scenario Calculations'!$E$168:$Y$168,1,'Scenario Calculations'!D201+1)+Yn0)/GDP_0-1</f>
        <v>0.35865665396060153</v>
      </c>
      <c r="F164" s="55">
        <f>(INDEX('Scenario Calculations'!$E$168:$Y$168,1,'Scenario Calculations'!E201+1)+Yn0)/GDP_0-1</f>
        <v>0.35865665396060153</v>
      </c>
      <c r="G164" s="55">
        <f>(INDEX('Scenario Calculations'!$E$168:$Y$168,1,'Scenario Calculations'!F201+1)+Yn0)/GDP_0-1</f>
        <v>1.3260514546092779</v>
      </c>
      <c r="H164" s="55">
        <f>(INDEX('Scenario Calculations'!$E$168:$Y$168,1,'Scenario Calculations'!G201+1)+Yn0)/GDP_0-1</f>
        <v>4.6912088006550565</v>
      </c>
    </row>
    <row r="166" spans="3:8" x14ac:dyDescent="0.15">
      <c r="C166" s="71" t="s">
        <v>188</v>
      </c>
    </row>
    <row r="167" spans="3:8" ht="16" x14ac:dyDescent="0.3">
      <c r="C167" s="74" t="s">
        <v>95</v>
      </c>
      <c r="D167" s="74" t="s">
        <v>181</v>
      </c>
      <c r="E167" s="74" t="s">
        <v>182</v>
      </c>
      <c r="F167" s="74" t="s">
        <v>183</v>
      </c>
      <c r="G167" s="74" t="s">
        <v>184</v>
      </c>
      <c r="H167" s="74" t="s">
        <v>185</v>
      </c>
    </row>
    <row r="168" spans="3:8" x14ac:dyDescent="0.15">
      <c r="C168" s="29">
        <v>2030</v>
      </c>
      <c r="D168" s="55">
        <f>SUMPRODUCT('Scenario Calculations'!E140:Y140,'Scenario Calculations'!E174:Y174)</f>
        <v>0.28727088067163298</v>
      </c>
      <c r="E168" s="55">
        <f>INDEX('Scenario Calculations'!$E$174:$Y$174,1,'Scenario Calculations'!D181+1)</f>
        <v>0.28727088067163298</v>
      </c>
      <c r="F168" s="55">
        <f>INDEX('Scenario Calculations'!$E$174:$Y$174,1,'Scenario Calculations'!E181+1)</f>
        <v>0.28727088067163298</v>
      </c>
      <c r="G168" s="55">
        <f>INDEX('Scenario Calculations'!$E$174:$Y$174,1,'Scenario Calculations'!F181+1)</f>
        <v>0.28727088067163298</v>
      </c>
      <c r="H168" s="55">
        <f>INDEX('Scenario Calculations'!$E$174:$Y$174,1,'Scenario Calculations'!G181+1)</f>
        <v>0.28727088067163298</v>
      </c>
    </row>
    <row r="169" spans="3:8" x14ac:dyDescent="0.15">
      <c r="C169" s="29">
        <v>2031</v>
      </c>
      <c r="D169" s="55">
        <f>SUMPRODUCT('Scenario Calculations'!E141:Y141,'Scenario Calculations'!E174:Y174)</f>
        <v>0.29616350997623697</v>
      </c>
      <c r="E169" s="55">
        <f>INDEX('Scenario Calculations'!$E$174:$Y$174,1,'Scenario Calculations'!D182+1)</f>
        <v>0.28727088067163298</v>
      </c>
      <c r="F169" s="55">
        <f>INDEX('Scenario Calculations'!$E$174:$Y$174,1,'Scenario Calculations'!E182+1)</f>
        <v>0.28727088067163298</v>
      </c>
      <c r="G169" s="55">
        <f>INDEX('Scenario Calculations'!$E$174:$Y$174,1,'Scenario Calculations'!F182+1)</f>
        <v>0.28727088067163298</v>
      </c>
      <c r="H169" s="55">
        <f>INDEX('Scenario Calculations'!$E$174:$Y$174,1,'Scenario Calculations'!G182+1)</f>
        <v>0.28727088067163298</v>
      </c>
    </row>
    <row r="170" spans="3:8" x14ac:dyDescent="0.15">
      <c r="C170" s="29">
        <v>2032</v>
      </c>
      <c r="D170" s="55">
        <f>SUMPRODUCT('Scenario Calculations'!E142:Y142,'Scenario Calculations'!E174:Y174)</f>
        <v>0.30501090352333926</v>
      </c>
      <c r="E170" s="55">
        <f>INDEX('Scenario Calculations'!$E$174:$Y$174,1,'Scenario Calculations'!D183+1)</f>
        <v>0.28727088067163298</v>
      </c>
      <c r="F170" s="55">
        <f>INDEX('Scenario Calculations'!$E$174:$Y$174,1,'Scenario Calculations'!E183+1)</f>
        <v>0.28727088067163298</v>
      </c>
      <c r="G170" s="55">
        <f>INDEX('Scenario Calculations'!$E$174:$Y$174,1,'Scenario Calculations'!F183+1)</f>
        <v>0.28727088067163298</v>
      </c>
      <c r="H170" s="55">
        <f>INDEX('Scenario Calculations'!$E$174:$Y$174,1,'Scenario Calculations'!G183+1)</f>
        <v>0.28727088067163298</v>
      </c>
    </row>
    <row r="171" spans="3:8" x14ac:dyDescent="0.15">
      <c r="C171" s="29">
        <v>2033</v>
      </c>
      <c r="D171" s="55">
        <f>SUMPRODUCT('Scenario Calculations'!E143:Y143,'Scenario Calculations'!E174:Y174)</f>
        <v>0.31381086325507668</v>
      </c>
      <c r="E171" s="55">
        <f>INDEX('Scenario Calculations'!$E$174:$Y$174,1,'Scenario Calculations'!D184+1)</f>
        <v>0.28727088067163298</v>
      </c>
      <c r="F171" s="55">
        <f>INDEX('Scenario Calculations'!$E$174:$Y$174,1,'Scenario Calculations'!E184+1)</f>
        <v>0.28727088067163298</v>
      </c>
      <c r="G171" s="55">
        <f>INDEX('Scenario Calculations'!$E$174:$Y$174,1,'Scenario Calculations'!F184+1)</f>
        <v>0.28727088067163298</v>
      </c>
      <c r="H171" s="55">
        <f>INDEX('Scenario Calculations'!$E$174:$Y$174,1,'Scenario Calculations'!G184+1)</f>
        <v>0.28727088067163298</v>
      </c>
    </row>
    <row r="172" spans="3:8" x14ac:dyDescent="0.15">
      <c r="C172" s="29">
        <v>2034</v>
      </c>
      <c r="D172" s="55">
        <f>SUMPRODUCT('Scenario Calculations'!E144:Y144,'Scenario Calculations'!E174:Y174)</f>
        <v>0.3225613025639581</v>
      </c>
      <c r="E172" s="55">
        <f>INDEX('Scenario Calculations'!$E$174:$Y$174,1,'Scenario Calculations'!D185+1)</f>
        <v>0.28727088067163298</v>
      </c>
      <c r="F172" s="55">
        <f>INDEX('Scenario Calculations'!$E$174:$Y$174,1,'Scenario Calculations'!E185+1)</f>
        <v>0.28727088067163298</v>
      </c>
      <c r="G172" s="55">
        <f>INDEX('Scenario Calculations'!$E$174:$Y$174,1,'Scenario Calculations'!F185+1)</f>
        <v>0.28727088067163298</v>
      </c>
      <c r="H172" s="55">
        <f>INDEX('Scenario Calculations'!$E$174:$Y$174,1,'Scenario Calculations'!G185+1)</f>
        <v>0.58369185749176544</v>
      </c>
    </row>
    <row r="173" spans="3:8" x14ac:dyDescent="0.15">
      <c r="C173" s="29">
        <v>2035</v>
      </c>
      <c r="D173" s="55">
        <f>SUMPRODUCT('Scenario Calculations'!E145:Y145,'Scenario Calculations'!E174:Y174)</f>
        <v>0.33126024275785954</v>
      </c>
      <c r="E173" s="55">
        <f>INDEX('Scenario Calculations'!$E$174:$Y$174,1,'Scenario Calculations'!D186+1)</f>
        <v>0.28727088067163298</v>
      </c>
      <c r="F173" s="55">
        <f>INDEX('Scenario Calculations'!$E$174:$Y$174,1,'Scenario Calculations'!E186+1)</f>
        <v>0.28727088067163298</v>
      </c>
      <c r="G173" s="55">
        <f>INDEX('Scenario Calculations'!$E$174:$Y$174,1,'Scenario Calculations'!F186+1)</f>
        <v>0.28727088067163298</v>
      </c>
      <c r="H173" s="55">
        <f>INDEX('Scenario Calculations'!$E$174:$Y$174,1,'Scenario Calculations'!G186+1)</f>
        <v>0.58369185749176544</v>
      </c>
    </row>
    <row r="174" spans="3:8" x14ac:dyDescent="0.15">
      <c r="C174" s="29">
        <v>2036</v>
      </c>
      <c r="D174" s="55">
        <f>SUMPRODUCT('Scenario Calculations'!E146:Y146,'Scenario Calculations'!E174:Y174)</f>
        <v>0.33990580961532102</v>
      </c>
      <c r="E174" s="55">
        <f>INDEX('Scenario Calculations'!$E$174:$Y$174,1,'Scenario Calculations'!D187+1)</f>
        <v>0.28727088067163298</v>
      </c>
      <c r="F174" s="55">
        <f>INDEX('Scenario Calculations'!$E$174:$Y$174,1,'Scenario Calculations'!E187+1)</f>
        <v>0.28727088067163298</v>
      </c>
      <c r="G174" s="55">
        <f>INDEX('Scenario Calculations'!$E$174:$Y$174,1,'Scenario Calculations'!F187+1)</f>
        <v>0.28727088067163298</v>
      </c>
      <c r="H174" s="55">
        <f>INDEX('Scenario Calculations'!$E$174:$Y$174,1,'Scenario Calculations'!G187+1)</f>
        <v>0.58369185749176544</v>
      </c>
    </row>
    <row r="175" spans="3:8" x14ac:dyDescent="0.15">
      <c r="C175" s="29">
        <v>2037</v>
      </c>
      <c r="D175" s="55">
        <f>SUMPRODUCT('Scenario Calculations'!E147:Y147,'Scenario Calculations'!E174:Y174)</f>
        <v>0.34849623002926955</v>
      </c>
      <c r="E175" s="55">
        <f>INDEX('Scenario Calculations'!$E$174:$Y$174,1,'Scenario Calculations'!D188+1)</f>
        <v>0.28727088067163298</v>
      </c>
      <c r="F175" s="55">
        <f>INDEX('Scenario Calculations'!$E$174:$Y$174,1,'Scenario Calculations'!E188+1)</f>
        <v>0.28727088067163298</v>
      </c>
      <c r="G175" s="55">
        <f>INDEX('Scenario Calculations'!$E$174:$Y$174,1,'Scenario Calculations'!F188+1)</f>
        <v>0.28727088067163298</v>
      </c>
      <c r="H175" s="55">
        <f>INDEX('Scenario Calculations'!$E$174:$Y$174,1,'Scenario Calculations'!G188+1)</f>
        <v>0.58369185749176544</v>
      </c>
    </row>
    <row r="176" spans="3:8" x14ac:dyDescent="0.15">
      <c r="C176" s="29">
        <v>2038</v>
      </c>
      <c r="D176" s="55">
        <f>SUMPRODUCT('Scenario Calculations'!E148:Y148,'Scenario Calculations'!E174:Y174)</f>
        <v>0.35702982873732297</v>
      </c>
      <c r="E176" s="55">
        <f>INDEX('Scenario Calculations'!$E$174:$Y$174,1,'Scenario Calculations'!D189+1)</f>
        <v>0.28727088067163298</v>
      </c>
      <c r="F176" s="55">
        <f>INDEX('Scenario Calculations'!$E$174:$Y$174,1,'Scenario Calculations'!E189+1)</f>
        <v>0.28727088067163298</v>
      </c>
      <c r="G176" s="55">
        <f>INDEX('Scenario Calculations'!$E$174:$Y$174,1,'Scenario Calculations'!F189+1)</f>
        <v>0.28727088067163298</v>
      </c>
      <c r="H176" s="55">
        <f>INDEX('Scenario Calculations'!$E$174:$Y$174,1,'Scenario Calculations'!G189+1)</f>
        <v>0.58369185749176544</v>
      </c>
    </row>
    <row r="177" spans="3:8" x14ac:dyDescent="0.15">
      <c r="C177" s="29">
        <v>2039</v>
      </c>
      <c r="D177" s="55">
        <f>SUMPRODUCT('Scenario Calculations'!E149:Y149,'Scenario Calculations'!E174:Y174)</f>
        <v>0.3655050251368494</v>
      </c>
      <c r="E177" s="55">
        <f>INDEX('Scenario Calculations'!$E$174:$Y$174,1,'Scenario Calculations'!D190+1)</f>
        <v>0.28727088067163298</v>
      </c>
      <c r="F177" s="55">
        <f>INDEX('Scenario Calculations'!$E$174:$Y$174,1,'Scenario Calculations'!E190+1)</f>
        <v>0.28727088067163298</v>
      </c>
      <c r="G177" s="55">
        <f>INDEX('Scenario Calculations'!$E$174:$Y$174,1,'Scenario Calculations'!F190+1)</f>
        <v>0.28727088067163298</v>
      </c>
      <c r="H177" s="55">
        <f>INDEX('Scenario Calculations'!$E$174:$Y$174,1,'Scenario Calculations'!G190+1)</f>
        <v>0.58369185749176544</v>
      </c>
    </row>
    <row r="178" spans="3:8" x14ac:dyDescent="0.15">
      <c r="C178" s="29">
        <v>2040</v>
      </c>
      <c r="D178" s="55">
        <f>SUMPRODUCT('Scenario Calculations'!E150:Y150,'Scenario Calculations'!E174:Y174)</f>
        <v>0.3739203301829902</v>
      </c>
      <c r="E178" s="55">
        <f>INDEX('Scenario Calculations'!$E$174:$Y$174,1,'Scenario Calculations'!D191+1)</f>
        <v>0.28727088067163298</v>
      </c>
      <c r="F178" s="55">
        <f>INDEX('Scenario Calculations'!$E$174:$Y$174,1,'Scenario Calculations'!E191+1)</f>
        <v>0.28727088067163298</v>
      </c>
      <c r="G178" s="55">
        <f>INDEX('Scenario Calculations'!$E$174:$Y$174,1,'Scenario Calculations'!F191+1)</f>
        <v>0.58369185749176544</v>
      </c>
      <c r="H178" s="55">
        <f>INDEX('Scenario Calculations'!$E$174:$Y$174,1,'Scenario Calculations'!G191+1)</f>
        <v>0.58369185749176544</v>
      </c>
    </row>
    <row r="179" spans="3:8" x14ac:dyDescent="0.15">
      <c r="C179" s="29">
        <v>2041</v>
      </c>
      <c r="D179" s="55">
        <f>SUMPRODUCT('Scenario Calculations'!E151:Y151,'Scenario Calculations'!E174:Y174)</f>
        <v>0.3822743433678758</v>
      </c>
      <c r="E179" s="55">
        <f>INDEX('Scenario Calculations'!$E$174:$Y$174,1,'Scenario Calculations'!D192+1)</f>
        <v>0.28727088067163298</v>
      </c>
      <c r="F179" s="55">
        <f>INDEX('Scenario Calculations'!$E$174:$Y$174,1,'Scenario Calculations'!E192+1)</f>
        <v>0.28727088067163298</v>
      </c>
      <c r="G179" s="55">
        <f>INDEX('Scenario Calculations'!$E$174:$Y$174,1,'Scenario Calculations'!F192+1)</f>
        <v>0.58369185749176544</v>
      </c>
      <c r="H179" s="55">
        <f>INDEX('Scenario Calculations'!$E$174:$Y$174,1,'Scenario Calculations'!G192+1)</f>
        <v>0.58369185749176544</v>
      </c>
    </row>
    <row r="180" spans="3:8" x14ac:dyDescent="0.15">
      <c r="C180" s="29">
        <v>2042</v>
      </c>
      <c r="D180" s="55">
        <f>SUMPRODUCT('Scenario Calculations'!E152:Y152,'Scenario Calculations'!E174:Y174)</f>
        <v>0.39056574977929009</v>
      </c>
      <c r="E180" s="55">
        <f>INDEX('Scenario Calculations'!$E$174:$Y$174,1,'Scenario Calculations'!D193+1)</f>
        <v>0.28727088067163298</v>
      </c>
      <c r="F180" s="55">
        <f>INDEX('Scenario Calculations'!$E$174:$Y$174,1,'Scenario Calculations'!E193+1)</f>
        <v>0.28727088067163298</v>
      </c>
      <c r="G180" s="55">
        <f>INDEX('Scenario Calculations'!$E$174:$Y$174,1,'Scenario Calculations'!F193+1)</f>
        <v>0.58369185749176544</v>
      </c>
      <c r="H180" s="55">
        <f>INDEX('Scenario Calculations'!$E$174:$Y$174,1,'Scenario Calculations'!G193+1)</f>
        <v>0.58369185749176544</v>
      </c>
    </row>
    <row r="181" spans="3:8" x14ac:dyDescent="0.15">
      <c r="C181" s="29">
        <v>2043</v>
      </c>
      <c r="D181" s="55">
        <f>SUMPRODUCT('Scenario Calculations'!E153:Y153,'Scenario Calculations'!E174:Y174)</f>
        <v>0.39879331723707134</v>
      </c>
      <c r="E181" s="55">
        <f>INDEX('Scenario Calculations'!$E$174:$Y$174,1,'Scenario Calculations'!D194+1)</f>
        <v>0.28727088067163298</v>
      </c>
      <c r="F181" s="55">
        <f>INDEX('Scenario Calculations'!$E$174:$Y$174,1,'Scenario Calculations'!E194+1)</f>
        <v>0.28727088067163298</v>
      </c>
      <c r="G181" s="55">
        <f>INDEX('Scenario Calculations'!$E$174:$Y$174,1,'Scenario Calculations'!F194+1)</f>
        <v>0.58369185749176544</v>
      </c>
      <c r="H181" s="55">
        <f>INDEX('Scenario Calculations'!$E$174:$Y$174,1,'Scenario Calculations'!G194+1)</f>
        <v>0.58369185749176544</v>
      </c>
    </row>
    <row r="182" spans="3:8" x14ac:dyDescent="0.15">
      <c r="C182" s="29">
        <v>2044</v>
      </c>
      <c r="D182" s="55">
        <f>SUMPRODUCT('Scenario Calculations'!E154:Y154,'Scenario Calculations'!E174:Y174)</f>
        <v>0.40695589350555667</v>
      </c>
      <c r="E182" s="55">
        <f>INDEX('Scenario Calculations'!$E$174:$Y$174,1,'Scenario Calculations'!D195+1)</f>
        <v>0.28727088067163298</v>
      </c>
      <c r="F182" s="55">
        <f>INDEX('Scenario Calculations'!$E$174:$Y$174,1,'Scenario Calculations'!E195+1)</f>
        <v>0.28727088067163298</v>
      </c>
      <c r="G182" s="55">
        <f>INDEX('Scenario Calculations'!$E$174:$Y$174,1,'Scenario Calculations'!F195+1)</f>
        <v>0.58369185749176544</v>
      </c>
      <c r="H182" s="55">
        <f>INDEX('Scenario Calculations'!$E$174:$Y$174,1,'Scenario Calculations'!G195+1)</f>
        <v>0.58369185749176544</v>
      </c>
    </row>
    <row r="183" spans="3:8" x14ac:dyDescent="0.15">
      <c r="C183" s="29">
        <v>2045</v>
      </c>
      <c r="D183" s="55">
        <f>SUMPRODUCT('Scenario Calculations'!E155:Y155,'Scenario Calculations'!E174:Y174)</f>
        <v>0.41505240358040901</v>
      </c>
      <c r="E183" s="55">
        <f>INDEX('Scenario Calculations'!$E$174:$Y$174,1,'Scenario Calculations'!D196+1)</f>
        <v>0.28727088067163298</v>
      </c>
      <c r="F183" s="55">
        <f>INDEX('Scenario Calculations'!$E$174:$Y$174,1,'Scenario Calculations'!E196+1)</f>
        <v>0.28727088067163298</v>
      </c>
      <c r="G183" s="55">
        <f>INDEX('Scenario Calculations'!$E$174:$Y$174,1,'Scenario Calculations'!F196+1)</f>
        <v>0.58369185749176544</v>
      </c>
      <c r="H183" s="55">
        <f>INDEX('Scenario Calculations'!$E$174:$Y$174,1,'Scenario Calculations'!G196+1)</f>
        <v>0.58369185749176544</v>
      </c>
    </row>
    <row r="184" spans="3:8" x14ac:dyDescent="0.15">
      <c r="C184" s="29">
        <v>2046</v>
      </c>
      <c r="D184" s="55">
        <f>SUMPRODUCT('Scenario Calculations'!E156:Y156,'Scenario Calculations'!E174:Y174)</f>
        <v>0.42308184704818907</v>
      </c>
      <c r="E184" s="55">
        <f>INDEX('Scenario Calculations'!$E$174:$Y$174,1,'Scenario Calculations'!D197+1)</f>
        <v>0.28727088067163298</v>
      </c>
      <c r="F184" s="55">
        <f>INDEX('Scenario Calculations'!$E$174:$Y$174,1,'Scenario Calculations'!E197+1)</f>
        <v>0.28727088067163298</v>
      </c>
      <c r="G184" s="55">
        <f>INDEX('Scenario Calculations'!$E$174:$Y$174,1,'Scenario Calculations'!F197+1)</f>
        <v>0.58369185749176544</v>
      </c>
      <c r="H184" s="55">
        <f>INDEX('Scenario Calculations'!$E$174:$Y$174,1,'Scenario Calculations'!G197+1)</f>
        <v>0.58369185749176544</v>
      </c>
    </row>
    <row r="185" spans="3:8" x14ac:dyDescent="0.15">
      <c r="C185" s="29">
        <v>2047</v>
      </c>
      <c r="D185" s="55">
        <f>SUMPRODUCT('Scenario Calculations'!E157:Y157,'Scenario Calculations'!E174:Y174)</f>
        <v>0.43104329551706433</v>
      </c>
      <c r="E185" s="55">
        <f>INDEX('Scenario Calculations'!$E$174:$Y$174,1,'Scenario Calculations'!D198+1)</f>
        <v>0.28727088067163298</v>
      </c>
      <c r="F185" s="55">
        <f>INDEX('Scenario Calculations'!$E$174:$Y$174,1,'Scenario Calculations'!E198+1)</f>
        <v>0.28727088067163298</v>
      </c>
      <c r="G185" s="55">
        <f>INDEX('Scenario Calculations'!$E$174:$Y$174,1,'Scenario Calculations'!F198+1)</f>
        <v>0.58369185749176544</v>
      </c>
      <c r="H185" s="55">
        <f>INDEX('Scenario Calculations'!$E$174:$Y$174,1,'Scenario Calculations'!G198+1)</f>
        <v>0.58369185749176544</v>
      </c>
    </row>
    <row r="186" spans="3:8" x14ac:dyDescent="0.15">
      <c r="C186" s="29">
        <v>2048</v>
      </c>
      <c r="D186" s="55">
        <f>SUMPRODUCT('Scenario Calculations'!E158:Y158,'Scenario Calculations'!E174:Y174)</f>
        <v>0.43893589011706796</v>
      </c>
      <c r="E186" s="55">
        <f>INDEX('Scenario Calculations'!$E$174:$Y$174,1,'Scenario Calculations'!D199+1)</f>
        <v>0.28727088067163298</v>
      </c>
      <c r="F186" s="55">
        <f>INDEX('Scenario Calculations'!$E$174:$Y$174,1,'Scenario Calculations'!E199+1)</f>
        <v>0.28727088067163298</v>
      </c>
      <c r="G186" s="55">
        <f>INDEX('Scenario Calculations'!$E$174:$Y$174,1,'Scenario Calculations'!F199+1)</f>
        <v>0.58369185749176544</v>
      </c>
      <c r="H186" s="55">
        <f>INDEX('Scenario Calculations'!$E$174:$Y$174,1,'Scenario Calculations'!G199+1)</f>
        <v>0.82985088153231901</v>
      </c>
    </row>
    <row r="187" spans="3:8" x14ac:dyDescent="0.15">
      <c r="C187" s="29">
        <v>2049</v>
      </c>
      <c r="D187" s="55">
        <f>SUMPRODUCT('Scenario Calculations'!E159:Y159,'Scenario Calculations'!E174:Y174)</f>
        <v>0.44675883906835623</v>
      </c>
      <c r="E187" s="55">
        <f>INDEX('Scenario Calculations'!$E$174:$Y$174,1,'Scenario Calculations'!D200+1)</f>
        <v>0.28727088067163298</v>
      </c>
      <c r="F187" s="55">
        <f>INDEX('Scenario Calculations'!$E$174:$Y$174,1,'Scenario Calculations'!E200+1)</f>
        <v>0.28727088067163298</v>
      </c>
      <c r="G187" s="55">
        <f>INDEX('Scenario Calculations'!$E$174:$Y$174,1,'Scenario Calculations'!F200+1)</f>
        <v>0.58369185749176544</v>
      </c>
      <c r="H187" s="55">
        <f>INDEX('Scenario Calculations'!$E$174:$Y$174,1,'Scenario Calculations'!G200+1)</f>
        <v>0.82985088153231901</v>
      </c>
    </row>
    <row r="188" spans="3:8" x14ac:dyDescent="0.15">
      <c r="C188" s="29">
        <v>2050</v>
      </c>
      <c r="D188" s="55">
        <f>SUMPRODUCT('Scenario Calculations'!E160:Y160,'Scenario Calculations'!E174:Y174)</f>
        <v>0.45451141531592715</v>
      </c>
      <c r="E188" s="55">
        <f>INDEX('Scenario Calculations'!$E$174:$Y$174,1,'Scenario Calculations'!D201+1)</f>
        <v>0.28727088067163298</v>
      </c>
      <c r="F188" s="55">
        <f>INDEX('Scenario Calculations'!$E$174:$Y$174,1,'Scenario Calculations'!E201+1)</f>
        <v>0.28727088067163298</v>
      </c>
      <c r="G188" s="55">
        <f>INDEX('Scenario Calculations'!$E$174:$Y$174,1,'Scenario Calculations'!F201+1)</f>
        <v>0.58369185749176544</v>
      </c>
      <c r="H188" s="55">
        <f>INDEX('Scenario Calculations'!$E$174:$Y$174,1,'Scenario Calculations'!G201+1)</f>
        <v>0.82985088153231901</v>
      </c>
    </row>
    <row r="191" spans="3:8" x14ac:dyDescent="0.15">
      <c r="C191" s="71" t="s">
        <v>189</v>
      </c>
    </row>
    <row r="192" spans="3:8" ht="16" x14ac:dyDescent="0.3">
      <c r="C192" s="74" t="s">
        <v>95</v>
      </c>
      <c r="D192" s="74" t="s">
        <v>181</v>
      </c>
      <c r="E192" s="74" t="s">
        <v>182</v>
      </c>
      <c r="F192" s="74" t="s">
        <v>183</v>
      </c>
      <c r="G192" s="74" t="s">
        <v>184</v>
      </c>
      <c r="H192" s="74" t="s">
        <v>185</v>
      </c>
    </row>
    <row r="193" spans="3:8" x14ac:dyDescent="0.15">
      <c r="C193" s="29">
        <v>2030</v>
      </c>
      <c r="D193" s="55">
        <f>(SUMPRODUCT('Scenario Calculations'!E140:Y140,'Scenario Calculations'!E169:Y169)+Yn0)/GDP_0-1</f>
        <v>1.3260514546092779</v>
      </c>
      <c r="E193" s="55">
        <f>(INDEX('Scenario Calculations'!$E$169:$Y$169,1,'Scenario Calculations'!D181+1)+Yn0)/GDP_0-1</f>
        <v>1.3260514546092779</v>
      </c>
      <c r="F193" s="55">
        <f>(INDEX('Scenario Calculations'!$E$169:$Y$169,1,'Scenario Calculations'!E181+1)+Yn0)/GDP_0-1</f>
        <v>1.3260514546092779</v>
      </c>
      <c r="G193" s="55">
        <f>(INDEX('Scenario Calculations'!$E$169:$Y$169,1,'Scenario Calculations'!F181+1)+Yn0)/GDP_0-1</f>
        <v>1.3260514546092779</v>
      </c>
      <c r="H193" s="55">
        <f>(INDEX('Scenario Calculations'!$E$169:$Y$169,1,'Scenario Calculations'!G181+1)+Yn0)/GDP_0-1</f>
        <v>1.3260514546092779</v>
      </c>
    </row>
    <row r="194" spans="3:8" x14ac:dyDescent="0.15">
      <c r="C194" s="29">
        <v>2031</v>
      </c>
      <c r="D194" s="55">
        <f>(SUMPRODUCT('Scenario Calculations'!E141:Y141,'Scenario Calculations'!E169:Y169)+Yn0)/GDP_0-1</f>
        <v>1.4270061749906509</v>
      </c>
      <c r="E194" s="55">
        <f>(INDEX('Scenario Calculations'!$E$169:$Y$169,1,'Scenario Calculations'!D182+1)+Yn0)/GDP_0-1</f>
        <v>1.3260514546092779</v>
      </c>
      <c r="F194" s="55">
        <f>(INDEX('Scenario Calculations'!$E$169:$Y$169,1,'Scenario Calculations'!E182+1)+Yn0)/GDP_0-1</f>
        <v>1.3260514546092779</v>
      </c>
      <c r="G194" s="55">
        <f>(INDEX('Scenario Calculations'!$E$169:$Y$169,1,'Scenario Calculations'!F182+1)+Yn0)/GDP_0-1</f>
        <v>1.3260514546092779</v>
      </c>
      <c r="H194" s="55">
        <f>(INDEX('Scenario Calculations'!$E$169:$Y$169,1,'Scenario Calculations'!G182+1)+Yn0)/GDP_0-1</f>
        <v>1.3260514546092779</v>
      </c>
    </row>
    <row r="195" spans="3:8" x14ac:dyDescent="0.15">
      <c r="C195" s="29">
        <v>2032</v>
      </c>
      <c r="D195" s="55">
        <f>(SUMPRODUCT('Scenario Calculations'!E142:Y142,'Scenario Calculations'!E169:Y169)+Yn0)/GDP_0-1</f>
        <v>1.5354676169447217</v>
      </c>
      <c r="E195" s="55">
        <f>(INDEX('Scenario Calculations'!$E$169:$Y$169,1,'Scenario Calculations'!D183+1)+Yn0)/GDP_0-1</f>
        <v>1.3260514546092779</v>
      </c>
      <c r="F195" s="55">
        <f>(INDEX('Scenario Calculations'!$E$169:$Y$169,1,'Scenario Calculations'!E183+1)+Yn0)/GDP_0-1</f>
        <v>1.3260514546092779</v>
      </c>
      <c r="G195" s="55">
        <f>(INDEX('Scenario Calculations'!$E$169:$Y$169,1,'Scenario Calculations'!F183+1)+Yn0)/GDP_0-1</f>
        <v>1.3260514546092779</v>
      </c>
      <c r="H195" s="55">
        <f>(INDEX('Scenario Calculations'!$E$169:$Y$169,1,'Scenario Calculations'!G183+1)+Yn0)/GDP_0-1</f>
        <v>1.3260514546092779</v>
      </c>
    </row>
    <row r="196" spans="3:8" x14ac:dyDescent="0.15">
      <c r="C196" s="29">
        <v>2033</v>
      </c>
      <c r="D196" s="55">
        <f>(SUMPRODUCT('Scenario Calculations'!E143:Y143,'Scenario Calculations'!E169:Y169)+Yn0)/GDP_0-1</f>
        <v>1.6519939601044693</v>
      </c>
      <c r="E196" s="55">
        <f>(INDEX('Scenario Calculations'!$E$169:$Y$169,1,'Scenario Calculations'!D184+1)+Yn0)/GDP_0-1</f>
        <v>1.3260514546092779</v>
      </c>
      <c r="F196" s="55">
        <f>(INDEX('Scenario Calculations'!$E$169:$Y$169,1,'Scenario Calculations'!E184+1)+Yn0)/GDP_0-1</f>
        <v>1.3260514546092779</v>
      </c>
      <c r="G196" s="55">
        <f>(INDEX('Scenario Calculations'!$E$169:$Y$169,1,'Scenario Calculations'!F184+1)+Yn0)/GDP_0-1</f>
        <v>1.3260514546092779</v>
      </c>
      <c r="H196" s="55">
        <f>(INDEX('Scenario Calculations'!$E$169:$Y$169,1,'Scenario Calculations'!G184+1)+Yn0)/GDP_0-1</f>
        <v>1.3260514546092779</v>
      </c>
    </row>
    <row r="197" spans="3:8" x14ac:dyDescent="0.15">
      <c r="C197" s="29">
        <v>2034</v>
      </c>
      <c r="D197" s="55">
        <f>(SUMPRODUCT('Scenario Calculations'!E144:Y144,'Scenario Calculations'!E169:Y169)+Yn0)/GDP_0-1</f>
        <v>1.7771848888396162</v>
      </c>
      <c r="E197" s="55">
        <f>(INDEX('Scenario Calculations'!$E$169:$Y$169,1,'Scenario Calculations'!D185+1)+Yn0)/GDP_0-1</f>
        <v>1.3260514546092779</v>
      </c>
      <c r="F197" s="55">
        <f>(INDEX('Scenario Calculations'!$E$169:$Y$169,1,'Scenario Calculations'!E185+1)+Yn0)/GDP_0-1</f>
        <v>1.3260514546092779</v>
      </c>
      <c r="G197" s="55">
        <f>(INDEX('Scenario Calculations'!$E$169:$Y$169,1,'Scenario Calculations'!F185+1)+Yn0)/GDP_0-1</f>
        <v>1.3260514546092779</v>
      </c>
      <c r="H197" s="55">
        <f>(INDEX('Scenario Calculations'!$E$169:$Y$169,1,'Scenario Calculations'!G185+1)+Yn0)/GDP_0-1</f>
        <v>4.6912088006550565</v>
      </c>
    </row>
    <row r="198" spans="3:8" x14ac:dyDescent="0.15">
      <c r="C198" s="29">
        <v>2035</v>
      </c>
      <c r="D198" s="55">
        <f>(SUMPRODUCT('Scenario Calculations'!E145:Y145,'Scenario Calculations'!E169:Y169)+Yn0)/GDP_0-1</f>
        <v>1.9116846784372554</v>
      </c>
      <c r="E198" s="55">
        <f>(INDEX('Scenario Calculations'!$E$169:$Y$169,1,'Scenario Calculations'!D186+1)+Yn0)/GDP_0-1</f>
        <v>1.3260514546092779</v>
      </c>
      <c r="F198" s="55">
        <f>(INDEX('Scenario Calculations'!$E$169:$Y$169,1,'Scenario Calculations'!E186+1)+Yn0)/GDP_0-1</f>
        <v>1.3260514546092779</v>
      </c>
      <c r="G198" s="55">
        <f>(INDEX('Scenario Calculations'!$E$169:$Y$169,1,'Scenario Calculations'!F186+1)+Yn0)/GDP_0-1</f>
        <v>1.3260514546092779</v>
      </c>
      <c r="H198" s="55">
        <f>(INDEX('Scenario Calculations'!$E$169:$Y$169,1,'Scenario Calculations'!G186+1)+Yn0)/GDP_0-1</f>
        <v>4.6912088006550565</v>
      </c>
    </row>
    <row r="199" spans="3:8" x14ac:dyDescent="0.15">
      <c r="C199" s="29">
        <v>2036</v>
      </c>
      <c r="D199" s="55">
        <f>(SUMPRODUCT('Scenario Calculations'!E146:Y146,'Scenario Calculations'!E169:Y169)+Yn0)/GDP_0-1</f>
        <v>2.056185510762583</v>
      </c>
      <c r="E199" s="55">
        <f>(INDEX('Scenario Calculations'!$E$169:$Y$169,1,'Scenario Calculations'!D187+1)+Yn0)/GDP_0-1</f>
        <v>1.3260514546092779</v>
      </c>
      <c r="F199" s="55">
        <f>(INDEX('Scenario Calculations'!$E$169:$Y$169,1,'Scenario Calculations'!E187+1)+Yn0)/GDP_0-1</f>
        <v>1.3260514546092779</v>
      </c>
      <c r="G199" s="55">
        <f>(INDEX('Scenario Calculations'!$E$169:$Y$169,1,'Scenario Calculations'!F187+1)+Yn0)/GDP_0-1</f>
        <v>1.3260514546092779</v>
      </c>
      <c r="H199" s="55">
        <f>(INDEX('Scenario Calculations'!$E$169:$Y$169,1,'Scenario Calculations'!G187+1)+Yn0)/GDP_0-1</f>
        <v>4.6912088006550565</v>
      </c>
    </row>
    <row r="200" spans="3:8" x14ac:dyDescent="0.15">
      <c r="C200" s="29">
        <v>2037</v>
      </c>
      <c r="D200" s="55">
        <f>(SUMPRODUCT('Scenario Calculations'!E147:Y147,'Scenario Calculations'!E169:Y169)+Yn0)/GDP_0-1</f>
        <v>2.2114310364632335</v>
      </c>
      <c r="E200" s="55">
        <f>(INDEX('Scenario Calculations'!$E$169:$Y$169,1,'Scenario Calculations'!D188+1)+Yn0)/GDP_0-1</f>
        <v>1.3260514546092779</v>
      </c>
      <c r="F200" s="55">
        <f>(INDEX('Scenario Calculations'!$E$169:$Y$169,1,'Scenario Calculations'!E188+1)+Yn0)/GDP_0-1</f>
        <v>1.3260514546092779</v>
      </c>
      <c r="G200" s="55">
        <f>(INDEX('Scenario Calculations'!$E$169:$Y$169,1,'Scenario Calculations'!F188+1)+Yn0)/GDP_0-1</f>
        <v>1.3260514546092779</v>
      </c>
      <c r="H200" s="55">
        <f>(INDEX('Scenario Calculations'!$E$169:$Y$169,1,'Scenario Calculations'!G188+1)+Yn0)/GDP_0-1</f>
        <v>4.6912088006550565</v>
      </c>
    </row>
    <row r="201" spans="3:8" x14ac:dyDescent="0.15">
      <c r="C201" s="29">
        <v>2038</v>
      </c>
      <c r="D201" s="55">
        <f>(SUMPRODUCT('Scenario Calculations'!E148:Y148,'Scenario Calculations'!E169:Y169)+Yn0)/GDP_0-1</f>
        <v>2.3782202020495609</v>
      </c>
      <c r="E201" s="55">
        <f>(INDEX('Scenario Calculations'!$E$169:$Y$169,1,'Scenario Calculations'!D189+1)+Yn0)/GDP_0-1</f>
        <v>1.3260514546092779</v>
      </c>
      <c r="F201" s="55">
        <f>(INDEX('Scenario Calculations'!$E$169:$Y$169,1,'Scenario Calculations'!E189+1)+Yn0)/GDP_0-1</f>
        <v>1.3260514546092779</v>
      </c>
      <c r="G201" s="55">
        <f>(INDEX('Scenario Calculations'!$E$169:$Y$169,1,'Scenario Calculations'!F189+1)+Yn0)/GDP_0-1</f>
        <v>1.3260514546092779</v>
      </c>
      <c r="H201" s="55">
        <f>(INDEX('Scenario Calculations'!$E$169:$Y$169,1,'Scenario Calculations'!G189+1)+Yn0)/GDP_0-1</f>
        <v>4.6912088006550565</v>
      </c>
    </row>
    <row r="202" spans="3:8" x14ac:dyDescent="0.15">
      <c r="C202" s="29">
        <v>2039</v>
      </c>
      <c r="D202" s="55">
        <f>(SUMPRODUCT('Scenario Calculations'!E149:Y149,'Scenario Calculations'!E169:Y169)+Yn0)/GDP_0-1</f>
        <v>2.5574113615463192</v>
      </c>
      <c r="E202" s="55">
        <f>(INDEX('Scenario Calculations'!$E$169:$Y$169,1,'Scenario Calculations'!D190+1)+Yn0)/GDP_0-1</f>
        <v>1.3260514546092779</v>
      </c>
      <c r="F202" s="55">
        <f>(INDEX('Scenario Calculations'!$E$169:$Y$169,1,'Scenario Calculations'!E190+1)+Yn0)/GDP_0-1</f>
        <v>1.3260514546092779</v>
      </c>
      <c r="G202" s="55">
        <f>(INDEX('Scenario Calculations'!$E$169:$Y$169,1,'Scenario Calculations'!F190+1)+Yn0)/GDP_0-1</f>
        <v>1.3260514546092779</v>
      </c>
      <c r="H202" s="55">
        <f>(INDEX('Scenario Calculations'!$E$169:$Y$169,1,'Scenario Calculations'!G190+1)+Yn0)/GDP_0-1</f>
        <v>4.6912088006550565</v>
      </c>
    </row>
    <row r="203" spans="3:8" x14ac:dyDescent="0.15">
      <c r="C203" s="29">
        <v>2040</v>
      </c>
      <c r="D203" s="55">
        <f>(SUMPRODUCT('Scenario Calculations'!E150:Y150,'Scenario Calculations'!E169:Y169)+Yn0)/GDP_0-1</f>
        <v>2.7499266938757052</v>
      </c>
      <c r="E203" s="55">
        <f>(INDEX('Scenario Calculations'!$E$169:$Y$169,1,'Scenario Calculations'!D191+1)+Yn0)/GDP_0-1</f>
        <v>1.3260514546092779</v>
      </c>
      <c r="F203" s="55">
        <f>(INDEX('Scenario Calculations'!$E$169:$Y$169,1,'Scenario Calculations'!E191+1)+Yn0)/GDP_0-1</f>
        <v>1.3260514546092779</v>
      </c>
      <c r="G203" s="55">
        <f>(INDEX('Scenario Calculations'!$E$169:$Y$169,1,'Scenario Calculations'!F191+1)+Yn0)/GDP_0-1</f>
        <v>4.6912088006550565</v>
      </c>
      <c r="H203" s="55">
        <f>(INDEX('Scenario Calculations'!$E$169:$Y$169,1,'Scenario Calculations'!G191+1)+Yn0)/GDP_0-1</f>
        <v>4.6912088006550565</v>
      </c>
    </row>
    <row r="204" spans="3:8" x14ac:dyDescent="0.15">
      <c r="C204" s="29">
        <v>2041</v>
      </c>
      <c r="D204" s="55">
        <f>(SUMPRODUCT('Scenario Calculations'!E151:Y151,'Scenario Calculations'!E169:Y169)+Yn0)/GDP_0-1</f>
        <v>2.9567569487051273</v>
      </c>
      <c r="E204" s="55">
        <f>(INDEX('Scenario Calculations'!$E$169:$Y$169,1,'Scenario Calculations'!D192+1)+Yn0)/GDP_0-1</f>
        <v>1.3260514546092779</v>
      </c>
      <c r="F204" s="55">
        <f>(INDEX('Scenario Calculations'!$E$169:$Y$169,1,'Scenario Calculations'!E192+1)+Yn0)/GDP_0-1</f>
        <v>1.3260514546092779</v>
      </c>
      <c r="G204" s="55">
        <f>(INDEX('Scenario Calculations'!$E$169:$Y$169,1,'Scenario Calculations'!F192+1)+Yn0)/GDP_0-1</f>
        <v>4.6912088006550565</v>
      </c>
      <c r="H204" s="55">
        <f>(INDEX('Scenario Calculations'!$E$169:$Y$169,1,'Scenario Calculations'!G192+1)+Yn0)/GDP_0-1</f>
        <v>4.6912088006550565</v>
      </c>
    </row>
    <row r="205" spans="3:8" x14ac:dyDescent="0.15">
      <c r="C205" s="29">
        <v>2042</v>
      </c>
      <c r="D205" s="55">
        <f>(SUMPRODUCT('Scenario Calculations'!E152:Y152,'Scenario Calculations'!E169:Y169)+Yn0)/GDP_0-1</f>
        <v>3.1789665451834503</v>
      </c>
      <c r="E205" s="55">
        <f>(INDEX('Scenario Calculations'!$E$169:$Y$169,1,'Scenario Calculations'!D193+1)+Yn0)/GDP_0-1</f>
        <v>1.3260514546092779</v>
      </c>
      <c r="F205" s="55">
        <f>(INDEX('Scenario Calculations'!$E$169:$Y$169,1,'Scenario Calculations'!E193+1)+Yn0)/GDP_0-1</f>
        <v>1.3260514546092779</v>
      </c>
      <c r="G205" s="55">
        <f>(INDEX('Scenario Calculations'!$E$169:$Y$169,1,'Scenario Calculations'!F193+1)+Yn0)/GDP_0-1</f>
        <v>4.6912088006550565</v>
      </c>
      <c r="H205" s="55">
        <f>(INDEX('Scenario Calculations'!$E$169:$Y$169,1,'Scenario Calculations'!G193+1)+Yn0)/GDP_0-1</f>
        <v>4.6912088006550565</v>
      </c>
    </row>
    <row r="206" spans="3:8" x14ac:dyDescent="0.15">
      <c r="C206" s="29">
        <v>2043</v>
      </c>
      <c r="D206" s="55">
        <f>(SUMPRODUCT('Scenario Calculations'!E153:Y153,'Scenario Calculations'!E169:Y169)+Yn0)/GDP_0-1</f>
        <v>3.4176990498055728</v>
      </c>
      <c r="E206" s="55">
        <f>(INDEX('Scenario Calculations'!$E$169:$Y$169,1,'Scenario Calculations'!D194+1)+Yn0)/GDP_0-1</f>
        <v>1.3260514546092779</v>
      </c>
      <c r="F206" s="55">
        <f>(INDEX('Scenario Calculations'!$E$169:$Y$169,1,'Scenario Calculations'!E194+1)+Yn0)/GDP_0-1</f>
        <v>1.3260514546092779</v>
      </c>
      <c r="G206" s="55">
        <f>(INDEX('Scenario Calculations'!$E$169:$Y$169,1,'Scenario Calculations'!F194+1)+Yn0)/GDP_0-1</f>
        <v>4.6912088006550565</v>
      </c>
      <c r="H206" s="55">
        <f>(INDEX('Scenario Calculations'!$E$169:$Y$169,1,'Scenario Calculations'!G194+1)+Yn0)/GDP_0-1</f>
        <v>4.6912088006550565</v>
      </c>
    </row>
    <row r="207" spans="3:8" x14ac:dyDescent="0.15">
      <c r="C207" s="29">
        <v>2044</v>
      </c>
      <c r="D207" s="55">
        <f>(SUMPRODUCT('Scenario Calculations'!E154:Y154,'Scenario Calculations'!E169:Y169)+Yn0)/GDP_0-1</f>
        <v>3.6741830615962652</v>
      </c>
      <c r="E207" s="55">
        <f>(INDEX('Scenario Calculations'!$E$169:$Y$169,1,'Scenario Calculations'!D195+1)+Yn0)/GDP_0-1</f>
        <v>1.3260514546092779</v>
      </c>
      <c r="F207" s="55">
        <f>(INDEX('Scenario Calculations'!$E$169:$Y$169,1,'Scenario Calculations'!E195+1)+Yn0)/GDP_0-1</f>
        <v>1.3260514546092779</v>
      </c>
      <c r="G207" s="55">
        <f>(INDEX('Scenario Calculations'!$E$169:$Y$169,1,'Scenario Calculations'!F195+1)+Yn0)/GDP_0-1</f>
        <v>4.6912088006550565</v>
      </c>
      <c r="H207" s="55">
        <f>(INDEX('Scenario Calculations'!$E$169:$Y$169,1,'Scenario Calculations'!G195+1)+Yn0)/GDP_0-1</f>
        <v>4.6912088006550565</v>
      </c>
    </row>
    <row r="208" spans="3:8" x14ac:dyDescent="0.15">
      <c r="C208" s="29">
        <v>2045</v>
      </c>
      <c r="D208" s="55">
        <f>(SUMPRODUCT('Scenario Calculations'!E155:Y155,'Scenario Calculations'!E169:Y169)+Yn0)/GDP_0-1</f>
        <v>3.9497385349004732</v>
      </c>
      <c r="E208" s="55">
        <f>(INDEX('Scenario Calculations'!$E$169:$Y$169,1,'Scenario Calculations'!D196+1)+Yn0)/GDP_0-1</f>
        <v>1.3260514546092779</v>
      </c>
      <c r="F208" s="55">
        <f>(INDEX('Scenario Calculations'!$E$169:$Y$169,1,'Scenario Calculations'!E196+1)+Yn0)/GDP_0-1</f>
        <v>1.3260514546092779</v>
      </c>
      <c r="G208" s="55">
        <f>(INDEX('Scenario Calculations'!$E$169:$Y$169,1,'Scenario Calculations'!F196+1)+Yn0)/GDP_0-1</f>
        <v>4.6912088006550565</v>
      </c>
      <c r="H208" s="55">
        <f>(INDEX('Scenario Calculations'!$E$169:$Y$169,1,'Scenario Calculations'!G196+1)+Yn0)/GDP_0-1</f>
        <v>4.6912088006550565</v>
      </c>
    </row>
    <row r="209" spans="3:8" x14ac:dyDescent="0.15">
      <c r="C209" s="29">
        <v>2046</v>
      </c>
      <c r="D209" s="55">
        <f>(SUMPRODUCT('Scenario Calculations'!E156:Y156,'Scenario Calculations'!E169:Y169)+Yn0)/GDP_0-1</f>
        <v>4.2457835723193007</v>
      </c>
      <c r="E209" s="55">
        <f>(INDEX('Scenario Calculations'!$E$169:$Y$169,1,'Scenario Calculations'!D197+1)+Yn0)/GDP_0-1</f>
        <v>1.3260514546092779</v>
      </c>
      <c r="F209" s="55">
        <f>(INDEX('Scenario Calculations'!$E$169:$Y$169,1,'Scenario Calculations'!E197+1)+Yn0)/GDP_0-1</f>
        <v>1.3260514546092779</v>
      </c>
      <c r="G209" s="55">
        <f>(INDEX('Scenario Calculations'!$E$169:$Y$169,1,'Scenario Calculations'!F197+1)+Yn0)/GDP_0-1</f>
        <v>4.6912088006550565</v>
      </c>
      <c r="H209" s="55">
        <f>(INDEX('Scenario Calculations'!$E$169:$Y$169,1,'Scenario Calculations'!G197+1)+Yn0)/GDP_0-1</f>
        <v>4.6912088006550565</v>
      </c>
    </row>
    <row r="210" spans="3:8" x14ac:dyDescent="0.15">
      <c r="C210" s="29">
        <v>2047</v>
      </c>
      <c r="D210" s="55">
        <f>(SUMPRODUCT('Scenario Calculations'!E157:Y157,'Scenario Calculations'!E169:Y169)+Yn0)/GDP_0-1</f>
        <v>4.5638417227504444</v>
      </c>
      <c r="E210" s="55">
        <f>(INDEX('Scenario Calculations'!$E$169:$Y$169,1,'Scenario Calculations'!D198+1)+Yn0)/GDP_0-1</f>
        <v>1.3260514546092779</v>
      </c>
      <c r="F210" s="55">
        <f>(INDEX('Scenario Calculations'!$E$169:$Y$169,1,'Scenario Calculations'!E198+1)+Yn0)/GDP_0-1</f>
        <v>1.3260514546092779</v>
      </c>
      <c r="G210" s="55">
        <f>(INDEX('Scenario Calculations'!$E$169:$Y$169,1,'Scenario Calculations'!F198+1)+Yn0)/GDP_0-1</f>
        <v>4.6912088006550565</v>
      </c>
      <c r="H210" s="55">
        <f>(INDEX('Scenario Calculations'!$E$169:$Y$169,1,'Scenario Calculations'!G198+1)+Yn0)/GDP_0-1</f>
        <v>4.6912088006550565</v>
      </c>
    </row>
    <row r="211" spans="3:8" x14ac:dyDescent="0.15">
      <c r="C211" s="29">
        <v>2048</v>
      </c>
      <c r="D211" s="55">
        <f>(SUMPRODUCT('Scenario Calculations'!E158:Y158,'Scenario Calculations'!E169:Y169)+Yn0)/GDP_0-1</f>
        <v>4.9055498220913014</v>
      </c>
      <c r="E211" s="55">
        <f>(INDEX('Scenario Calculations'!$E$169:$Y$169,1,'Scenario Calculations'!D199+1)+Yn0)/GDP_0-1</f>
        <v>1.3260514546092779</v>
      </c>
      <c r="F211" s="55">
        <f>(INDEX('Scenario Calculations'!$E$169:$Y$169,1,'Scenario Calculations'!E199+1)+Yn0)/GDP_0-1</f>
        <v>1.3260514546092779</v>
      </c>
      <c r="G211" s="55">
        <f>(INDEX('Scenario Calculations'!$E$169:$Y$169,1,'Scenario Calculations'!F199+1)+Yn0)/GDP_0-1</f>
        <v>4.6912088006550565</v>
      </c>
      <c r="H211" s="55">
        <f>(INDEX('Scenario Calculations'!$E$169:$Y$169,1,'Scenario Calculations'!G199+1)+Yn0)/GDP_0-1</f>
        <v>16.39716789414252</v>
      </c>
    </row>
    <row r="212" spans="3:8" x14ac:dyDescent="0.15">
      <c r="C212" s="29">
        <v>2049</v>
      </c>
      <c r="D212" s="55">
        <f>(SUMPRODUCT('Scenario Calculations'!E159:Y159,'Scenario Calculations'!E169:Y169)+Yn0)/GDP_0-1</f>
        <v>5.2726664169556665</v>
      </c>
      <c r="E212" s="55">
        <f>(INDEX('Scenario Calculations'!$E$169:$Y$169,1,'Scenario Calculations'!D200+1)+Yn0)/GDP_0-1</f>
        <v>1.3260514546092779</v>
      </c>
      <c r="F212" s="55">
        <f>(INDEX('Scenario Calculations'!$E$169:$Y$169,1,'Scenario Calculations'!E200+1)+Yn0)/GDP_0-1</f>
        <v>1.3260514546092779</v>
      </c>
      <c r="G212" s="55">
        <f>(INDEX('Scenario Calculations'!$E$169:$Y$169,1,'Scenario Calculations'!F200+1)+Yn0)/GDP_0-1</f>
        <v>4.6912088006550565</v>
      </c>
      <c r="H212" s="55">
        <f>(INDEX('Scenario Calculations'!$E$169:$Y$169,1,'Scenario Calculations'!G200+1)+Yn0)/GDP_0-1</f>
        <v>16.39716789414252</v>
      </c>
    </row>
    <row r="213" spans="3:8" x14ac:dyDescent="0.15">
      <c r="C213" s="29">
        <v>2050</v>
      </c>
      <c r="D213" s="55">
        <f>(SUMPRODUCT('Scenario Calculations'!E160:Y160,'Scenario Calculations'!E169:Y169)+Yn0)/GDP_0-1</f>
        <v>5.6670808147553791</v>
      </c>
      <c r="E213" s="55">
        <f>(INDEX('Scenario Calculations'!$E$169:$Y$169,1,'Scenario Calculations'!D201+1)+Yn0)/GDP_0-1</f>
        <v>1.3260514546092779</v>
      </c>
      <c r="F213" s="55">
        <f>(INDEX('Scenario Calculations'!$E$169:$Y$169,1,'Scenario Calculations'!E201+1)+Yn0)/GDP_0-1</f>
        <v>1.3260514546092779</v>
      </c>
      <c r="G213" s="55">
        <f>(INDEX('Scenario Calculations'!$E$169:$Y$169,1,'Scenario Calculations'!F201+1)+Yn0)/GDP_0-1</f>
        <v>4.6912088006550565</v>
      </c>
      <c r="H213" s="55">
        <f>(INDEX('Scenario Calculations'!$E$169:$Y$169,1,'Scenario Calculations'!G201+1)+Yn0)/GDP_0-1</f>
        <v>16.39716789414252</v>
      </c>
    </row>
    <row r="215" spans="3:8" x14ac:dyDescent="0.15">
      <c r="C215" s="71" t="s">
        <v>190</v>
      </c>
    </row>
    <row r="216" spans="3:8" ht="16" x14ac:dyDescent="0.3">
      <c r="C216" s="74" t="s">
        <v>95</v>
      </c>
      <c r="D216" s="74" t="s">
        <v>181</v>
      </c>
      <c r="E216" s="74" t="s">
        <v>182</v>
      </c>
      <c r="F216" s="74" t="s">
        <v>183</v>
      </c>
      <c r="G216" s="74" t="s">
        <v>184</v>
      </c>
      <c r="H216" s="74" t="s">
        <v>185</v>
      </c>
    </row>
    <row r="217" spans="3:8" x14ac:dyDescent="0.15">
      <c r="C217" s="29">
        <v>2030</v>
      </c>
      <c r="D217" s="55">
        <f>SUMPRODUCT('Scenario Calculations'!E140:Y140,'Scenario Calculations'!E175:Y175)</f>
        <v>0.58369185749176544</v>
      </c>
      <c r="E217" s="55">
        <f>INDEX('Scenario Calculations'!$E$175:$Y$175,1,'Scenario Calculations'!D181+1)</f>
        <v>0.58369185749176544</v>
      </c>
      <c r="F217" s="55">
        <f>INDEX('Scenario Calculations'!$E$175:$Y$175,1,'Scenario Calculations'!E181+1)</f>
        <v>0.58369185749176544</v>
      </c>
      <c r="G217" s="55">
        <f>INDEX('Scenario Calculations'!$E$175:$Y$175,1,'Scenario Calculations'!F181+1)</f>
        <v>0.58369185749176544</v>
      </c>
      <c r="H217" s="55">
        <f>INDEX('Scenario Calculations'!$E$175:$Y$175,1,'Scenario Calculations'!G181+1)</f>
        <v>0.58369185749176544</v>
      </c>
    </row>
    <row r="218" spans="3:8" x14ac:dyDescent="0.15">
      <c r="C218" s="29">
        <v>2031</v>
      </c>
      <c r="D218" s="55">
        <f>SUMPRODUCT('Scenario Calculations'!E141:Y141,'Scenario Calculations'!E175:Y175)</f>
        <v>0.59107662821298201</v>
      </c>
      <c r="E218" s="55">
        <f>INDEX('Scenario Calculations'!$E$175:$Y$175,1,'Scenario Calculations'!D182+1)</f>
        <v>0.58369185749176544</v>
      </c>
      <c r="F218" s="55">
        <f>INDEX('Scenario Calculations'!$E$175:$Y$175,1,'Scenario Calculations'!E182+1)</f>
        <v>0.58369185749176544</v>
      </c>
      <c r="G218" s="55">
        <f>INDEX('Scenario Calculations'!$E$175:$Y$175,1,'Scenario Calculations'!F182+1)</f>
        <v>0.58369185749176544</v>
      </c>
      <c r="H218" s="55">
        <f>INDEX('Scenario Calculations'!$E$175:$Y$175,1,'Scenario Calculations'!G182+1)</f>
        <v>0.58369185749176544</v>
      </c>
    </row>
    <row r="219" spans="3:8" x14ac:dyDescent="0.15">
      <c r="C219" s="29">
        <v>2032</v>
      </c>
      <c r="D219" s="55">
        <f>SUMPRODUCT('Scenario Calculations'!E142:Y142,'Scenario Calculations'!E175:Y175)</f>
        <v>0.59834289458125278</v>
      </c>
      <c r="E219" s="55">
        <f>INDEX('Scenario Calculations'!$E$175:$Y$175,1,'Scenario Calculations'!D183+1)</f>
        <v>0.58369185749176544</v>
      </c>
      <c r="F219" s="55">
        <f>INDEX('Scenario Calculations'!$E$175:$Y$175,1,'Scenario Calculations'!E183+1)</f>
        <v>0.58369185749176544</v>
      </c>
      <c r="G219" s="55">
        <f>INDEX('Scenario Calculations'!$E$175:$Y$175,1,'Scenario Calculations'!F183+1)</f>
        <v>0.58369185749176544</v>
      </c>
      <c r="H219" s="55">
        <f>INDEX('Scenario Calculations'!$E$175:$Y$175,1,'Scenario Calculations'!G183+1)</f>
        <v>0.58369185749176544</v>
      </c>
    </row>
    <row r="220" spans="3:8" x14ac:dyDescent="0.15">
      <c r="C220" s="29">
        <v>2033</v>
      </c>
      <c r="D220" s="55">
        <f>SUMPRODUCT('Scenario Calculations'!E143:Y143,'Scenario Calculations'!E175:Y175)</f>
        <v>0.60549217355112195</v>
      </c>
      <c r="E220" s="55">
        <f>INDEX('Scenario Calculations'!$E$175:$Y$175,1,'Scenario Calculations'!D184+1)</f>
        <v>0.58369185749176544</v>
      </c>
      <c r="F220" s="55">
        <f>INDEX('Scenario Calculations'!$E$175:$Y$175,1,'Scenario Calculations'!E184+1)</f>
        <v>0.58369185749176544</v>
      </c>
      <c r="G220" s="55">
        <f>INDEX('Scenario Calculations'!$E$175:$Y$175,1,'Scenario Calculations'!F184+1)</f>
        <v>0.58369185749176544</v>
      </c>
      <c r="H220" s="55">
        <f>INDEX('Scenario Calculations'!$E$175:$Y$175,1,'Scenario Calculations'!G184+1)</f>
        <v>0.58369185749176544</v>
      </c>
    </row>
    <row r="221" spans="3:8" x14ac:dyDescent="0.15">
      <c r="C221" s="29">
        <v>2034</v>
      </c>
      <c r="D221" s="55">
        <f>SUMPRODUCT('Scenario Calculations'!E144:Y144,'Scenario Calculations'!E175:Y175)</f>
        <v>0.61252597569400757</v>
      </c>
      <c r="E221" s="55">
        <f>INDEX('Scenario Calculations'!$E$175:$Y$175,1,'Scenario Calculations'!D185+1)</f>
        <v>0.58369185749176544</v>
      </c>
      <c r="F221" s="55">
        <f>INDEX('Scenario Calculations'!$E$175:$Y$175,1,'Scenario Calculations'!E185+1)</f>
        <v>0.58369185749176544</v>
      </c>
      <c r="G221" s="55">
        <f>INDEX('Scenario Calculations'!$E$175:$Y$175,1,'Scenario Calculations'!F185+1)</f>
        <v>0.58369185749176544</v>
      </c>
      <c r="H221" s="55">
        <f>INDEX('Scenario Calculations'!$E$175:$Y$175,1,'Scenario Calculations'!G185+1)</f>
        <v>0.82985088153231901</v>
      </c>
    </row>
    <row r="222" spans="3:8" x14ac:dyDescent="0.15">
      <c r="C222" s="29">
        <v>2035</v>
      </c>
      <c r="D222" s="55">
        <f>SUMPRODUCT('Scenario Calculations'!E145:Y145,'Scenario Calculations'!E175:Y175)</f>
        <v>0.61944580467324117</v>
      </c>
      <c r="E222" s="55">
        <f>INDEX('Scenario Calculations'!$E$175:$Y$175,1,'Scenario Calculations'!D186+1)</f>
        <v>0.58369185749176544</v>
      </c>
      <c r="F222" s="55">
        <f>INDEX('Scenario Calculations'!$E$175:$Y$175,1,'Scenario Calculations'!E186+1)</f>
        <v>0.58369185749176544</v>
      </c>
      <c r="G222" s="55">
        <f>INDEX('Scenario Calculations'!$E$175:$Y$175,1,'Scenario Calculations'!F186+1)</f>
        <v>0.58369185749176544</v>
      </c>
      <c r="H222" s="55">
        <f>INDEX('Scenario Calculations'!$E$175:$Y$175,1,'Scenario Calculations'!G186+1)</f>
        <v>0.82985088153231901</v>
      </c>
    </row>
    <row r="223" spans="3:8" x14ac:dyDescent="0.15">
      <c r="C223" s="29">
        <v>2036</v>
      </c>
      <c r="D223" s="55">
        <f>SUMPRODUCT('Scenario Calculations'!E146:Y146,'Scenario Calculations'!E175:Y175)</f>
        <v>0.6262531567469416</v>
      </c>
      <c r="E223" s="55">
        <f>INDEX('Scenario Calculations'!$E$175:$Y$175,1,'Scenario Calculations'!D187+1)</f>
        <v>0.58369185749176544</v>
      </c>
      <c r="F223" s="55">
        <f>INDEX('Scenario Calculations'!$E$175:$Y$175,1,'Scenario Calculations'!E187+1)</f>
        <v>0.58369185749176544</v>
      </c>
      <c r="G223" s="55">
        <f>INDEX('Scenario Calculations'!$E$175:$Y$175,1,'Scenario Calculations'!F187+1)</f>
        <v>0.58369185749176544</v>
      </c>
      <c r="H223" s="55">
        <f>INDEX('Scenario Calculations'!$E$175:$Y$175,1,'Scenario Calculations'!G187+1)</f>
        <v>0.82985088153231901</v>
      </c>
    </row>
    <row r="224" spans="3:8" x14ac:dyDescent="0.15">
      <c r="C224" s="29">
        <v>2037</v>
      </c>
      <c r="D224" s="55">
        <f>SUMPRODUCT('Scenario Calculations'!E147:Y147,'Scenario Calculations'!E175:Y175)</f>
        <v>0.63294952029771412</v>
      </c>
      <c r="E224" s="55">
        <f>INDEX('Scenario Calculations'!$E$175:$Y$175,1,'Scenario Calculations'!D188+1)</f>
        <v>0.58369185749176544</v>
      </c>
      <c r="F224" s="55">
        <f>INDEX('Scenario Calculations'!$E$175:$Y$175,1,'Scenario Calculations'!E188+1)</f>
        <v>0.58369185749176544</v>
      </c>
      <c r="G224" s="55">
        <f>INDEX('Scenario Calculations'!$E$175:$Y$175,1,'Scenario Calculations'!F188+1)</f>
        <v>0.58369185749176544</v>
      </c>
      <c r="H224" s="55">
        <f>INDEX('Scenario Calculations'!$E$175:$Y$175,1,'Scenario Calculations'!G188+1)</f>
        <v>0.82985088153231901</v>
      </c>
    </row>
    <row r="225" spans="1:12" x14ac:dyDescent="0.15">
      <c r="C225" s="29">
        <v>2038</v>
      </c>
      <c r="D225" s="55">
        <f>SUMPRODUCT('Scenario Calculations'!E148:Y148,'Scenario Calculations'!E175:Y175)</f>
        <v>0.6395363753882024</v>
      </c>
      <c r="E225" s="55">
        <f>INDEX('Scenario Calculations'!$E$175:$Y$175,1,'Scenario Calculations'!D189+1)</f>
        <v>0.58369185749176544</v>
      </c>
      <c r="F225" s="55">
        <f>INDEX('Scenario Calculations'!$E$175:$Y$175,1,'Scenario Calculations'!E189+1)</f>
        <v>0.58369185749176544</v>
      </c>
      <c r="G225" s="55">
        <f>INDEX('Scenario Calculations'!$E$175:$Y$175,1,'Scenario Calculations'!F189+1)</f>
        <v>0.58369185749176544</v>
      </c>
      <c r="H225" s="55">
        <f>INDEX('Scenario Calculations'!$E$175:$Y$175,1,'Scenario Calculations'!G189+1)</f>
        <v>0.82985088153231901</v>
      </c>
    </row>
    <row r="226" spans="1:12" x14ac:dyDescent="0.15">
      <c r="C226" s="29">
        <v>2039</v>
      </c>
      <c r="D226" s="55">
        <f>SUMPRODUCT('Scenario Calculations'!E149:Y149,'Scenario Calculations'!E175:Y175)</f>
        <v>0.64601519334154767</v>
      </c>
      <c r="E226" s="55">
        <f>INDEX('Scenario Calculations'!$E$175:$Y$175,1,'Scenario Calculations'!D190+1)</f>
        <v>0.58369185749176544</v>
      </c>
      <c r="F226" s="55">
        <f>INDEX('Scenario Calculations'!$E$175:$Y$175,1,'Scenario Calculations'!E190+1)</f>
        <v>0.58369185749176544</v>
      </c>
      <c r="G226" s="55">
        <f>INDEX('Scenario Calculations'!$E$175:$Y$175,1,'Scenario Calculations'!F190+1)</f>
        <v>0.58369185749176544</v>
      </c>
      <c r="H226" s="55">
        <f>INDEX('Scenario Calculations'!$E$175:$Y$175,1,'Scenario Calculations'!G190+1)</f>
        <v>0.82985088153231901</v>
      </c>
    </row>
    <row r="227" spans="1:12" x14ac:dyDescent="0.15">
      <c r="C227" s="29">
        <v>2040</v>
      </c>
      <c r="D227" s="55">
        <f>SUMPRODUCT('Scenario Calculations'!E150:Y150,'Scenario Calculations'!E175:Y175)</f>
        <v>0.65238743634584162</v>
      </c>
      <c r="E227" s="55">
        <f>INDEX('Scenario Calculations'!$E$175:$Y$175,1,'Scenario Calculations'!D191+1)</f>
        <v>0.58369185749176544</v>
      </c>
      <c r="F227" s="55">
        <f>INDEX('Scenario Calculations'!$E$175:$Y$175,1,'Scenario Calculations'!E191+1)</f>
        <v>0.58369185749176544</v>
      </c>
      <c r="G227" s="55">
        <f>INDEX('Scenario Calculations'!$E$175:$Y$175,1,'Scenario Calculations'!F191+1)</f>
        <v>0.82985088153231901</v>
      </c>
      <c r="H227" s="55">
        <f>INDEX('Scenario Calculations'!$E$175:$Y$175,1,'Scenario Calculations'!G191+1)</f>
        <v>0.82985088153231901</v>
      </c>
    </row>
    <row r="228" spans="1:12" x14ac:dyDescent="0.15">
      <c r="C228" s="29">
        <v>2041</v>
      </c>
      <c r="D228" s="55">
        <f>SUMPRODUCT('Scenario Calculations'!E151:Y151,'Scenario Calculations'!E175:Y175)</f>
        <v>0.6586545570816853</v>
      </c>
      <c r="E228" s="55">
        <f>INDEX('Scenario Calculations'!$E$175:$Y$175,1,'Scenario Calculations'!D192+1)</f>
        <v>0.58369185749176544</v>
      </c>
      <c r="F228" s="55">
        <f>INDEX('Scenario Calculations'!$E$175:$Y$175,1,'Scenario Calculations'!E192+1)</f>
        <v>0.58369185749176544</v>
      </c>
      <c r="G228" s="55">
        <f>INDEX('Scenario Calculations'!$E$175:$Y$175,1,'Scenario Calculations'!F192+1)</f>
        <v>0.82985088153231901</v>
      </c>
      <c r="H228" s="55">
        <f>INDEX('Scenario Calculations'!$E$175:$Y$175,1,'Scenario Calculations'!G192+1)</f>
        <v>0.82985088153231901</v>
      </c>
    </row>
    <row r="229" spans="1:12" x14ac:dyDescent="0.15">
      <c r="C229" s="29">
        <v>2042</v>
      </c>
      <c r="D229" s="55">
        <f>SUMPRODUCT('Scenario Calculations'!E152:Y152,'Scenario Calculations'!E175:Y175)</f>
        <v>0.66481799837199895</v>
      </c>
      <c r="E229" s="55">
        <f>INDEX('Scenario Calculations'!$E$175:$Y$175,1,'Scenario Calculations'!D193+1)</f>
        <v>0.58369185749176544</v>
      </c>
      <c r="F229" s="55">
        <f>INDEX('Scenario Calculations'!$E$175:$Y$175,1,'Scenario Calculations'!E193+1)</f>
        <v>0.58369185749176544</v>
      </c>
      <c r="G229" s="55">
        <f>INDEX('Scenario Calculations'!$E$175:$Y$175,1,'Scenario Calculations'!F193+1)</f>
        <v>0.82985088153231901</v>
      </c>
      <c r="H229" s="55">
        <f>INDEX('Scenario Calculations'!$E$175:$Y$175,1,'Scenario Calculations'!G193+1)</f>
        <v>0.82985088153231901</v>
      </c>
    </row>
    <row r="230" spans="1:12" x14ac:dyDescent="0.15">
      <c r="C230" s="29">
        <v>2043</v>
      </c>
      <c r="D230" s="55">
        <f>SUMPRODUCT('Scenario Calculations'!E153:Y153,'Scenario Calculations'!E175:Y175)</f>
        <v>0.67087919285325104</v>
      </c>
      <c r="E230" s="55">
        <f>INDEX('Scenario Calculations'!$E$175:$Y$175,1,'Scenario Calculations'!D194+1)</f>
        <v>0.58369185749176544</v>
      </c>
      <c r="F230" s="55">
        <f>INDEX('Scenario Calculations'!$E$175:$Y$175,1,'Scenario Calculations'!E194+1)</f>
        <v>0.58369185749176544</v>
      </c>
      <c r="G230" s="55">
        <f>INDEX('Scenario Calculations'!$E$175:$Y$175,1,'Scenario Calculations'!F194+1)</f>
        <v>0.82985088153231901</v>
      </c>
      <c r="H230" s="55">
        <f>INDEX('Scenario Calculations'!$E$175:$Y$175,1,'Scenario Calculations'!G194+1)</f>
        <v>0.82985088153231901</v>
      </c>
    </row>
    <row r="231" spans="1:12" x14ac:dyDescent="0.15">
      <c r="C231" s="29">
        <v>2044</v>
      </c>
      <c r="D231" s="55">
        <f>SUMPRODUCT('Scenario Calculations'!E154:Y154,'Scenario Calculations'!E175:Y175)</f>
        <v>0.6768395626673005</v>
      </c>
      <c r="E231" s="55">
        <f>INDEX('Scenario Calculations'!$E$175:$Y$175,1,'Scenario Calculations'!D195+1)</f>
        <v>0.58369185749176544</v>
      </c>
      <c r="F231" s="55">
        <f>INDEX('Scenario Calculations'!$E$175:$Y$175,1,'Scenario Calculations'!E195+1)</f>
        <v>0.58369185749176544</v>
      </c>
      <c r="G231" s="55">
        <f>INDEX('Scenario Calculations'!$E$175:$Y$175,1,'Scenario Calculations'!F195+1)</f>
        <v>0.82985088153231901</v>
      </c>
      <c r="H231" s="55">
        <f>INDEX('Scenario Calculations'!$E$175:$Y$175,1,'Scenario Calculations'!G195+1)</f>
        <v>0.82985088153231901</v>
      </c>
    </row>
    <row r="232" spans="1:12" x14ac:dyDescent="0.15">
      <c r="C232" s="29">
        <v>2045</v>
      </c>
      <c r="D232" s="55">
        <f>SUMPRODUCT('Scenario Calculations'!E155:Y155,'Scenario Calculations'!E175:Y175)</f>
        <v>0.68270051917308017</v>
      </c>
      <c r="E232" s="55">
        <f>INDEX('Scenario Calculations'!$E$175:$Y$175,1,'Scenario Calculations'!D196+1)</f>
        <v>0.58369185749176544</v>
      </c>
      <c r="F232" s="55">
        <f>INDEX('Scenario Calculations'!$E$175:$Y$175,1,'Scenario Calculations'!E196+1)</f>
        <v>0.58369185749176544</v>
      </c>
      <c r="G232" s="55">
        <f>INDEX('Scenario Calculations'!$E$175:$Y$175,1,'Scenario Calculations'!F196+1)</f>
        <v>0.82985088153231901</v>
      </c>
      <c r="H232" s="55">
        <f>INDEX('Scenario Calculations'!$E$175:$Y$175,1,'Scenario Calculations'!G196+1)</f>
        <v>0.82985088153231901</v>
      </c>
    </row>
    <row r="233" spans="1:12" x14ac:dyDescent="0.15">
      <c r="C233" s="29">
        <v>2046</v>
      </c>
      <c r="D233" s="55">
        <f>SUMPRODUCT('Scenario Calculations'!E156:Y156,'Scenario Calculations'!E175:Y175)</f>
        <v>0.68846346267735747</v>
      </c>
      <c r="E233" s="55">
        <f>INDEX('Scenario Calculations'!$E$175:$Y$175,1,'Scenario Calculations'!D197+1)</f>
        <v>0.58369185749176544</v>
      </c>
      <c r="F233" s="55">
        <f>INDEX('Scenario Calculations'!$E$175:$Y$175,1,'Scenario Calculations'!E197+1)</f>
        <v>0.58369185749176544</v>
      </c>
      <c r="G233" s="55">
        <f>INDEX('Scenario Calculations'!$E$175:$Y$175,1,'Scenario Calculations'!F197+1)</f>
        <v>0.82985088153231901</v>
      </c>
      <c r="H233" s="55">
        <f>INDEX('Scenario Calculations'!$E$175:$Y$175,1,'Scenario Calculations'!G197+1)</f>
        <v>0.82985088153231901</v>
      </c>
    </row>
    <row r="234" spans="1:12" x14ac:dyDescent="0.15">
      <c r="C234" s="29">
        <v>2047</v>
      </c>
      <c r="D234" s="55">
        <f>SUMPRODUCT('Scenario Calculations'!E157:Y157,'Scenario Calculations'!E175:Y175)</f>
        <v>0.69412978218385424</v>
      </c>
      <c r="E234" s="55">
        <f>INDEX('Scenario Calculations'!$E$175:$Y$175,1,'Scenario Calculations'!D198+1)</f>
        <v>0.58369185749176544</v>
      </c>
      <c r="F234" s="55">
        <f>INDEX('Scenario Calculations'!$E$175:$Y$175,1,'Scenario Calculations'!E198+1)</f>
        <v>0.58369185749176544</v>
      </c>
      <c r="G234" s="55">
        <f>INDEX('Scenario Calculations'!$E$175:$Y$175,1,'Scenario Calculations'!F198+1)</f>
        <v>0.82985088153231901</v>
      </c>
      <c r="H234" s="55">
        <f>INDEX('Scenario Calculations'!$E$175:$Y$175,1,'Scenario Calculations'!G198+1)</f>
        <v>0.82985088153231901</v>
      </c>
    </row>
    <row r="235" spans="1:12" x14ac:dyDescent="0.15">
      <c r="C235" s="29">
        <v>2048</v>
      </c>
      <c r="D235" s="55">
        <f>SUMPRODUCT('Scenario Calculations'!E158:Y158,'Scenario Calculations'!E175:Y175)</f>
        <v>0.69970085516001268</v>
      </c>
      <c r="E235" s="55">
        <f>INDEX('Scenario Calculations'!$E$175:$Y$175,1,'Scenario Calculations'!D199+1)</f>
        <v>0.58369185749176544</v>
      </c>
      <c r="F235" s="55">
        <f>INDEX('Scenario Calculations'!$E$175:$Y$175,1,'Scenario Calculations'!E199+1)</f>
        <v>0.58369185749176544</v>
      </c>
      <c r="G235" s="55">
        <f>INDEX('Scenario Calculations'!$E$175:$Y$175,1,'Scenario Calculations'!F199+1)</f>
        <v>0.82985088153231901</v>
      </c>
      <c r="H235" s="55">
        <f>INDEX('Scenario Calculations'!$E$175:$Y$175,1,'Scenario Calculations'!G199+1)</f>
        <v>0.94433840229977883</v>
      </c>
    </row>
    <row r="236" spans="1:12" x14ac:dyDescent="0.15">
      <c r="C236" s="29">
        <v>2049</v>
      </c>
      <c r="D236" s="55">
        <f>SUMPRODUCT('Scenario Calculations'!E159:Y159,'Scenario Calculations'!E175:Y175)</f>
        <v>0.7051780473207252</v>
      </c>
      <c r="E236" s="55">
        <f>INDEX('Scenario Calculations'!$E$175:$Y$175,1,'Scenario Calculations'!D200+1)</f>
        <v>0.58369185749176544</v>
      </c>
      <c r="F236" s="55">
        <f>INDEX('Scenario Calculations'!$E$175:$Y$175,1,'Scenario Calculations'!E200+1)</f>
        <v>0.58369185749176544</v>
      </c>
      <c r="G236" s="55">
        <f>INDEX('Scenario Calculations'!$E$175:$Y$175,1,'Scenario Calculations'!F200+1)</f>
        <v>0.82985088153231901</v>
      </c>
      <c r="H236" s="55">
        <f>INDEX('Scenario Calculations'!$E$175:$Y$175,1,'Scenario Calculations'!G200+1)</f>
        <v>0.94433840229977883</v>
      </c>
    </row>
    <row r="237" spans="1:12" x14ac:dyDescent="0.15">
      <c r="C237" s="29">
        <v>2050</v>
      </c>
      <c r="D237" s="55">
        <f>SUMPRODUCT('Scenario Calculations'!E160:Y160,'Scenario Calculations'!E175:Y175)</f>
        <v>0.71056271242836899</v>
      </c>
      <c r="E237" s="55">
        <f>INDEX('Scenario Calculations'!$E$175:$Y$175,1,'Scenario Calculations'!D201+1)</f>
        <v>0.58369185749176544</v>
      </c>
      <c r="F237" s="55">
        <f>INDEX('Scenario Calculations'!$E$175:$Y$175,1,'Scenario Calculations'!E201+1)</f>
        <v>0.58369185749176544</v>
      </c>
      <c r="G237" s="55">
        <f>INDEX('Scenario Calculations'!$E$175:$Y$175,1,'Scenario Calculations'!F201+1)</f>
        <v>0.82985088153231901</v>
      </c>
      <c r="H237" s="55">
        <f>INDEX('Scenario Calculations'!$E$175:$Y$175,1,'Scenario Calculations'!G201+1)</f>
        <v>0.94433840229977883</v>
      </c>
    </row>
    <row r="239" spans="1:12" x14ac:dyDescent="0.15">
      <c r="A239" s="29" t="s">
        <v>2</v>
      </c>
      <c r="C239" s="71" t="s">
        <v>106</v>
      </c>
    </row>
    <row r="240" spans="1:12" ht="16" x14ac:dyDescent="0.3">
      <c r="C240" s="74" t="s">
        <v>95</v>
      </c>
      <c r="D240" s="74" t="s">
        <v>191</v>
      </c>
      <c r="E240" s="74" t="s">
        <v>192</v>
      </c>
      <c r="F240" s="74" t="s">
        <v>193</v>
      </c>
      <c r="G240" s="74" t="s">
        <v>194</v>
      </c>
      <c r="H240" s="74" t="s">
        <v>195</v>
      </c>
      <c r="I240" s="74" t="s">
        <v>196</v>
      </c>
      <c r="J240" s="74" t="s">
        <v>197</v>
      </c>
      <c r="K240" s="74" t="s">
        <v>198</v>
      </c>
      <c r="L240" s="74" t="s">
        <v>199</v>
      </c>
    </row>
    <row r="241" spans="3:12" x14ac:dyDescent="0.15">
      <c r="C241" s="29">
        <v>2023</v>
      </c>
      <c r="D241" s="89">
        <f>'Scenario Calculations'!K73</f>
        <v>0</v>
      </c>
      <c r="E241" s="89">
        <f>0</f>
        <v>0</v>
      </c>
      <c r="F241" s="75">
        <f>'Scenario Calculations'!K73</f>
        <v>0</v>
      </c>
      <c r="G241" s="89">
        <f>'Scenario Calculations'!K89</f>
        <v>0</v>
      </c>
      <c r="H241" s="89">
        <f>0</f>
        <v>0</v>
      </c>
      <c r="I241" s="75">
        <f>'Scenario Calculations'!K89</f>
        <v>0</v>
      </c>
      <c r="J241" s="89">
        <f>'Scenario Calculations'!K121</f>
        <v>0</v>
      </c>
      <c r="K241" s="89">
        <f>0</f>
        <v>0</v>
      </c>
      <c r="L241" s="75">
        <f>'Scenario Calculations'!K121</f>
        <v>0</v>
      </c>
    </row>
    <row r="242" spans="3:12" x14ac:dyDescent="0.15">
      <c r="C242" s="29">
        <v>2024</v>
      </c>
      <c r="D242" s="89">
        <f>'Scenario Calculations'!K74</f>
        <v>4.08541082337599E-2</v>
      </c>
      <c r="E242" s="89">
        <f>0</f>
        <v>0</v>
      </c>
      <c r="F242" s="75">
        <f>'Scenario Calculations'!K74</f>
        <v>4.08541082337599E-2</v>
      </c>
      <c r="G242" s="89">
        <f>'Scenario Calculations'!K90</f>
        <v>4.08541082337599E-2</v>
      </c>
      <c r="H242" s="89">
        <f>0</f>
        <v>0</v>
      </c>
      <c r="I242" s="75">
        <f>'Scenario Calculations'!K90</f>
        <v>4.08541082337599E-2</v>
      </c>
      <c r="J242" s="89">
        <f>'Scenario Calculations'!K122</f>
        <v>4.08541082337599E-2</v>
      </c>
      <c r="K242" s="89">
        <f>0</f>
        <v>0</v>
      </c>
      <c r="L242" s="75">
        <f>'Scenario Calculations'!K122</f>
        <v>4.08541082337599E-2</v>
      </c>
    </row>
    <row r="243" spans="3:12" x14ac:dyDescent="0.15">
      <c r="C243" s="29">
        <v>2025</v>
      </c>
      <c r="D243" s="89">
        <f>'Scenario Calculations'!K75</f>
        <v>4.393348537154762E-2</v>
      </c>
      <c r="E243" s="89">
        <f>0</f>
        <v>0</v>
      </c>
      <c r="F243" s="75">
        <f>'Scenario Calculations'!K75</f>
        <v>4.393348537154762E-2</v>
      </c>
      <c r="G243" s="89">
        <f>'Scenario Calculations'!K91</f>
        <v>4.393348537154762E-2</v>
      </c>
      <c r="H243" s="89">
        <f>0</f>
        <v>0</v>
      </c>
      <c r="I243" s="75">
        <f>'Scenario Calculations'!K91</f>
        <v>4.393348537154762E-2</v>
      </c>
      <c r="J243" s="89">
        <f>'Scenario Calculations'!K123</f>
        <v>4.393348537154762E-2</v>
      </c>
      <c r="K243" s="89">
        <f>0</f>
        <v>0</v>
      </c>
      <c r="L243" s="75">
        <f>'Scenario Calculations'!K123</f>
        <v>4.393348537154762E-2</v>
      </c>
    </row>
    <row r="244" spans="3:12" x14ac:dyDescent="0.15">
      <c r="C244" s="29">
        <v>2026</v>
      </c>
      <c r="D244" s="89">
        <f>'Scenario Calculations'!K76</f>
        <v>5.1404204942523402E-2</v>
      </c>
      <c r="E244" s="89">
        <f>0</f>
        <v>0</v>
      </c>
      <c r="F244" s="75">
        <f>'Scenario Calculations'!K76</f>
        <v>5.1404204942523402E-2</v>
      </c>
      <c r="G244" s="89">
        <f>'Scenario Calculations'!K92</f>
        <v>5.1404204942523402E-2</v>
      </c>
      <c r="H244" s="89">
        <f>0</f>
        <v>0</v>
      </c>
      <c r="I244" s="75">
        <f>'Scenario Calculations'!K92</f>
        <v>5.1404204942523402E-2</v>
      </c>
      <c r="J244" s="89">
        <f>'Scenario Calculations'!K124</f>
        <v>5.1404204942523402E-2</v>
      </c>
      <c r="K244" s="89">
        <f>0</f>
        <v>0</v>
      </c>
      <c r="L244" s="75">
        <f>'Scenario Calculations'!K124</f>
        <v>5.1404204942523402E-2</v>
      </c>
    </row>
    <row r="245" spans="3:12" x14ac:dyDescent="0.15">
      <c r="C245" s="29">
        <v>2027</v>
      </c>
      <c r="D245" s="89">
        <f>'Scenario Calculations'!K77</f>
        <v>6.4986888741632942E-2</v>
      </c>
      <c r="E245" s="89">
        <f>0</f>
        <v>0</v>
      </c>
      <c r="F245" s="75">
        <f>'Scenario Calculations'!K77</f>
        <v>6.4986888741632942E-2</v>
      </c>
      <c r="G245" s="89">
        <f>'Scenario Calculations'!K93</f>
        <v>6.4986888741632942E-2</v>
      </c>
      <c r="H245" s="89">
        <f>0</f>
        <v>0</v>
      </c>
      <c r="I245" s="75">
        <f>'Scenario Calculations'!K93</f>
        <v>6.4986888741632942E-2</v>
      </c>
      <c r="J245" s="89">
        <f>'Scenario Calculations'!K125</f>
        <v>6.4986888741632942E-2</v>
      </c>
      <c r="K245" s="89">
        <f>0</f>
        <v>0</v>
      </c>
      <c r="L245" s="75">
        <f>'Scenario Calculations'!K125</f>
        <v>6.4986888741632942E-2</v>
      </c>
    </row>
    <row r="246" spans="3:12" x14ac:dyDescent="0.15">
      <c r="C246" s="29">
        <v>2028</v>
      </c>
      <c r="D246" s="89">
        <f>'Scenario Calculations'!K78</f>
        <v>7.843665145505474E-2</v>
      </c>
      <c r="E246" s="89">
        <f>0</f>
        <v>0</v>
      </c>
      <c r="F246" s="75">
        <f>'Scenario Calculations'!K78</f>
        <v>7.843665145505474E-2</v>
      </c>
      <c r="G246" s="89">
        <f>'Scenario Calculations'!K94</f>
        <v>7.843665145505474E-2</v>
      </c>
      <c r="H246" s="89">
        <f>0</f>
        <v>0</v>
      </c>
      <c r="I246" s="75">
        <f>'Scenario Calculations'!K94</f>
        <v>7.843665145505474E-2</v>
      </c>
      <c r="J246" s="89">
        <f>'Scenario Calculations'!K126</f>
        <v>7.843665145505474E-2</v>
      </c>
      <c r="K246" s="89">
        <f>0</f>
        <v>0</v>
      </c>
      <c r="L246" s="75">
        <f>'Scenario Calculations'!K126</f>
        <v>7.843665145505474E-2</v>
      </c>
    </row>
    <row r="247" spans="3:12" x14ac:dyDescent="0.15">
      <c r="C247" s="29">
        <v>2029</v>
      </c>
      <c r="D247" s="89">
        <f>'Scenario Calculations'!K79</f>
        <v>9.066996077286138E-2</v>
      </c>
      <c r="E247" s="89">
        <f>0</f>
        <v>0</v>
      </c>
      <c r="F247" s="75">
        <f>'Scenario Calculations'!K79</f>
        <v>9.066996077286138E-2</v>
      </c>
      <c r="G247" s="89">
        <f>'Scenario Calculations'!K95</f>
        <v>0.2491670116158744</v>
      </c>
      <c r="H247" s="89">
        <f>0</f>
        <v>0</v>
      </c>
      <c r="I247" s="75">
        <f>'Scenario Calculations'!K95</f>
        <v>0.2491670116158744</v>
      </c>
      <c r="J247" s="89">
        <f>'Scenario Calculations'!K127</f>
        <v>0.2491670116158744</v>
      </c>
      <c r="K247" s="89">
        <f>0</f>
        <v>0</v>
      </c>
      <c r="L247" s="75">
        <f>'Scenario Calculations'!K127</f>
        <v>0.2491670116158744</v>
      </c>
    </row>
    <row r="248" spans="3:12" x14ac:dyDescent="0.15">
      <c r="C248" s="29">
        <v>2030</v>
      </c>
      <c r="D248" s="75">
        <f t="shared" ref="D248:D268" si="1">E95</f>
        <v>8.0555928173807745E-2</v>
      </c>
      <c r="E248" s="75">
        <f t="shared" ref="E248:E268" si="2">H95-E95</f>
        <v>0</v>
      </c>
      <c r="F248" s="75">
        <f t="shared" ref="F248:F268" si="3">D95</f>
        <v>8.0555928173807745E-2</v>
      </c>
      <c r="G248" s="75">
        <f t="shared" ref="G248:G268" si="4">E144</f>
        <v>0.35865665396060153</v>
      </c>
      <c r="H248" s="75">
        <f t="shared" ref="H248:H268" si="5">H144-E144</f>
        <v>0</v>
      </c>
      <c r="I248" s="75">
        <f t="shared" ref="I248:I268" si="6">D144</f>
        <v>0.35865665396060153</v>
      </c>
      <c r="J248" s="75">
        <f t="shared" ref="J248:J268" si="7">E193</f>
        <v>1.3260514546092779</v>
      </c>
      <c r="K248" s="75">
        <f t="shared" ref="K248:K268" si="8">H193-E193</f>
        <v>0</v>
      </c>
      <c r="L248" s="75">
        <f t="shared" ref="L248:L268" si="9">D193</f>
        <v>1.3260514546092779</v>
      </c>
    </row>
    <row r="249" spans="3:12" x14ac:dyDescent="0.15">
      <c r="C249" s="29">
        <v>2031</v>
      </c>
      <c r="D249" s="75">
        <f t="shared" si="1"/>
        <v>8.0555928173807745E-2</v>
      </c>
      <c r="E249" s="75">
        <f t="shared" si="2"/>
        <v>0</v>
      </c>
      <c r="F249" s="75">
        <f t="shared" si="3"/>
        <v>8.8898949947411543E-2</v>
      </c>
      <c r="G249" s="75">
        <f t="shared" si="4"/>
        <v>0.35865665396060153</v>
      </c>
      <c r="H249" s="75">
        <f t="shared" si="5"/>
        <v>0</v>
      </c>
      <c r="I249" s="75">
        <f t="shared" si="6"/>
        <v>0.38767849798006182</v>
      </c>
      <c r="J249" s="75">
        <f t="shared" si="7"/>
        <v>1.3260514546092779</v>
      </c>
      <c r="K249" s="75">
        <f t="shared" si="8"/>
        <v>0</v>
      </c>
      <c r="L249" s="75">
        <f t="shared" si="9"/>
        <v>1.4270061749906509</v>
      </c>
    </row>
    <row r="250" spans="3:12" x14ac:dyDescent="0.15">
      <c r="C250" s="29">
        <v>2032</v>
      </c>
      <c r="D250" s="75">
        <f t="shared" si="1"/>
        <v>8.0555928173807745E-2</v>
      </c>
      <c r="E250" s="75">
        <f t="shared" si="2"/>
        <v>0</v>
      </c>
      <c r="F250" s="75">
        <f t="shared" si="3"/>
        <v>9.7862336388391036E-2</v>
      </c>
      <c r="G250" s="75">
        <f t="shared" si="4"/>
        <v>0.35865665396060153</v>
      </c>
      <c r="H250" s="75">
        <f t="shared" si="5"/>
        <v>0</v>
      </c>
      <c r="I250" s="75">
        <f t="shared" si="6"/>
        <v>0.41885832829037972</v>
      </c>
      <c r="J250" s="75">
        <f t="shared" si="7"/>
        <v>1.3260514546092779</v>
      </c>
      <c r="K250" s="75">
        <f t="shared" si="8"/>
        <v>0</v>
      </c>
      <c r="L250" s="75">
        <f t="shared" si="9"/>
        <v>1.5354676169447217</v>
      </c>
    </row>
    <row r="251" spans="3:12" x14ac:dyDescent="0.15">
      <c r="C251" s="29">
        <v>2033</v>
      </c>
      <c r="D251" s="75">
        <f t="shared" si="1"/>
        <v>8.0555928173807745E-2</v>
      </c>
      <c r="E251" s="75">
        <f t="shared" si="2"/>
        <v>0</v>
      </c>
      <c r="F251" s="75">
        <f t="shared" si="3"/>
        <v>0.10749221614545057</v>
      </c>
      <c r="G251" s="75">
        <f t="shared" si="4"/>
        <v>0.35865665396060153</v>
      </c>
      <c r="H251" s="75">
        <f t="shared" si="5"/>
        <v>0</v>
      </c>
      <c r="I251" s="75">
        <f t="shared" si="6"/>
        <v>0.45235660695000979</v>
      </c>
      <c r="J251" s="75">
        <f t="shared" si="7"/>
        <v>1.3260514546092779</v>
      </c>
      <c r="K251" s="75">
        <f t="shared" si="8"/>
        <v>0</v>
      </c>
      <c r="L251" s="75">
        <f t="shared" si="9"/>
        <v>1.6519939601044693</v>
      </c>
    </row>
    <row r="252" spans="3:12" x14ac:dyDescent="0.15">
      <c r="C252" s="29">
        <v>2034</v>
      </c>
      <c r="D252" s="75">
        <f t="shared" si="1"/>
        <v>8.0555928173807745E-2</v>
      </c>
      <c r="E252" s="75">
        <f t="shared" si="2"/>
        <v>0.27810072578679379</v>
      </c>
      <c r="F252" s="75">
        <f t="shared" si="3"/>
        <v>0.11783814786958735</v>
      </c>
      <c r="G252" s="75">
        <f t="shared" si="4"/>
        <v>0.35865665396060153</v>
      </c>
      <c r="H252" s="75">
        <f t="shared" si="5"/>
        <v>0.96739480064867633</v>
      </c>
      <c r="I252" s="75">
        <f t="shared" si="6"/>
        <v>0.48834572754464345</v>
      </c>
      <c r="J252" s="75">
        <f t="shared" si="7"/>
        <v>1.3260514546092779</v>
      </c>
      <c r="K252" s="75">
        <f t="shared" si="8"/>
        <v>3.3651573460457787</v>
      </c>
      <c r="L252" s="75">
        <f t="shared" si="9"/>
        <v>1.7771848888396162</v>
      </c>
    </row>
    <row r="253" spans="3:12" x14ac:dyDescent="0.15">
      <c r="C253" s="29">
        <v>2035</v>
      </c>
      <c r="D253" s="75">
        <f t="shared" si="1"/>
        <v>8.0555928173807745E-2</v>
      </c>
      <c r="E253" s="75">
        <f t="shared" si="2"/>
        <v>0.27810072578679379</v>
      </c>
      <c r="F253" s="75">
        <f t="shared" si="3"/>
        <v>0.12895337525983908</v>
      </c>
      <c r="G253" s="75">
        <f t="shared" si="4"/>
        <v>0.35865665396060153</v>
      </c>
      <c r="H253" s="75">
        <f t="shared" si="5"/>
        <v>0.96739480064867633</v>
      </c>
      <c r="I253" s="75">
        <f t="shared" si="6"/>
        <v>0.5270109023834928</v>
      </c>
      <c r="J253" s="75">
        <f t="shared" si="7"/>
        <v>1.3260514546092779</v>
      </c>
      <c r="K253" s="75">
        <f t="shared" si="8"/>
        <v>3.3651573460457787</v>
      </c>
      <c r="L253" s="75">
        <f t="shared" si="9"/>
        <v>1.9116846784372554</v>
      </c>
    </row>
    <row r="254" spans="3:12" x14ac:dyDescent="0.15">
      <c r="C254" s="29">
        <v>2036</v>
      </c>
      <c r="D254" s="75">
        <f t="shared" si="1"/>
        <v>8.0555928173807745E-2</v>
      </c>
      <c r="E254" s="75">
        <f t="shared" si="2"/>
        <v>0.27810072578679379</v>
      </c>
      <c r="F254" s="75">
        <f t="shared" si="3"/>
        <v>0.14089510107354863</v>
      </c>
      <c r="G254" s="75">
        <f t="shared" si="4"/>
        <v>0.35865665396060153</v>
      </c>
      <c r="H254" s="75">
        <f t="shared" si="5"/>
        <v>0.96739480064867633</v>
      </c>
      <c r="I254" s="75">
        <f t="shared" si="6"/>
        <v>0.56855111566510552</v>
      </c>
      <c r="J254" s="75">
        <f t="shared" si="7"/>
        <v>1.3260514546092779</v>
      </c>
      <c r="K254" s="75">
        <f t="shared" si="8"/>
        <v>3.3651573460457787</v>
      </c>
      <c r="L254" s="75">
        <f t="shared" si="9"/>
        <v>2.056185510762583</v>
      </c>
    </row>
    <row r="255" spans="3:12" x14ac:dyDescent="0.15">
      <c r="C255" s="29">
        <v>2037</v>
      </c>
      <c r="D255" s="75">
        <f t="shared" si="1"/>
        <v>8.0555928173807745E-2</v>
      </c>
      <c r="E255" s="75">
        <f t="shared" si="2"/>
        <v>0.27810072578679379</v>
      </c>
      <c r="F255" s="75">
        <f t="shared" si="3"/>
        <v>0.15372478151129543</v>
      </c>
      <c r="G255" s="75">
        <f t="shared" si="4"/>
        <v>0.35865665396060153</v>
      </c>
      <c r="H255" s="75">
        <f t="shared" si="5"/>
        <v>0.96739480064867633</v>
      </c>
      <c r="I255" s="75">
        <f t="shared" si="6"/>
        <v>0.61318014751802985</v>
      </c>
      <c r="J255" s="75">
        <f t="shared" si="7"/>
        <v>1.3260514546092779</v>
      </c>
      <c r="K255" s="75">
        <f t="shared" si="8"/>
        <v>3.3651573460457787</v>
      </c>
      <c r="L255" s="75">
        <f t="shared" si="9"/>
        <v>2.2114310364632335</v>
      </c>
    </row>
    <row r="256" spans="3:12" x14ac:dyDescent="0.15">
      <c r="C256" s="29">
        <v>2038</v>
      </c>
      <c r="D256" s="75">
        <f t="shared" si="1"/>
        <v>8.0555928173807745E-2</v>
      </c>
      <c r="E256" s="75">
        <f t="shared" si="2"/>
        <v>0.27810072578679379</v>
      </c>
      <c r="F256" s="75">
        <f t="shared" si="3"/>
        <v>0.16750844249149743</v>
      </c>
      <c r="G256" s="75">
        <f t="shared" si="4"/>
        <v>0.35865665396060153</v>
      </c>
      <c r="H256" s="75">
        <f t="shared" si="5"/>
        <v>0.96739480064867633</v>
      </c>
      <c r="I256" s="75">
        <f t="shared" si="6"/>
        <v>0.66112767418638585</v>
      </c>
      <c r="J256" s="75">
        <f t="shared" si="7"/>
        <v>1.3260514546092779</v>
      </c>
      <c r="K256" s="75">
        <f t="shared" si="8"/>
        <v>3.3651573460457787</v>
      </c>
      <c r="L256" s="75">
        <f t="shared" si="9"/>
        <v>2.3782202020495609</v>
      </c>
    </row>
    <row r="257" spans="1:13" x14ac:dyDescent="0.15">
      <c r="C257" s="29">
        <v>2039</v>
      </c>
      <c r="D257" s="75">
        <f t="shared" si="1"/>
        <v>8.0555928173807745E-2</v>
      </c>
      <c r="E257" s="75">
        <f t="shared" si="2"/>
        <v>0.27810072578679379</v>
      </c>
      <c r="F257" s="75">
        <f t="shared" si="3"/>
        <v>0.18231701944234424</v>
      </c>
      <c r="G257" s="75">
        <f t="shared" si="4"/>
        <v>0.35865665396060153</v>
      </c>
      <c r="H257" s="75">
        <f t="shared" si="5"/>
        <v>0.96739480064867633</v>
      </c>
      <c r="I257" s="75">
        <f t="shared" si="6"/>
        <v>0.71264045002228138</v>
      </c>
      <c r="J257" s="75">
        <f t="shared" si="7"/>
        <v>1.3260514546092779</v>
      </c>
      <c r="K257" s="75">
        <f t="shared" si="8"/>
        <v>3.3651573460457787</v>
      </c>
      <c r="L257" s="75">
        <f t="shared" si="9"/>
        <v>2.5574113615463192</v>
      </c>
    </row>
    <row r="258" spans="1:13" x14ac:dyDescent="0.15">
      <c r="C258" s="29">
        <v>2040</v>
      </c>
      <c r="D258" s="75">
        <f t="shared" si="1"/>
        <v>8.0555928173807745E-2</v>
      </c>
      <c r="E258" s="75">
        <f t="shared" si="2"/>
        <v>0.27810072578679379</v>
      </c>
      <c r="F258" s="75">
        <f t="shared" si="3"/>
        <v>0.19822672235974204</v>
      </c>
      <c r="G258" s="75">
        <f t="shared" si="4"/>
        <v>0.35865665396060153</v>
      </c>
      <c r="H258" s="75">
        <f t="shared" si="5"/>
        <v>0.96739480064867633</v>
      </c>
      <c r="I258" s="75">
        <f t="shared" si="6"/>
        <v>0.76798357736800238</v>
      </c>
      <c r="J258" s="75">
        <f t="shared" si="7"/>
        <v>1.3260514546092779</v>
      </c>
      <c r="K258" s="75">
        <f t="shared" si="8"/>
        <v>3.3651573460457787</v>
      </c>
      <c r="L258" s="75">
        <f t="shared" si="9"/>
        <v>2.7499266938757052</v>
      </c>
    </row>
    <row r="259" spans="1:13" x14ac:dyDescent="0.15">
      <c r="C259" s="29">
        <v>2041</v>
      </c>
      <c r="D259" s="75">
        <f t="shared" si="1"/>
        <v>8.0555928173807745E-2</v>
      </c>
      <c r="E259" s="75">
        <f t="shared" si="2"/>
        <v>0.27810072578679379</v>
      </c>
      <c r="F259" s="75">
        <f t="shared" si="3"/>
        <v>0.21531942800998993</v>
      </c>
      <c r="G259" s="75">
        <f t="shared" si="4"/>
        <v>0.35865665396060153</v>
      </c>
      <c r="H259" s="75">
        <f t="shared" si="5"/>
        <v>0.96739480064867633</v>
      </c>
      <c r="I259" s="75">
        <f t="shared" si="6"/>
        <v>0.8274418708632334</v>
      </c>
      <c r="J259" s="75">
        <f t="shared" si="7"/>
        <v>1.3260514546092779</v>
      </c>
      <c r="K259" s="75">
        <f t="shared" si="8"/>
        <v>3.3651573460457787</v>
      </c>
      <c r="L259" s="75">
        <f t="shared" si="9"/>
        <v>2.9567569487051273</v>
      </c>
    </row>
    <row r="260" spans="1:13" x14ac:dyDescent="0.15">
      <c r="C260" s="29">
        <v>2042</v>
      </c>
      <c r="D260" s="75">
        <f t="shared" si="1"/>
        <v>8.0555928173807745E-2</v>
      </c>
      <c r="E260" s="75">
        <f t="shared" si="2"/>
        <v>0.27810072578679379</v>
      </c>
      <c r="F260" s="75">
        <f t="shared" si="3"/>
        <v>0.23368310129558734</v>
      </c>
      <c r="G260" s="75">
        <f t="shared" si="4"/>
        <v>0.35865665396060153</v>
      </c>
      <c r="H260" s="75">
        <f t="shared" si="5"/>
        <v>0.96739480064867633</v>
      </c>
      <c r="I260" s="75">
        <f t="shared" si="6"/>
        <v>0.89132132319849022</v>
      </c>
      <c r="J260" s="75">
        <f t="shared" si="7"/>
        <v>1.3260514546092779</v>
      </c>
      <c r="K260" s="75">
        <f t="shared" si="8"/>
        <v>3.3651573460457787</v>
      </c>
      <c r="L260" s="75">
        <f t="shared" si="9"/>
        <v>3.1789665451834503</v>
      </c>
    </row>
    <row r="261" spans="1:13" x14ac:dyDescent="0.15">
      <c r="C261" s="29">
        <v>2043</v>
      </c>
      <c r="D261" s="75">
        <f t="shared" si="1"/>
        <v>8.0555928173807745E-2</v>
      </c>
      <c r="E261" s="75">
        <f t="shared" si="2"/>
        <v>0.27810072578679379</v>
      </c>
      <c r="F261" s="75">
        <f t="shared" si="3"/>
        <v>0.25341224795267436</v>
      </c>
      <c r="G261" s="75">
        <f t="shared" si="4"/>
        <v>0.35865665396060153</v>
      </c>
      <c r="H261" s="75">
        <f t="shared" si="5"/>
        <v>0.96739480064867633</v>
      </c>
      <c r="I261" s="75">
        <f t="shared" si="6"/>
        <v>0.95995067985803884</v>
      </c>
      <c r="J261" s="75">
        <f t="shared" si="7"/>
        <v>1.3260514546092779</v>
      </c>
      <c r="K261" s="75">
        <f t="shared" si="8"/>
        <v>3.3651573460457787</v>
      </c>
      <c r="L261" s="75">
        <f t="shared" si="9"/>
        <v>3.4176990498055728</v>
      </c>
    </row>
    <row r="262" spans="1:13" x14ac:dyDescent="0.15">
      <c r="C262" s="29">
        <v>2044</v>
      </c>
      <c r="D262" s="75">
        <f t="shared" si="1"/>
        <v>8.0555928173807745E-2</v>
      </c>
      <c r="E262" s="75">
        <f t="shared" si="2"/>
        <v>0.27810072578679379</v>
      </c>
      <c r="F262" s="75">
        <f t="shared" si="3"/>
        <v>0.27460840090983529</v>
      </c>
      <c r="G262" s="75">
        <f t="shared" si="4"/>
        <v>0.35865665396060153</v>
      </c>
      <c r="H262" s="75">
        <f t="shared" si="5"/>
        <v>0.96739480064867633</v>
      </c>
      <c r="I262" s="75">
        <f t="shared" si="6"/>
        <v>1.0336831309564647</v>
      </c>
      <c r="J262" s="75">
        <f t="shared" si="7"/>
        <v>1.3260514546092779</v>
      </c>
      <c r="K262" s="75">
        <f t="shared" si="8"/>
        <v>3.3651573460457787</v>
      </c>
      <c r="L262" s="75">
        <f t="shared" si="9"/>
        <v>3.6741830615962652</v>
      </c>
    </row>
    <row r="263" spans="1:13" x14ac:dyDescent="0.15">
      <c r="C263" s="29">
        <v>2045</v>
      </c>
      <c r="D263" s="75">
        <f t="shared" si="1"/>
        <v>8.0555928173807745E-2</v>
      </c>
      <c r="E263" s="75">
        <f t="shared" si="2"/>
        <v>0.27810072578679379</v>
      </c>
      <c r="F263" s="75">
        <f t="shared" si="3"/>
        <v>0.29738064281123422</v>
      </c>
      <c r="G263" s="75">
        <f t="shared" si="4"/>
        <v>0.35865665396060153</v>
      </c>
      <c r="H263" s="75">
        <f t="shared" si="5"/>
        <v>0.96739480064867633</v>
      </c>
      <c r="I263" s="75">
        <f t="shared" si="6"/>
        <v>1.112898128875659</v>
      </c>
      <c r="J263" s="75">
        <f t="shared" si="7"/>
        <v>1.3260514546092779</v>
      </c>
      <c r="K263" s="75">
        <f t="shared" si="8"/>
        <v>3.3651573460457787</v>
      </c>
      <c r="L263" s="75">
        <f t="shared" si="9"/>
        <v>3.9497385349004732</v>
      </c>
    </row>
    <row r="264" spans="1:13" x14ac:dyDescent="0.15">
      <c r="C264" s="29">
        <v>2046</v>
      </c>
      <c r="D264" s="75">
        <f t="shared" si="1"/>
        <v>8.0555928173807745E-2</v>
      </c>
      <c r="E264" s="75">
        <f t="shared" si="2"/>
        <v>0.27810072578679379</v>
      </c>
      <c r="F264" s="75">
        <f t="shared" si="3"/>
        <v>0.32184616739316696</v>
      </c>
      <c r="G264" s="75">
        <f t="shared" si="4"/>
        <v>0.35865665396060153</v>
      </c>
      <c r="H264" s="75">
        <f t="shared" si="5"/>
        <v>0.96739480064867633</v>
      </c>
      <c r="I264" s="75">
        <f t="shared" si="6"/>
        <v>1.1980033410564035</v>
      </c>
      <c r="J264" s="75">
        <f t="shared" si="7"/>
        <v>1.3260514546092779</v>
      </c>
      <c r="K264" s="75">
        <f t="shared" si="8"/>
        <v>3.3651573460457787</v>
      </c>
      <c r="L264" s="75">
        <f t="shared" si="9"/>
        <v>4.2457835723193007</v>
      </c>
    </row>
    <row r="265" spans="1:13" x14ac:dyDescent="0.15">
      <c r="C265" s="29">
        <v>2047</v>
      </c>
      <c r="D265" s="75">
        <f t="shared" si="1"/>
        <v>8.0555928173807745E-2</v>
      </c>
      <c r="E265" s="75">
        <f t="shared" si="2"/>
        <v>0.27810072578679379</v>
      </c>
      <c r="F265" s="75">
        <f t="shared" si="3"/>
        <v>0.34813088260306402</v>
      </c>
      <c r="G265" s="75">
        <f t="shared" si="4"/>
        <v>0.35865665396060153</v>
      </c>
      <c r="H265" s="75">
        <f t="shared" si="5"/>
        <v>0.96739480064867633</v>
      </c>
      <c r="I265" s="75">
        <f t="shared" si="6"/>
        <v>1.2894367479942903</v>
      </c>
      <c r="J265" s="75">
        <f t="shared" si="7"/>
        <v>1.3260514546092779</v>
      </c>
      <c r="K265" s="75">
        <f t="shared" si="8"/>
        <v>3.3651573460457787</v>
      </c>
      <c r="L265" s="75">
        <f t="shared" si="9"/>
        <v>4.5638417227504444</v>
      </c>
    </row>
    <row r="266" spans="1:13" x14ac:dyDescent="0.15">
      <c r="C266" s="29">
        <v>2048</v>
      </c>
      <c r="D266" s="75">
        <f t="shared" si="1"/>
        <v>8.0555928173807745E-2</v>
      </c>
      <c r="E266" s="75">
        <f t="shared" si="2"/>
        <v>1.2454955264354701</v>
      </c>
      <c r="F266" s="75">
        <f t="shared" si="3"/>
        <v>0.37637005856480088</v>
      </c>
      <c r="G266" s="75">
        <f t="shared" si="4"/>
        <v>0.35865665396060153</v>
      </c>
      <c r="H266" s="75">
        <f t="shared" si="5"/>
        <v>4.3325521466944554</v>
      </c>
      <c r="I266" s="75">
        <f t="shared" si="6"/>
        <v>1.3876688972369751</v>
      </c>
      <c r="J266" s="75">
        <f t="shared" si="7"/>
        <v>1.3260514546092779</v>
      </c>
      <c r="K266" s="75">
        <f t="shared" si="8"/>
        <v>15.071116439533242</v>
      </c>
      <c r="L266" s="75">
        <f t="shared" si="9"/>
        <v>4.9055498220913014</v>
      </c>
    </row>
    <row r="267" spans="1:13" x14ac:dyDescent="0.15">
      <c r="C267" s="29">
        <v>2049</v>
      </c>
      <c r="D267" s="75">
        <f t="shared" si="1"/>
        <v>8.0555928173807745E-2</v>
      </c>
      <c r="E267" s="75">
        <f t="shared" si="2"/>
        <v>1.2454955264354701</v>
      </c>
      <c r="F267" s="75">
        <f t="shared" si="3"/>
        <v>0.40670902372496598</v>
      </c>
      <c r="G267" s="75">
        <f t="shared" si="4"/>
        <v>0.35865665396060153</v>
      </c>
      <c r="H267" s="75">
        <f t="shared" si="5"/>
        <v>4.3325521466944554</v>
      </c>
      <c r="I267" s="75">
        <f t="shared" si="6"/>
        <v>1.4932053249826045</v>
      </c>
      <c r="J267" s="75">
        <f t="shared" si="7"/>
        <v>1.3260514546092779</v>
      </c>
      <c r="K267" s="75">
        <f t="shared" si="8"/>
        <v>15.071116439533242</v>
      </c>
      <c r="L267" s="75">
        <f t="shared" si="9"/>
        <v>5.2726664169556665</v>
      </c>
    </row>
    <row r="268" spans="1:13" x14ac:dyDescent="0.15">
      <c r="C268" s="29">
        <v>2050</v>
      </c>
      <c r="D268" s="75">
        <f t="shared" si="1"/>
        <v>8.0555928173807745E-2</v>
      </c>
      <c r="E268" s="75">
        <f t="shared" si="2"/>
        <v>1.2454955264354701</v>
      </c>
      <c r="F268" s="75">
        <f t="shared" si="3"/>
        <v>0.43930391276269543</v>
      </c>
      <c r="G268" s="75">
        <f t="shared" si="4"/>
        <v>0.35865665396060153</v>
      </c>
      <c r="H268" s="75">
        <f t="shared" si="5"/>
        <v>4.3325521466944554</v>
      </c>
      <c r="I268" s="75">
        <f t="shared" si="6"/>
        <v>1.6065891577417966</v>
      </c>
      <c r="J268" s="75">
        <f t="shared" si="7"/>
        <v>1.3260514546092779</v>
      </c>
      <c r="K268" s="75">
        <f t="shared" si="8"/>
        <v>15.071116439533242</v>
      </c>
      <c r="L268" s="75">
        <f t="shared" si="9"/>
        <v>5.6670808147553791</v>
      </c>
    </row>
    <row r="271" spans="1:13" x14ac:dyDescent="0.15">
      <c r="A271" s="29" t="s">
        <v>2</v>
      </c>
      <c r="C271" s="20" t="s">
        <v>200</v>
      </c>
      <c r="D271" s="20"/>
      <c r="E271" s="20"/>
      <c r="F271" s="20"/>
      <c r="G271" s="20"/>
      <c r="H271" s="20"/>
      <c r="I271" s="30"/>
      <c r="J271" s="30"/>
      <c r="K271" s="30"/>
      <c r="L271" s="30"/>
      <c r="M271" s="30"/>
    </row>
    <row r="272" spans="1:13" x14ac:dyDescent="0.15">
      <c r="C272" s="2" t="s">
        <v>201</v>
      </c>
    </row>
    <row r="273" spans="3:8" x14ac:dyDescent="0.15">
      <c r="C273" s="102" t="s">
        <v>264</v>
      </c>
    </row>
    <row r="275" spans="3:8" ht="34" x14ac:dyDescent="0.3">
      <c r="C275" s="15" t="s">
        <v>202</v>
      </c>
      <c r="D275" s="15" t="s">
        <v>144</v>
      </c>
      <c r="E275" s="15" t="s">
        <v>203</v>
      </c>
      <c r="F275" s="15" t="s">
        <v>147</v>
      </c>
      <c r="G275" s="15"/>
      <c r="H275" s="15"/>
    </row>
    <row r="276" spans="3:8" x14ac:dyDescent="0.15">
      <c r="C276" s="13" t="s">
        <v>204</v>
      </c>
      <c r="D276" s="103">
        <f>D302</f>
        <v>0.4025682922115118</v>
      </c>
      <c r="E276" s="103">
        <f>D352</f>
        <v>1.4787755043698727</v>
      </c>
      <c r="F276" s="104">
        <f>D402</f>
        <v>5.2223755529576135</v>
      </c>
      <c r="G276" s="10"/>
      <c r="H276" s="8"/>
    </row>
    <row r="277" spans="3:8" x14ac:dyDescent="0.15">
      <c r="C277" s="13" t="s">
        <v>205</v>
      </c>
      <c r="D277" s="103">
        <f>D115</f>
        <v>0.43930391276269543</v>
      </c>
      <c r="E277" s="103">
        <f>D164</f>
        <v>1.6065891577417966</v>
      </c>
      <c r="F277" s="104">
        <f>D213</f>
        <v>5.6670808147553791</v>
      </c>
      <c r="G277" s="10"/>
      <c r="H277" s="8"/>
    </row>
    <row r="280" spans="3:8" x14ac:dyDescent="0.15">
      <c r="C280" s="71" t="s">
        <v>206</v>
      </c>
    </row>
    <row r="281" spans="3:8" ht="16" x14ac:dyDescent="0.3">
      <c r="C281" s="74" t="s">
        <v>95</v>
      </c>
      <c r="D281" s="74" t="s">
        <v>181</v>
      </c>
      <c r="E281" s="74" t="s">
        <v>182</v>
      </c>
      <c r="F281" s="74" t="s">
        <v>183</v>
      </c>
      <c r="G281" s="74" t="s">
        <v>184</v>
      </c>
      <c r="H281" s="74" t="s">
        <v>185</v>
      </c>
    </row>
    <row r="282" spans="3:8" x14ac:dyDescent="0.15">
      <c r="C282" s="29">
        <v>2030</v>
      </c>
      <c r="D282" s="55">
        <v>9.7633106695506941E-2</v>
      </c>
      <c r="E282" s="55">
        <v>9.7633106695506941E-2</v>
      </c>
      <c r="F282" s="55">
        <v>9.7633106695506941E-2</v>
      </c>
      <c r="G282" s="55">
        <v>9.7633106695506941E-2</v>
      </c>
      <c r="H282" s="55">
        <v>9.7633106695506941E-2</v>
      </c>
    </row>
    <row r="283" spans="3:8" x14ac:dyDescent="0.15">
      <c r="C283" s="29">
        <v>2031</v>
      </c>
      <c r="D283" s="55">
        <v>9.727920291774203E-2</v>
      </c>
      <c r="E283" s="55">
        <v>9.2454903428015628E-2</v>
      </c>
      <c r="F283" s="55">
        <v>9.2454903428015628E-2</v>
      </c>
      <c r="G283" s="55">
        <v>9.2454903428015628E-2</v>
      </c>
      <c r="H283" s="55">
        <v>9.2454903428015628E-2</v>
      </c>
    </row>
    <row r="284" spans="3:8" x14ac:dyDescent="0.15">
      <c r="C284" s="29">
        <v>2032</v>
      </c>
      <c r="D284" s="55">
        <v>9.9892676005076134E-2</v>
      </c>
      <c r="E284" s="55">
        <v>8.8747041783993799E-2</v>
      </c>
      <c r="F284" s="55">
        <v>8.8747041783993799E-2</v>
      </c>
      <c r="G284" s="55">
        <v>8.8747041783993799E-2</v>
      </c>
      <c r="H284" s="55">
        <v>8.8747041783993799E-2</v>
      </c>
    </row>
    <row r="285" spans="3:8" x14ac:dyDescent="0.15">
      <c r="C285" s="29">
        <v>2033</v>
      </c>
      <c r="D285" s="55">
        <v>0.1048602428399464</v>
      </c>
      <c r="E285" s="55">
        <v>8.6142273407381356E-2</v>
      </c>
      <c r="F285" s="55">
        <v>8.6142273407381356E-2</v>
      </c>
      <c r="G285" s="55">
        <v>8.6142273407381356E-2</v>
      </c>
      <c r="H285" s="55">
        <v>8.6142273407381356E-2</v>
      </c>
    </row>
    <row r="286" spans="3:8" x14ac:dyDescent="0.15">
      <c r="C286" s="29">
        <v>2034</v>
      </c>
      <c r="D286" s="55">
        <v>0.11172026084267851</v>
      </c>
      <c r="E286" s="55">
        <v>8.4339629680922332E-2</v>
      </c>
      <c r="F286" s="55">
        <v>8.4339629680922332E-2</v>
      </c>
      <c r="G286" s="55">
        <v>8.4339629680922332E-2</v>
      </c>
      <c r="H286" s="55">
        <v>0.23463382524065327</v>
      </c>
    </row>
    <row r="287" spans="3:8" x14ac:dyDescent="0.15">
      <c r="C287" s="29">
        <v>2035</v>
      </c>
      <c r="D287" s="55">
        <v>0.12014845405099357</v>
      </c>
      <c r="E287" s="55">
        <v>8.3106018605555887E-2</v>
      </c>
      <c r="F287" s="55">
        <v>8.3106018605555887E-2</v>
      </c>
      <c r="G287" s="55">
        <v>8.3106018605555887E-2</v>
      </c>
      <c r="H287" s="55">
        <v>0.28717160508821643</v>
      </c>
    </row>
    <row r="288" spans="3:8" x14ac:dyDescent="0.15">
      <c r="C288" s="29">
        <v>2036</v>
      </c>
      <c r="D288" s="55">
        <v>0.12992953780844396</v>
      </c>
      <c r="E288" s="55">
        <v>8.226864275812476E-2</v>
      </c>
      <c r="F288" s="55">
        <v>8.226864275812476E-2</v>
      </c>
      <c r="G288" s="55">
        <v>8.226864275812476E-2</v>
      </c>
      <c r="H288" s="55">
        <v>0.31435791610503577</v>
      </c>
    </row>
    <row r="289" spans="3:8" x14ac:dyDescent="0.15">
      <c r="C289" s="29">
        <v>2037</v>
      </c>
      <c r="D289" s="55">
        <v>0.14093181170944125</v>
      </c>
      <c r="E289" s="55">
        <v>8.1703479177360483E-2</v>
      </c>
      <c r="F289" s="55">
        <v>8.1703479177360483E-2</v>
      </c>
      <c r="G289" s="55">
        <v>8.1703479177360483E-2</v>
      </c>
      <c r="H289" s="55">
        <v>0.33034527481558462</v>
      </c>
    </row>
    <row r="290" spans="3:8" x14ac:dyDescent="0.15">
      <c r="C290" s="29">
        <v>2038</v>
      </c>
      <c r="D290" s="55">
        <v>0.1530859192440597</v>
      </c>
      <c r="E290" s="55">
        <v>8.1323549675437284E-2</v>
      </c>
      <c r="F290" s="55">
        <v>8.1323549675437284E-2</v>
      </c>
      <c r="G290" s="55">
        <v>8.1323549675437284E-2</v>
      </c>
      <c r="H290" s="55">
        <v>0.34026538509993626</v>
      </c>
    </row>
    <row r="291" spans="3:8" x14ac:dyDescent="0.15">
      <c r="C291" s="29">
        <v>2039</v>
      </c>
      <c r="D291" s="55">
        <v>0.16636827506387633</v>
      </c>
      <c r="E291" s="55">
        <v>8.1068836681981241E-2</v>
      </c>
      <c r="F291" s="55">
        <v>8.1068836681981241E-2</v>
      </c>
      <c r="G291" s="55">
        <v>8.1068836681981241E-2</v>
      </c>
      <c r="H291" s="55">
        <v>0.34659560228486974</v>
      </c>
    </row>
    <row r="292" spans="3:8" x14ac:dyDescent="0.15">
      <c r="C292" s="29">
        <v>2040</v>
      </c>
      <c r="D292" s="55">
        <v>0.18078883415081881</v>
      </c>
      <c r="E292" s="55">
        <v>8.0898386366604791E-2</v>
      </c>
      <c r="F292" s="55">
        <v>8.0898386366604791E-2</v>
      </c>
      <c r="G292" s="55">
        <v>0.22673341217803386</v>
      </c>
      <c r="H292" s="55">
        <v>0.35350698371390604</v>
      </c>
    </row>
    <row r="293" spans="3:8" x14ac:dyDescent="0.15">
      <c r="C293" s="29">
        <v>2041</v>
      </c>
      <c r="D293" s="55">
        <v>0.19638243793208193</v>
      </c>
      <c r="E293" s="55">
        <v>8.0784465360309657E-2</v>
      </c>
      <c r="F293" s="55">
        <v>8.0784465360309657E-2</v>
      </c>
      <c r="G293" s="55">
        <v>0.28356479050436012</v>
      </c>
      <c r="H293" s="55">
        <v>0.35523879526913027</v>
      </c>
    </row>
    <row r="294" spans="3:8" x14ac:dyDescent="0.15">
      <c r="C294" s="29">
        <v>2042</v>
      </c>
      <c r="D294" s="55">
        <v>0.21320289432634207</v>
      </c>
      <c r="E294" s="55">
        <v>8.0708389577528822E-2</v>
      </c>
      <c r="F294" s="55">
        <v>8.0708389577528822E-2</v>
      </c>
      <c r="G294" s="55">
        <v>0.31232750672790871</v>
      </c>
      <c r="H294" s="55">
        <v>0.35638477810237462</v>
      </c>
    </row>
    <row r="295" spans="3:8" x14ac:dyDescent="0.15">
      <c r="C295" s="29">
        <v>2043</v>
      </c>
      <c r="D295" s="55">
        <v>0.23131905346475237</v>
      </c>
      <c r="E295" s="55">
        <v>8.0657615098062296E-2</v>
      </c>
      <c r="F295" s="55">
        <v>8.0657615098062296E-2</v>
      </c>
      <c r="G295" s="55">
        <v>0.32911163597762638</v>
      </c>
      <c r="H295" s="55">
        <v>0.35714502209701032</v>
      </c>
    </row>
    <row r="296" spans="3:8" x14ac:dyDescent="0.15">
      <c r="C296" s="29">
        <v>2044</v>
      </c>
      <c r="D296" s="55">
        <v>0.25081230060339144</v>
      </c>
      <c r="E296" s="55">
        <v>8.0623739921651422E-2</v>
      </c>
      <c r="F296" s="55">
        <v>8.0623739921651422E-2</v>
      </c>
      <c r="G296" s="55">
        <v>0.33948727314851534</v>
      </c>
      <c r="H296" s="55">
        <v>0.35800895956975659</v>
      </c>
    </row>
    <row r="297" spans="3:8" x14ac:dyDescent="0.15">
      <c r="C297" s="29">
        <v>2045</v>
      </c>
      <c r="D297" s="55">
        <v>0.27177504042639278</v>
      </c>
      <c r="E297" s="55">
        <v>8.0601145108891811E-2</v>
      </c>
      <c r="F297" s="55">
        <v>8.0601145108891811E-2</v>
      </c>
      <c r="G297" s="55">
        <v>0.34609446379221898</v>
      </c>
      <c r="H297" s="55">
        <v>0.35822509685921838</v>
      </c>
    </row>
    <row r="298" spans="3:8" x14ac:dyDescent="0.15">
      <c r="C298" s="29">
        <v>2046</v>
      </c>
      <c r="D298" s="55">
        <v>0.29430987102939371</v>
      </c>
      <c r="E298" s="55">
        <v>8.0586076845322041E-2</v>
      </c>
      <c r="F298" s="55">
        <v>8.0586076845322041E-2</v>
      </c>
      <c r="G298" s="55">
        <v>0.35318493155495095</v>
      </c>
      <c r="H298" s="55">
        <v>0.35847503055702723</v>
      </c>
    </row>
    <row r="299" spans="3:8" x14ac:dyDescent="0.15">
      <c r="C299" s="29">
        <v>2047</v>
      </c>
      <c r="D299" s="55">
        <v>0.31852923900397079</v>
      </c>
      <c r="E299" s="55">
        <v>8.0576029087988443E-2</v>
      </c>
      <c r="F299" s="55">
        <v>8.0576029087988443E-2</v>
      </c>
      <c r="G299" s="55">
        <v>0.35502607259592228</v>
      </c>
      <c r="H299" s="55">
        <v>0.35853559047982969</v>
      </c>
    </row>
    <row r="300" spans="3:8" x14ac:dyDescent="0.15">
      <c r="C300" s="29">
        <v>2048</v>
      </c>
      <c r="D300" s="55">
        <v>0.34455543389848137</v>
      </c>
      <c r="E300" s="55">
        <v>8.0569329583388458E-2</v>
      </c>
      <c r="F300" s="55">
        <v>8.0569329583388458E-2</v>
      </c>
      <c r="G300" s="55">
        <v>0.3562438257098538</v>
      </c>
      <c r="H300" s="55">
        <v>0.6912556386872557</v>
      </c>
    </row>
    <row r="301" spans="3:8" x14ac:dyDescent="0.15">
      <c r="C301" s="29">
        <v>2049</v>
      </c>
      <c r="D301" s="55">
        <v>0.37252082708078627</v>
      </c>
      <c r="E301" s="55">
        <v>8.0564862802532486E-2</v>
      </c>
      <c r="F301" s="55">
        <v>8.0564862802532486E-2</v>
      </c>
      <c r="G301" s="55">
        <v>0.35705143243772408</v>
      </c>
      <c r="H301" s="55">
        <v>0.99626327782092372</v>
      </c>
    </row>
    <row r="302" spans="3:8" x14ac:dyDescent="0.15">
      <c r="C302" s="29">
        <v>2050</v>
      </c>
      <c r="D302" s="55">
        <v>0.4025682922115118</v>
      </c>
      <c r="E302" s="55">
        <v>8.0561884751050999E-2</v>
      </c>
      <c r="F302" s="55">
        <v>8.0561884751050999E-2</v>
      </c>
      <c r="G302" s="55">
        <v>0.35794684788252673</v>
      </c>
      <c r="H302" s="55">
        <v>1.140131059279617</v>
      </c>
    </row>
    <row r="303" spans="3:8" ht="15" x14ac:dyDescent="0.2">
      <c r="C303"/>
      <c r="D303"/>
      <c r="E303"/>
      <c r="F303"/>
      <c r="G303"/>
      <c r="H303"/>
    </row>
    <row r="304" spans="3:8" ht="15" x14ac:dyDescent="0.2">
      <c r="C304"/>
      <c r="D304"/>
      <c r="E304"/>
      <c r="F304"/>
      <c r="G304"/>
      <c r="H304"/>
    </row>
    <row r="305" spans="3:8" x14ac:dyDescent="0.15">
      <c r="C305" s="71" t="s">
        <v>207</v>
      </c>
    </row>
    <row r="306" spans="3:8" ht="16" x14ac:dyDescent="0.3">
      <c r="C306" s="74" t="s">
        <v>95</v>
      </c>
      <c r="D306" s="74" t="s">
        <v>181</v>
      </c>
      <c r="E306" s="74" t="s">
        <v>182</v>
      </c>
      <c r="F306" s="74" t="s">
        <v>183</v>
      </c>
      <c r="G306" s="74" t="s">
        <v>184</v>
      </c>
      <c r="H306" s="74" t="s">
        <v>185</v>
      </c>
    </row>
    <row r="307" spans="3:8" x14ac:dyDescent="0.15">
      <c r="C307" s="29">
        <v>2030</v>
      </c>
      <c r="D307" s="55">
        <v>0.11777974394171092</v>
      </c>
      <c r="E307" s="55">
        <v>0.11777974394171092</v>
      </c>
      <c r="F307" s="55">
        <v>0.11777974394171092</v>
      </c>
      <c r="G307" s="55">
        <v>0.11777974394171092</v>
      </c>
      <c r="H307" s="55">
        <v>0.11777974394171092</v>
      </c>
    </row>
    <row r="308" spans="3:8" x14ac:dyDescent="0.15">
      <c r="C308" s="29">
        <v>2031</v>
      </c>
      <c r="D308" s="55">
        <v>0.11701014924817153</v>
      </c>
      <c r="E308" s="55">
        <v>0.11359804655701053</v>
      </c>
      <c r="F308" s="55">
        <v>0.11359804655701053</v>
      </c>
      <c r="G308" s="55">
        <v>0.11359804655701053</v>
      </c>
      <c r="H308" s="55">
        <v>0.11359804655701053</v>
      </c>
    </row>
    <row r="309" spans="3:8" x14ac:dyDescent="0.15">
      <c r="C309" s="29">
        <v>2032</v>
      </c>
      <c r="D309" s="55">
        <v>0.11825953020754991</v>
      </c>
      <c r="E309" s="55">
        <v>0.11057929593981312</v>
      </c>
      <c r="F309" s="55">
        <v>0.11057929593981312</v>
      </c>
      <c r="G309" s="55">
        <v>0.11057929593981312</v>
      </c>
      <c r="H309" s="55">
        <v>0.11057929593981312</v>
      </c>
    </row>
    <row r="310" spans="3:8" x14ac:dyDescent="0.15">
      <c r="C310" s="29">
        <v>2033</v>
      </c>
      <c r="D310" s="55">
        <v>0.12096728968803516</v>
      </c>
      <c r="E310" s="55">
        <v>0.10844630196640628</v>
      </c>
      <c r="F310" s="55">
        <v>0.10844630196640628</v>
      </c>
      <c r="G310" s="55">
        <v>0.10844630196640628</v>
      </c>
      <c r="H310" s="55">
        <v>0.10844630196640628</v>
      </c>
    </row>
    <row r="311" spans="3:8" x14ac:dyDescent="0.15">
      <c r="C311" s="29">
        <v>2034</v>
      </c>
      <c r="D311" s="55">
        <v>0.12472185226706282</v>
      </c>
      <c r="E311" s="55">
        <v>0.10696415224452023</v>
      </c>
      <c r="F311" s="55">
        <v>0.10696415224452023</v>
      </c>
      <c r="G311" s="55">
        <v>0.10696415224452023</v>
      </c>
      <c r="H311" s="55">
        <v>0.21567501177264836</v>
      </c>
    </row>
    <row r="312" spans="3:8" x14ac:dyDescent="0.15">
      <c r="C312" s="29">
        <v>2035</v>
      </c>
      <c r="D312" s="55">
        <v>0.12922443522828117</v>
      </c>
      <c r="E312" s="55">
        <v>0.10594702290208638</v>
      </c>
      <c r="F312" s="55">
        <v>0.10594702290208638</v>
      </c>
      <c r="G312" s="55">
        <v>0.10594702290208638</v>
      </c>
      <c r="H312" s="55">
        <v>0.24768837611159142</v>
      </c>
    </row>
    <row r="313" spans="3:8" x14ac:dyDescent="0.15">
      <c r="C313" s="29">
        <v>2036</v>
      </c>
      <c r="D313" s="55">
        <v>0.13426160134082299</v>
      </c>
      <c r="E313" s="55">
        <v>0.10525527379306872</v>
      </c>
      <c r="F313" s="55">
        <v>0.10525527379306872</v>
      </c>
      <c r="G313" s="55">
        <v>0.10525527379306872</v>
      </c>
      <c r="H313" s="55">
        <v>0.26324926522557629</v>
      </c>
    </row>
    <row r="314" spans="3:8" x14ac:dyDescent="0.15">
      <c r="C314" s="29">
        <v>2037</v>
      </c>
      <c r="D314" s="55">
        <v>0.1396835181172329</v>
      </c>
      <c r="E314" s="55">
        <v>0.10478779158277053</v>
      </c>
      <c r="F314" s="55">
        <v>0.10478779158277053</v>
      </c>
      <c r="G314" s="55">
        <v>0.10478779158277053</v>
      </c>
      <c r="H314" s="55">
        <v>0.27210313083481213</v>
      </c>
    </row>
    <row r="315" spans="3:8" x14ac:dyDescent="0.15">
      <c r="C315" s="29">
        <v>2038</v>
      </c>
      <c r="D315" s="55">
        <v>0.14538633779883409</v>
      </c>
      <c r="E315" s="55">
        <v>0.10447325341465091</v>
      </c>
      <c r="F315" s="55">
        <v>0.10447325341465091</v>
      </c>
      <c r="G315" s="55">
        <v>0.10447325341465091</v>
      </c>
      <c r="H315" s="55">
        <v>0.27749073339325209</v>
      </c>
    </row>
    <row r="316" spans="3:8" x14ac:dyDescent="0.15">
      <c r="C316" s="29">
        <v>2039</v>
      </c>
      <c r="D316" s="55">
        <v>0.15129856701165495</v>
      </c>
      <c r="E316" s="55">
        <v>0.10426225639891711</v>
      </c>
      <c r="F316" s="55">
        <v>0.10426225639891711</v>
      </c>
      <c r="G316" s="55">
        <v>0.10426225639891711</v>
      </c>
      <c r="H316" s="55">
        <v>0.28088718037999949</v>
      </c>
    </row>
    <row r="317" spans="3:8" x14ac:dyDescent="0.15">
      <c r="C317" s="29">
        <v>2040</v>
      </c>
      <c r="D317" s="55">
        <v>0.15737101654011609</v>
      </c>
      <c r="E317" s="55">
        <v>0.10412100465609175</v>
      </c>
      <c r="F317" s="55">
        <v>0.10412100465609175</v>
      </c>
      <c r="G317" s="55">
        <v>0.21062379907980383</v>
      </c>
      <c r="H317" s="55">
        <v>0.28455916955087635</v>
      </c>
    </row>
    <row r="318" spans="3:8" x14ac:dyDescent="0.15">
      <c r="C318" s="29">
        <v>2041</v>
      </c>
      <c r="D318" s="55">
        <v>0.16356965580324961</v>
      </c>
      <c r="E318" s="55">
        <v>0.1040265737682142</v>
      </c>
      <c r="F318" s="55">
        <v>0.1040265737682142</v>
      </c>
      <c r="G318" s="55">
        <v>0.24557438190053246</v>
      </c>
      <c r="H318" s="55">
        <v>0.28547340599509274</v>
      </c>
    </row>
    <row r="319" spans="3:8" x14ac:dyDescent="0.15">
      <c r="C319" s="29">
        <v>2042</v>
      </c>
      <c r="D319" s="55">
        <v>0.1698706604463302</v>
      </c>
      <c r="E319" s="55">
        <v>0.10396350228620409</v>
      </c>
      <c r="F319" s="55">
        <v>0.10396350228620409</v>
      </c>
      <c r="G319" s="55">
        <v>0.26210937781727145</v>
      </c>
      <c r="H319" s="55">
        <v>0.28607709546716992</v>
      </c>
    </row>
    <row r="320" spans="3:8" x14ac:dyDescent="0.15">
      <c r="C320" s="29">
        <v>2043</v>
      </c>
      <c r="D320" s="55">
        <v>0.17625703899646789</v>
      </c>
      <c r="E320" s="55">
        <v>0.10392140219259553</v>
      </c>
      <c r="F320" s="55">
        <v>0.10392140219259553</v>
      </c>
      <c r="G320" s="55">
        <v>0.27142752028147449</v>
      </c>
      <c r="H320" s="55">
        <v>0.28647702000873831</v>
      </c>
    </row>
    <row r="321" spans="3:8" x14ac:dyDescent="0.15">
      <c r="C321" s="29">
        <v>2044</v>
      </c>
      <c r="D321" s="55">
        <v>0.18271636176133446</v>
      </c>
      <c r="E321" s="55">
        <v>0.10389331210031148</v>
      </c>
      <c r="F321" s="55">
        <v>0.10389331210031148</v>
      </c>
      <c r="G321" s="55">
        <v>0.27707102571358333</v>
      </c>
      <c r="H321" s="55">
        <v>0.28693094870761476</v>
      </c>
    </row>
    <row r="322" spans="3:8" x14ac:dyDescent="0.15">
      <c r="C322" s="29">
        <v>2045</v>
      </c>
      <c r="D322" s="55">
        <v>0.18923924369639183</v>
      </c>
      <c r="E322" s="55">
        <v>0.10387457497152222</v>
      </c>
      <c r="F322" s="55">
        <v>0.10387457497152222</v>
      </c>
      <c r="G322" s="55">
        <v>0.28061946134232141</v>
      </c>
      <c r="H322" s="55">
        <v>0.28704442092389304</v>
      </c>
    </row>
    <row r="323" spans="3:8" x14ac:dyDescent="0.15">
      <c r="C323" s="29">
        <v>2046</v>
      </c>
      <c r="D323" s="55">
        <v>0.19581833619096306</v>
      </c>
      <c r="E323" s="55">
        <v>0.10386207892480716</v>
      </c>
      <c r="F323" s="55">
        <v>0.10386207892480716</v>
      </c>
      <c r="G323" s="55">
        <v>0.28438889772869008</v>
      </c>
      <c r="H323" s="55">
        <v>0.28717559125845482</v>
      </c>
    </row>
    <row r="324" spans="3:8" x14ac:dyDescent="0.15">
      <c r="C324" s="29">
        <v>2047</v>
      </c>
      <c r="D324" s="55">
        <v>0.20244765936357506</v>
      </c>
      <c r="E324" s="55">
        <v>0.103853746168827</v>
      </c>
      <c r="F324" s="55">
        <v>0.103853746168827</v>
      </c>
      <c r="G324" s="55">
        <v>0.28536123397845858</v>
      </c>
      <c r="H324" s="55">
        <v>0.28720736708491651</v>
      </c>
    </row>
    <row r="325" spans="3:8" x14ac:dyDescent="0.15">
      <c r="C325" s="29">
        <v>2048</v>
      </c>
      <c r="D325" s="55">
        <v>0.20912216086357552</v>
      </c>
      <c r="E325" s="55">
        <v>0.10384819008298833</v>
      </c>
      <c r="F325" s="55">
        <v>0.10384819008298833</v>
      </c>
      <c r="G325" s="55">
        <v>0.28600289852738542</v>
      </c>
      <c r="H325" s="55">
        <v>0.42743477786800038</v>
      </c>
    </row>
    <row r="326" spans="3:8" x14ac:dyDescent="0.15">
      <c r="C326" s="29">
        <v>2049</v>
      </c>
      <c r="D326" s="55">
        <v>0.21583742475224837</v>
      </c>
      <c r="E326" s="55">
        <v>0.10384448561888222</v>
      </c>
      <c r="F326" s="55">
        <v>0.10384448561888222</v>
      </c>
      <c r="G326" s="55">
        <v>0.2864278115771387</v>
      </c>
      <c r="H326" s="55">
        <v>0.51491660884329893</v>
      </c>
    </row>
    <row r="327" spans="3:8" x14ac:dyDescent="0.15">
      <c r="C327" s="29">
        <v>2050</v>
      </c>
      <c r="D327" s="55">
        <v>0.22258947957634839</v>
      </c>
      <c r="E327" s="55">
        <v>0.10384201579527017</v>
      </c>
      <c r="F327" s="55">
        <v>0.10384201579527017</v>
      </c>
      <c r="G327" s="55">
        <v>0.28689833335013137</v>
      </c>
      <c r="H327" s="55">
        <v>0.54752576658883678</v>
      </c>
    </row>
    <row r="328" spans="3:8" ht="15" x14ac:dyDescent="0.2">
      <c r="C328"/>
      <c r="D328"/>
      <c r="E328"/>
      <c r="F328"/>
      <c r="G328"/>
      <c r="H328"/>
    </row>
    <row r="329" spans="3:8" ht="15" x14ac:dyDescent="0.2">
      <c r="C329"/>
      <c r="D329"/>
      <c r="E329"/>
      <c r="F329"/>
      <c r="G329"/>
      <c r="H329"/>
    </row>
    <row r="330" spans="3:8" x14ac:dyDescent="0.15">
      <c r="C330" s="71" t="s">
        <v>208</v>
      </c>
    </row>
    <row r="331" spans="3:8" ht="16" x14ac:dyDescent="0.3">
      <c r="C331" s="74" t="s">
        <v>95</v>
      </c>
      <c r="D331" s="74" t="s">
        <v>181</v>
      </c>
      <c r="E331" s="74" t="s">
        <v>182</v>
      </c>
      <c r="F331" s="74" t="s">
        <v>183</v>
      </c>
      <c r="G331" s="74" t="s">
        <v>184</v>
      </c>
      <c r="H331" s="74" t="s">
        <v>185</v>
      </c>
    </row>
    <row r="332" spans="3:8" x14ac:dyDescent="0.15">
      <c r="C332" s="29">
        <v>2030</v>
      </c>
      <c r="D332" s="55">
        <v>0.34716161215055696</v>
      </c>
      <c r="E332" s="55">
        <v>0.34716161215055696</v>
      </c>
      <c r="F332" s="55">
        <v>0.34716161215055696</v>
      </c>
      <c r="G332" s="55">
        <v>0.34716161215055696</v>
      </c>
      <c r="H332" s="55">
        <v>0.34716161215055696</v>
      </c>
    </row>
    <row r="333" spans="3:8" x14ac:dyDescent="0.15">
      <c r="C333" s="29">
        <v>2031</v>
      </c>
      <c r="D333" s="55">
        <v>0.3659480013457142</v>
      </c>
      <c r="E333" s="55">
        <v>0.35107027296178933</v>
      </c>
      <c r="F333" s="55">
        <v>0.35107027296178933</v>
      </c>
      <c r="G333" s="55">
        <v>0.35107027296178933</v>
      </c>
      <c r="H333" s="55">
        <v>0.35107027296178933</v>
      </c>
    </row>
    <row r="334" spans="3:8" x14ac:dyDescent="0.15">
      <c r="C334" s="29">
        <v>2032</v>
      </c>
      <c r="D334" s="55">
        <v>0.3904979582945276</v>
      </c>
      <c r="E334" s="55">
        <v>0.35363233500340902</v>
      </c>
      <c r="F334" s="55">
        <v>0.35363233500340902</v>
      </c>
      <c r="G334" s="55">
        <v>0.35363233500340902</v>
      </c>
      <c r="H334" s="55">
        <v>0.35363233500340902</v>
      </c>
    </row>
    <row r="335" spans="3:8" x14ac:dyDescent="0.15">
      <c r="C335" s="29">
        <v>2033</v>
      </c>
      <c r="D335" s="55">
        <v>0.41892315462994567</v>
      </c>
      <c r="E335" s="55">
        <v>0.35532162554623969</v>
      </c>
      <c r="F335" s="55">
        <v>0.35532162554623969</v>
      </c>
      <c r="G335" s="55">
        <v>0.35532162554623969</v>
      </c>
      <c r="H335" s="55">
        <v>0.35532162554623969</v>
      </c>
    </row>
    <row r="336" spans="3:8" x14ac:dyDescent="0.15">
      <c r="C336" s="29">
        <v>2034</v>
      </c>
      <c r="D336" s="55">
        <v>0.45058383737370394</v>
      </c>
      <c r="E336" s="55">
        <v>0.35643967658790698</v>
      </c>
      <c r="F336" s="55">
        <v>0.35643967658790698</v>
      </c>
      <c r="G336" s="55">
        <v>0.35643967658790698</v>
      </c>
      <c r="H336" s="55">
        <v>0.85932163966496333</v>
      </c>
    </row>
    <row r="337" spans="3:8" x14ac:dyDescent="0.15">
      <c r="C337" s="29">
        <v>2035</v>
      </c>
      <c r="D337" s="55">
        <v>0.48526437194361871</v>
      </c>
      <c r="E337" s="55">
        <v>0.35718147983473697</v>
      </c>
      <c r="F337" s="55">
        <v>0.35718147983473697</v>
      </c>
      <c r="G337" s="55">
        <v>0.35718147983473697</v>
      </c>
      <c r="H337" s="55">
        <v>1.0613529828351951</v>
      </c>
    </row>
    <row r="338" spans="3:8" x14ac:dyDescent="0.15">
      <c r="C338" s="29">
        <v>2036</v>
      </c>
      <c r="D338" s="55">
        <v>0.52293669914862095</v>
      </c>
      <c r="E338" s="55">
        <v>0.3576744471962347</v>
      </c>
      <c r="F338" s="55">
        <v>0.3576744471962347</v>
      </c>
      <c r="G338" s="55">
        <v>0.3576744471962347</v>
      </c>
      <c r="H338" s="55">
        <v>1.1629435858487753</v>
      </c>
    </row>
    <row r="339" spans="3:8" x14ac:dyDescent="0.15">
      <c r="C339" s="29">
        <v>2037</v>
      </c>
      <c r="D339" s="55">
        <v>0.56367343641666667</v>
      </c>
      <c r="E339" s="55">
        <v>0.35800239980515564</v>
      </c>
      <c r="F339" s="55">
        <v>0.35800239980515564</v>
      </c>
      <c r="G339" s="55">
        <v>0.35800239980515564</v>
      </c>
      <c r="H339" s="55">
        <v>1.2220967895907404</v>
      </c>
    </row>
    <row r="340" spans="3:8" x14ac:dyDescent="0.15">
      <c r="C340" s="29">
        <v>2038</v>
      </c>
      <c r="D340" s="55">
        <v>0.60760972826077597</v>
      </c>
      <c r="E340" s="55">
        <v>0.35822072855488618</v>
      </c>
      <c r="F340" s="55">
        <v>0.35822072855488618</v>
      </c>
      <c r="G340" s="55">
        <v>0.35822072855488618</v>
      </c>
      <c r="H340" s="55">
        <v>1.2586262338259999</v>
      </c>
    </row>
    <row r="341" spans="3:8" x14ac:dyDescent="0.15">
      <c r="C341" s="29">
        <v>2039</v>
      </c>
      <c r="D341" s="55">
        <v>0.65492457187242314</v>
      </c>
      <c r="E341" s="55">
        <v>0.3583661453133265</v>
      </c>
      <c r="F341" s="55">
        <v>0.3583661453133265</v>
      </c>
      <c r="G341" s="55">
        <v>0.3583661453133265</v>
      </c>
      <c r="H341" s="55">
        <v>1.2818748187947406</v>
      </c>
    </row>
    <row r="342" spans="3:8" x14ac:dyDescent="0.15">
      <c r="C342" s="29">
        <v>2040</v>
      </c>
      <c r="D342" s="55">
        <v>0.7058311131372127</v>
      </c>
      <c r="E342" s="55">
        <v>0.35846302960811777</v>
      </c>
      <c r="F342" s="55">
        <v>0.35846302960811777</v>
      </c>
      <c r="G342" s="55">
        <v>0.86396685744559976</v>
      </c>
      <c r="H342" s="55">
        <v>1.306710598439359</v>
      </c>
    </row>
    <row r="343" spans="3:8" x14ac:dyDescent="0.15">
      <c r="C343" s="29">
        <v>2041</v>
      </c>
      <c r="D343" s="55">
        <v>0.76057154462110466</v>
      </c>
      <c r="E343" s="55">
        <v>0.35852759241267312</v>
      </c>
      <c r="F343" s="55">
        <v>0.35852759241267312</v>
      </c>
      <c r="G343" s="55">
        <v>1.0634176085728604</v>
      </c>
      <c r="H343" s="55">
        <v>1.3132194594595745</v>
      </c>
    </row>
    <row r="344" spans="3:8" x14ac:dyDescent="0.15">
      <c r="C344" s="29">
        <v>2042</v>
      </c>
      <c r="D344" s="55">
        <v>0.81941457557032149</v>
      </c>
      <c r="E344" s="55">
        <v>0.35857062241483445</v>
      </c>
      <c r="F344" s="55">
        <v>0.35857062241483445</v>
      </c>
      <c r="G344" s="55">
        <v>1.1640969143165572</v>
      </c>
      <c r="H344" s="55">
        <v>1.3175239410599802</v>
      </c>
    </row>
    <row r="345" spans="3:8" x14ac:dyDescent="0.15">
      <c r="C345" s="29">
        <v>2043</v>
      </c>
      <c r="D345" s="55">
        <v>0.88265444448425556</v>
      </c>
      <c r="E345" s="55">
        <v>0.35859930381154809</v>
      </c>
      <c r="F345" s="55">
        <v>0.35859930381154809</v>
      </c>
      <c r="G345" s="55">
        <v>1.2227951179006535</v>
      </c>
      <c r="H345" s="55">
        <v>1.320378406152364</v>
      </c>
    </row>
    <row r="346" spans="3:8" x14ac:dyDescent="0.15">
      <c r="C346" s="29">
        <v>2044</v>
      </c>
      <c r="D346" s="55">
        <v>0.9506109151458042</v>
      </c>
      <c r="E346" s="55">
        <v>0.35861842240075742</v>
      </c>
      <c r="F346" s="55">
        <v>0.35861842240075742</v>
      </c>
      <c r="G346" s="55">
        <v>1.2590658933447054</v>
      </c>
      <c r="H346" s="55">
        <v>1.3235231725719552</v>
      </c>
    </row>
    <row r="347" spans="3:8" x14ac:dyDescent="0.15">
      <c r="C347" s="29">
        <v>2045</v>
      </c>
      <c r="D347" s="55">
        <v>1.023629936459159</v>
      </c>
      <c r="E347" s="55">
        <v>0.35863116708630693</v>
      </c>
      <c r="F347" s="55">
        <v>0.35863116708630693</v>
      </c>
      <c r="G347" s="55">
        <v>1.2821576767901146</v>
      </c>
      <c r="H347" s="55">
        <v>1.3243669810180021</v>
      </c>
    </row>
    <row r="348" spans="3:8" x14ac:dyDescent="0.15">
      <c r="C348" s="29">
        <v>2046</v>
      </c>
      <c r="D348" s="55">
        <v>1.1020847769426054</v>
      </c>
      <c r="E348" s="55">
        <v>0.35863966308093526</v>
      </c>
      <c r="F348" s="55">
        <v>0.35863966308093526</v>
      </c>
      <c r="G348" s="55">
        <v>1.3068922512010204</v>
      </c>
      <c r="H348" s="55">
        <v>1.3252976463149269</v>
      </c>
    </row>
    <row r="349" spans="3:8" x14ac:dyDescent="0.15">
      <c r="C349" s="29">
        <v>2047</v>
      </c>
      <c r="D349" s="55">
        <v>1.1863775199801125</v>
      </c>
      <c r="E349" s="55">
        <v>0.35864532687186446</v>
      </c>
      <c r="F349" s="55">
        <v>0.35864532687186446</v>
      </c>
      <c r="G349" s="55">
        <v>1.313339397505487</v>
      </c>
      <c r="H349" s="55">
        <v>1.3255490087915629</v>
      </c>
    </row>
    <row r="350" spans="3:8" x14ac:dyDescent="0.15">
      <c r="C350" s="29">
        <v>2048</v>
      </c>
      <c r="D350" s="55">
        <v>1.276940851375403</v>
      </c>
      <c r="E350" s="55">
        <v>0.35864910264116223</v>
      </c>
      <c r="F350" s="55">
        <v>0.35864910264116223</v>
      </c>
      <c r="G350" s="55">
        <v>1.3176033927667226</v>
      </c>
      <c r="H350" s="55">
        <v>2.4828315409120814</v>
      </c>
    </row>
    <row r="351" spans="3:8" x14ac:dyDescent="0.15">
      <c r="C351" s="29">
        <v>2049</v>
      </c>
      <c r="D351" s="55">
        <v>1.3742400992077295</v>
      </c>
      <c r="E351" s="55">
        <v>0.35865161978010868</v>
      </c>
      <c r="F351" s="55">
        <v>0.35865161978010868</v>
      </c>
      <c r="G351" s="55">
        <v>1.3204311515844975</v>
      </c>
      <c r="H351" s="55">
        <v>3.5439522096456426</v>
      </c>
    </row>
    <row r="352" spans="3:8" x14ac:dyDescent="0.15">
      <c r="C352" s="29">
        <v>2050</v>
      </c>
      <c r="D352" s="55">
        <v>1.4787755043698727</v>
      </c>
      <c r="E352" s="55">
        <v>0.35865329785470235</v>
      </c>
      <c r="F352" s="55">
        <v>0.35865329785470235</v>
      </c>
      <c r="G352" s="55">
        <v>1.3235581736448079</v>
      </c>
      <c r="H352" s="55">
        <v>4.0444380568943714</v>
      </c>
    </row>
    <row r="353" spans="3:8" ht="15" x14ac:dyDescent="0.2">
      <c r="C353"/>
      <c r="D353"/>
      <c r="E353"/>
      <c r="F353"/>
      <c r="G353"/>
      <c r="H353"/>
    </row>
    <row r="354" spans="3:8" ht="15" x14ac:dyDescent="0.2">
      <c r="C354"/>
      <c r="D354"/>
      <c r="E354"/>
      <c r="F354"/>
      <c r="G354"/>
      <c r="H354"/>
    </row>
    <row r="355" spans="3:8" x14ac:dyDescent="0.15">
      <c r="C355" s="71" t="s">
        <v>209</v>
      </c>
    </row>
    <row r="356" spans="3:8" ht="16" x14ac:dyDescent="0.3">
      <c r="C356" s="74" t="s">
        <v>95</v>
      </c>
      <c r="D356" s="74" t="s">
        <v>181</v>
      </c>
      <c r="E356" s="74" t="s">
        <v>182</v>
      </c>
      <c r="F356" s="74" t="s">
        <v>183</v>
      </c>
      <c r="G356" s="74" t="s">
        <v>184</v>
      </c>
      <c r="H356" s="74" t="s">
        <v>185</v>
      </c>
    </row>
    <row r="357" spans="3:8" x14ac:dyDescent="0.15">
      <c r="C357" s="29">
        <v>2030</v>
      </c>
      <c r="D357" s="55">
        <v>0.2811893155854388</v>
      </c>
      <c r="E357" s="55">
        <v>0.2811893155854388</v>
      </c>
      <c r="F357" s="55">
        <v>0.2811893155854388</v>
      </c>
      <c r="G357" s="55">
        <v>0.2811893155854388</v>
      </c>
      <c r="H357" s="55">
        <v>0.2811893155854388</v>
      </c>
    </row>
    <row r="358" spans="3:8" x14ac:dyDescent="0.15">
      <c r="C358" s="29">
        <v>2031</v>
      </c>
      <c r="D358" s="55">
        <v>0.28904218475711435</v>
      </c>
      <c r="E358" s="55">
        <v>0.28326884261604041</v>
      </c>
      <c r="F358" s="55">
        <v>0.28326884261604041</v>
      </c>
      <c r="G358" s="55">
        <v>0.28326884261604041</v>
      </c>
      <c r="H358" s="55">
        <v>0.28326884261604041</v>
      </c>
    </row>
    <row r="359" spans="3:8" x14ac:dyDescent="0.15">
      <c r="C359" s="29">
        <v>2032</v>
      </c>
      <c r="D359" s="55">
        <v>0.29773806772165434</v>
      </c>
      <c r="E359" s="55">
        <v>0.28462542198024049</v>
      </c>
      <c r="F359" s="55">
        <v>0.28462542198024049</v>
      </c>
      <c r="G359" s="55">
        <v>0.28462542198024049</v>
      </c>
      <c r="H359" s="55">
        <v>0.28462542198024049</v>
      </c>
    </row>
    <row r="360" spans="3:8" x14ac:dyDescent="0.15">
      <c r="C360" s="29">
        <v>2033</v>
      </c>
      <c r="D360" s="55">
        <v>0.30659526044357166</v>
      </c>
      <c r="E360" s="55">
        <v>0.28551707418031752</v>
      </c>
      <c r="F360" s="55">
        <v>0.28551707418031752</v>
      </c>
      <c r="G360" s="55">
        <v>0.28551707418031752</v>
      </c>
      <c r="H360" s="55">
        <v>0.28551707418031752</v>
      </c>
    </row>
    <row r="361" spans="3:8" x14ac:dyDescent="0.15">
      <c r="C361" s="29">
        <v>2034</v>
      </c>
      <c r="D361" s="55">
        <v>0.3154541428357423</v>
      </c>
      <c r="E361" s="55">
        <v>0.28610598970177703</v>
      </c>
      <c r="F361" s="55">
        <v>0.28610598970177703</v>
      </c>
      <c r="G361" s="55">
        <v>0.28610598970177703</v>
      </c>
      <c r="H361" s="55">
        <v>0.47918953892159505</v>
      </c>
    </row>
    <row r="362" spans="3:8" x14ac:dyDescent="0.15">
      <c r="C362" s="29">
        <v>2035</v>
      </c>
      <c r="D362" s="55">
        <v>0.32426850605075108</v>
      </c>
      <c r="E362" s="55">
        <v>0.2864961872564889</v>
      </c>
      <c r="F362" s="55">
        <v>0.2864961872564889</v>
      </c>
      <c r="G362" s="55">
        <v>0.2864961872564889</v>
      </c>
      <c r="H362" s="55">
        <v>0.53023370159773109</v>
      </c>
    </row>
    <row r="363" spans="3:8" x14ac:dyDescent="0.15">
      <c r="C363" s="29">
        <v>2036</v>
      </c>
      <c r="D363" s="55">
        <v>0.33302444231773437</v>
      </c>
      <c r="E363" s="55">
        <v>0.28675525826774134</v>
      </c>
      <c r="F363" s="55">
        <v>0.28675525826774134</v>
      </c>
      <c r="G363" s="55">
        <v>0.28675525826774134</v>
      </c>
      <c r="H363" s="55">
        <v>0.55229800407995056</v>
      </c>
    </row>
    <row r="364" spans="3:8" x14ac:dyDescent="0.15">
      <c r="C364" s="29">
        <v>2037</v>
      </c>
      <c r="D364" s="55">
        <v>0.34171807618163341</v>
      </c>
      <c r="E364" s="55">
        <v>0.28692750426221364</v>
      </c>
      <c r="F364" s="55">
        <v>0.28692750426221364</v>
      </c>
      <c r="G364" s="55">
        <v>0.28692750426221364</v>
      </c>
      <c r="H364" s="55">
        <v>0.56421603011032018</v>
      </c>
    </row>
    <row r="365" spans="3:8" x14ac:dyDescent="0.15">
      <c r="C365" s="29">
        <v>2038</v>
      </c>
      <c r="D365" s="55">
        <v>0.35034853407827576</v>
      </c>
      <c r="E365" s="55">
        <v>0.28704212791887612</v>
      </c>
      <c r="F365" s="55">
        <v>0.28704212791887612</v>
      </c>
      <c r="G365" s="55">
        <v>0.28704212791887612</v>
      </c>
      <c r="H365" s="55">
        <v>0.57126409587184246</v>
      </c>
    </row>
    <row r="366" spans="3:8" x14ac:dyDescent="0.15">
      <c r="C366" s="29">
        <v>2039</v>
      </c>
      <c r="D366" s="55">
        <v>0.35891563589423919</v>
      </c>
      <c r="E366" s="55">
        <v>0.2871184519814422</v>
      </c>
      <c r="F366" s="55">
        <v>0.2871184519814422</v>
      </c>
      <c r="G366" s="55">
        <v>0.2871184519814422</v>
      </c>
      <c r="H366" s="55">
        <v>0.57563221589936353</v>
      </c>
    </row>
    <row r="367" spans="3:8" x14ac:dyDescent="0.15">
      <c r="C367" s="29">
        <v>2040</v>
      </c>
      <c r="D367" s="55">
        <v>0.3674191769533619</v>
      </c>
      <c r="E367" s="55">
        <v>0.28716929401729013</v>
      </c>
      <c r="F367" s="55">
        <v>0.28716929401729013</v>
      </c>
      <c r="G367" s="55">
        <v>0.48048745792937086</v>
      </c>
      <c r="H367" s="55">
        <v>0.5802012783475653</v>
      </c>
    </row>
    <row r="368" spans="3:8" x14ac:dyDescent="0.15">
      <c r="C368" s="29">
        <v>2041</v>
      </c>
      <c r="D368" s="55">
        <v>0.3758587560227834</v>
      </c>
      <c r="E368" s="55">
        <v>0.28720317065682877</v>
      </c>
      <c r="F368" s="55">
        <v>0.28720317065682877</v>
      </c>
      <c r="G368" s="55">
        <v>0.53070374294386446</v>
      </c>
      <c r="H368" s="55">
        <v>0.58138249421730304</v>
      </c>
    </row>
    <row r="369" spans="3:8" x14ac:dyDescent="0.15">
      <c r="C369" s="29">
        <v>2042</v>
      </c>
      <c r="D369" s="55">
        <v>0.38423378116494755</v>
      </c>
      <c r="E369" s="55">
        <v>0.287225747068096</v>
      </c>
      <c r="F369" s="55">
        <v>0.287225747068096</v>
      </c>
      <c r="G369" s="55">
        <v>0.552536601276574</v>
      </c>
      <c r="H369" s="55">
        <v>0.58216001859119371</v>
      </c>
    </row>
    <row r="370" spans="3:8" x14ac:dyDescent="0.15">
      <c r="C370" s="29">
        <v>2043</v>
      </c>
      <c r="D370" s="55">
        <v>0.39254352246536861</v>
      </c>
      <c r="E370" s="55">
        <v>0.28724079444892286</v>
      </c>
      <c r="F370" s="55">
        <v>0.28724079444892286</v>
      </c>
      <c r="G370" s="55">
        <v>0.56435293894223615</v>
      </c>
      <c r="H370" s="55">
        <v>0.58267403373543547</v>
      </c>
    </row>
    <row r="371" spans="3:8" x14ac:dyDescent="0.15">
      <c r="C371" s="29">
        <v>2044</v>
      </c>
      <c r="D371" s="55">
        <v>0.40078716721023966</v>
      </c>
      <c r="E371" s="55">
        <v>0.28725082445457528</v>
      </c>
      <c r="F371" s="55">
        <v>0.28725082445457528</v>
      </c>
      <c r="G371" s="55">
        <v>0.57134753647524228</v>
      </c>
      <c r="H371" s="55">
        <v>0.58323886248352996</v>
      </c>
    </row>
    <row r="372" spans="3:8" x14ac:dyDescent="0.15">
      <c r="C372" s="29">
        <v>2045</v>
      </c>
      <c r="D372" s="55">
        <v>0.40896386477885438</v>
      </c>
      <c r="E372" s="55">
        <v>0.28725751042228898</v>
      </c>
      <c r="F372" s="55">
        <v>0.28725751042228898</v>
      </c>
      <c r="G372" s="55">
        <v>0.57568481341351985</v>
      </c>
      <c r="H372" s="55">
        <v>0.58339015811399297</v>
      </c>
    </row>
    <row r="373" spans="3:8" x14ac:dyDescent="0.15">
      <c r="C373" s="29">
        <v>2046</v>
      </c>
      <c r="D373" s="55">
        <v>0.41707275964122936</v>
      </c>
      <c r="E373" s="55">
        <v>0.28726196742183596</v>
      </c>
      <c r="F373" s="55">
        <v>0.28726196742183596</v>
      </c>
      <c r="G373" s="55">
        <v>0.58023433476668951</v>
      </c>
      <c r="H373" s="55">
        <v>0.58355689991705417</v>
      </c>
    </row>
    <row r="374" spans="3:8" x14ac:dyDescent="0.15">
      <c r="C374" s="29">
        <v>2047</v>
      </c>
      <c r="D374" s="55">
        <v>0.42511301426819331</v>
      </c>
      <c r="E374" s="55">
        <v>0.28726493861610131</v>
      </c>
      <c r="F374" s="55">
        <v>0.28726493861610131</v>
      </c>
      <c r="G374" s="55">
        <v>0.58140419797840381</v>
      </c>
      <c r="H374" s="55">
        <v>0.58360191215658086</v>
      </c>
    </row>
    <row r="375" spans="3:8" x14ac:dyDescent="0.15">
      <c r="C375" s="29">
        <v>2048</v>
      </c>
      <c r="D375" s="55">
        <v>0.43308382437527615</v>
      </c>
      <c r="E375" s="55">
        <v>0.28726691935060955</v>
      </c>
      <c r="F375" s="55">
        <v>0.28726691935060955</v>
      </c>
      <c r="G375" s="55">
        <v>0.58217434291423009</v>
      </c>
      <c r="H375" s="55">
        <v>0.72196353769284705</v>
      </c>
    </row>
    <row r="376" spans="3:8" x14ac:dyDescent="0.15">
      <c r="C376" s="29">
        <v>2049</v>
      </c>
      <c r="D376" s="55">
        <v>0.44098442866407028</v>
      </c>
      <c r="E376" s="55">
        <v>0.28726823981287491</v>
      </c>
      <c r="F376" s="55">
        <v>0.28726823981287491</v>
      </c>
      <c r="G376" s="55">
        <v>0.58268351992011114</v>
      </c>
      <c r="H376" s="55">
        <v>0.78689164943429679</v>
      </c>
    </row>
    <row r="377" spans="3:8" x14ac:dyDescent="0.15">
      <c r="C377" s="29">
        <v>2050</v>
      </c>
      <c r="D377" s="55">
        <v>0.44881411473800142</v>
      </c>
      <c r="E377" s="55">
        <v>0.28726912010887151</v>
      </c>
      <c r="F377" s="55">
        <v>0.28726912010887151</v>
      </c>
      <c r="G377" s="55">
        <v>0.58324514039260134</v>
      </c>
      <c r="H377" s="55">
        <v>0.80803527577794532</v>
      </c>
    </row>
    <row r="378" spans="3:8" ht="15" x14ac:dyDescent="0.2">
      <c r="C378"/>
      <c r="D378"/>
      <c r="E378"/>
      <c r="F378"/>
      <c r="G378"/>
      <c r="H378"/>
    </row>
    <row r="379" spans="3:8" ht="15" x14ac:dyDescent="0.2">
      <c r="C379"/>
      <c r="D379"/>
      <c r="E379"/>
      <c r="F379"/>
      <c r="G379"/>
      <c r="H379"/>
    </row>
    <row r="380" spans="3:8" x14ac:dyDescent="0.15">
      <c r="C380" s="71" t="s">
        <v>210</v>
      </c>
    </row>
    <row r="381" spans="3:8" ht="16" x14ac:dyDescent="0.3">
      <c r="C381" s="74" t="s">
        <v>95</v>
      </c>
      <c r="D381" s="74" t="s">
        <v>181</v>
      </c>
      <c r="E381" s="74" t="s">
        <v>182</v>
      </c>
      <c r="F381" s="74" t="s">
        <v>183</v>
      </c>
      <c r="G381" s="74" t="s">
        <v>184</v>
      </c>
      <c r="H381" s="74" t="s">
        <v>185</v>
      </c>
    </row>
    <row r="382" spans="3:8" x14ac:dyDescent="0.15">
      <c r="C382" s="29">
        <v>2030</v>
      </c>
      <c r="D382" s="55">
        <v>0.83802104136908206</v>
      </c>
      <c r="E382" s="55">
        <v>0.83802104136908206</v>
      </c>
      <c r="F382" s="55">
        <v>0.83802104136908206</v>
      </c>
      <c r="G382" s="55">
        <v>0.83802104136908206</v>
      </c>
      <c r="H382" s="55">
        <v>0.83802104136908206</v>
      </c>
    </row>
    <row r="383" spans="3:8" x14ac:dyDescent="0.15">
      <c r="C383" s="29">
        <v>2031</v>
      </c>
      <c r="D383" s="55">
        <v>1.0941902118311351</v>
      </c>
      <c r="E383" s="55">
        <v>1.052062086960132</v>
      </c>
      <c r="F383" s="55">
        <v>1.052062086960132</v>
      </c>
      <c r="G383" s="55">
        <v>1.052062086960132</v>
      </c>
      <c r="H383" s="55">
        <v>1.052062086960132</v>
      </c>
    </row>
    <row r="384" spans="3:8" x14ac:dyDescent="0.15">
      <c r="C384" s="29">
        <v>2032</v>
      </c>
      <c r="D384" s="55">
        <v>1.2781157235191374</v>
      </c>
      <c r="E384" s="55">
        <v>1.1577800158338238</v>
      </c>
      <c r="F384" s="55">
        <v>1.1577800158338238</v>
      </c>
      <c r="G384" s="55">
        <v>1.1577800158338238</v>
      </c>
      <c r="H384" s="55">
        <v>1.1577800158338238</v>
      </c>
    </row>
    <row r="385" spans="3:8" x14ac:dyDescent="0.15">
      <c r="C385" s="29">
        <v>2033</v>
      </c>
      <c r="D385" s="55">
        <v>1.4344475722077132</v>
      </c>
      <c r="E385" s="55">
        <v>1.2189773124106187</v>
      </c>
      <c r="F385" s="55">
        <v>1.2189773124106187</v>
      </c>
      <c r="G385" s="55">
        <v>1.2189773124106187</v>
      </c>
      <c r="H385" s="55">
        <v>1.2189773124106187</v>
      </c>
    </row>
    <row r="386" spans="3:8" x14ac:dyDescent="0.15">
      <c r="C386" s="29">
        <v>2034</v>
      </c>
      <c r="D386" s="55">
        <v>1.5800925310005984</v>
      </c>
      <c r="E386" s="55">
        <v>1.2566645719123151</v>
      </c>
      <c r="F386" s="55">
        <v>1.2566645719123151</v>
      </c>
      <c r="G386" s="55">
        <v>1.2566645719123151</v>
      </c>
      <c r="H386" s="55">
        <v>2.9260596970192725</v>
      </c>
    </row>
    <row r="387" spans="3:8" x14ac:dyDescent="0.15">
      <c r="C387" s="29">
        <v>2035</v>
      </c>
      <c r="D387" s="55">
        <v>1.7233566356404431</v>
      </c>
      <c r="E387" s="55">
        <v>1.2806136352604693</v>
      </c>
      <c r="F387" s="55">
        <v>1.2806136352604693</v>
      </c>
      <c r="G387" s="55">
        <v>1.2806136352604693</v>
      </c>
      <c r="H387" s="55">
        <v>3.7095630019224668</v>
      </c>
    </row>
    <row r="388" spans="3:8" x14ac:dyDescent="0.15">
      <c r="C388" s="29">
        <v>2036</v>
      </c>
      <c r="D388" s="55">
        <v>1.8690692662639175</v>
      </c>
      <c r="E388" s="55">
        <v>1.2961064349025659</v>
      </c>
      <c r="F388" s="55">
        <v>1.2961064349025659</v>
      </c>
      <c r="G388" s="55">
        <v>1.2961064349025659</v>
      </c>
      <c r="H388" s="55">
        <v>4.0901214464423337</v>
      </c>
    </row>
    <row r="389" spans="3:8" x14ac:dyDescent="0.15">
      <c r="C389" s="29">
        <v>2037</v>
      </c>
      <c r="D389" s="55">
        <v>2.0203815034700705</v>
      </c>
      <c r="E389" s="55">
        <v>1.3062374210314691</v>
      </c>
      <c r="F389" s="55">
        <v>1.3062374210314691</v>
      </c>
      <c r="G389" s="55">
        <v>1.3062374210314691</v>
      </c>
      <c r="H389" s="55">
        <v>4.3092657577286184</v>
      </c>
    </row>
    <row r="390" spans="3:8" x14ac:dyDescent="0.15">
      <c r="C390" s="29">
        <v>2038</v>
      </c>
      <c r="D390" s="55">
        <v>2.1795496655277282</v>
      </c>
      <c r="E390" s="55">
        <v>1.3129070917934818</v>
      </c>
      <c r="F390" s="55">
        <v>1.3129070917934818</v>
      </c>
      <c r="G390" s="55">
        <v>1.3129070917934818</v>
      </c>
      <c r="H390" s="55">
        <v>4.4438922438444992</v>
      </c>
    </row>
    <row r="391" spans="3:8" x14ac:dyDescent="0.15">
      <c r="C391" s="29">
        <v>2039</v>
      </c>
      <c r="D391" s="55">
        <v>2.3483290639809984</v>
      </c>
      <c r="E391" s="55">
        <v>1.3173170389564974</v>
      </c>
      <c r="F391" s="55">
        <v>1.3173170389564974</v>
      </c>
      <c r="G391" s="55">
        <v>1.3173170389564974</v>
      </c>
      <c r="H391" s="55">
        <v>4.529329199266094</v>
      </c>
    </row>
    <row r="392" spans="3:8" x14ac:dyDescent="0.15">
      <c r="C392" s="29">
        <v>2040</v>
      </c>
      <c r="D392" s="55">
        <v>2.5281923651657592</v>
      </c>
      <c r="E392" s="55">
        <v>1.3202410603429509</v>
      </c>
      <c r="F392" s="55">
        <v>1.3202410603429509</v>
      </c>
      <c r="G392" s="55">
        <v>3.0720187222306237</v>
      </c>
      <c r="H392" s="55">
        <v>4.6186629979767231</v>
      </c>
    </row>
    <row r="393" spans="3:8" x14ac:dyDescent="0.15">
      <c r="C393" s="29">
        <v>2041</v>
      </c>
      <c r="D393" s="55">
        <v>2.7204595293682625</v>
      </c>
      <c r="E393" s="55">
        <v>1.3221834026695847</v>
      </c>
      <c r="F393" s="55">
        <v>1.3221834026695847</v>
      </c>
      <c r="G393" s="55">
        <v>3.7723704002581009</v>
      </c>
      <c r="H393" s="55">
        <v>4.6430955447003823</v>
      </c>
    </row>
    <row r="394" spans="3:8" x14ac:dyDescent="0.15">
      <c r="C394" s="29">
        <v>2042</v>
      </c>
      <c r="D394" s="55">
        <v>2.9263793518613639</v>
      </c>
      <c r="E394" s="55">
        <v>1.3234752076390908</v>
      </c>
      <c r="F394" s="55">
        <v>1.3234752076390908</v>
      </c>
      <c r="G394" s="55">
        <v>4.1249060521842482</v>
      </c>
      <c r="H394" s="55">
        <v>4.6592430850965947</v>
      </c>
    </row>
    <row r="395" spans="3:8" x14ac:dyDescent="0.15">
      <c r="C395" s="29">
        <v>2043</v>
      </c>
      <c r="D395" s="55">
        <v>3.1471829258205508</v>
      </c>
      <c r="E395" s="55">
        <v>1.3243350445582136</v>
      </c>
      <c r="F395" s="55">
        <v>1.3243350445582136</v>
      </c>
      <c r="G395" s="55">
        <v>4.3302485495108396</v>
      </c>
      <c r="H395" s="55">
        <v>4.6699466561232041</v>
      </c>
    </row>
    <row r="396" spans="3:8" x14ac:dyDescent="0.15">
      <c r="C396" s="29">
        <v>2044</v>
      </c>
      <c r="D396" s="55">
        <v>3.3841201665117113</v>
      </c>
      <c r="E396" s="55">
        <v>1.3249076639156827</v>
      </c>
      <c r="F396" s="55">
        <v>1.3249076639156827</v>
      </c>
      <c r="G396" s="55">
        <v>4.4570766992303898</v>
      </c>
      <c r="H396" s="55">
        <v>4.6814001382118029</v>
      </c>
    </row>
    <row r="397" spans="3:8" x14ac:dyDescent="0.15">
      <c r="C397" s="29">
        <v>2045</v>
      </c>
      <c r="D397" s="55">
        <v>3.6384858741853447</v>
      </c>
      <c r="E397" s="55">
        <v>1.3252891417506429</v>
      </c>
      <c r="F397" s="55">
        <v>1.3252891417506429</v>
      </c>
      <c r="G397" s="55">
        <v>4.5378018305028052</v>
      </c>
      <c r="H397" s="55">
        <v>4.6846742265957495</v>
      </c>
    </row>
    <row r="398" spans="3:8" x14ac:dyDescent="0.15">
      <c r="C398" s="29">
        <v>2046</v>
      </c>
      <c r="D398" s="55">
        <v>3.9116392727520677</v>
      </c>
      <c r="E398" s="55">
        <v>1.3255433411938435</v>
      </c>
      <c r="F398" s="55">
        <v>1.3255433411938435</v>
      </c>
      <c r="G398" s="55">
        <v>4.6241002275278502</v>
      </c>
      <c r="H398" s="55">
        <v>4.6881372570836906</v>
      </c>
    </row>
    <row r="399" spans="3:8" x14ac:dyDescent="0.15">
      <c r="C399" s="29">
        <v>2047</v>
      </c>
      <c r="D399" s="55">
        <v>4.2050194972218788</v>
      </c>
      <c r="E399" s="55">
        <v>1.3257127546023242</v>
      </c>
      <c r="F399" s="55">
        <v>1.3257127546023242</v>
      </c>
      <c r="G399" s="55">
        <v>4.6466840134982794</v>
      </c>
      <c r="H399" s="55">
        <v>4.6891615490767968</v>
      </c>
    </row>
    <row r="400" spans="3:8" x14ac:dyDescent="0.15">
      <c r="C400" s="29">
        <v>2048</v>
      </c>
      <c r="D400" s="55">
        <v>4.520158622285039</v>
      </c>
      <c r="E400" s="55">
        <v>1.3258256733847988</v>
      </c>
      <c r="F400" s="55">
        <v>1.3258256733847988</v>
      </c>
      <c r="G400" s="55">
        <v>4.6616195758436829</v>
      </c>
      <c r="H400" s="55">
        <v>8.7144536688134941</v>
      </c>
    </row>
    <row r="401" spans="3:8" x14ac:dyDescent="0.15">
      <c r="C401" s="29">
        <v>2049</v>
      </c>
      <c r="D401" s="55">
        <v>4.8586932780844165</v>
      </c>
      <c r="E401" s="55">
        <v>1.3259009421377665</v>
      </c>
      <c r="F401" s="55">
        <v>1.3259009421377665</v>
      </c>
      <c r="G401" s="55">
        <v>4.6715240476483144</v>
      </c>
      <c r="H401" s="55">
        <v>12.406115435941315</v>
      </c>
    </row>
    <row r="402" spans="3:8" x14ac:dyDescent="0.15">
      <c r="C402" s="29">
        <v>2050</v>
      </c>
      <c r="D402" s="55">
        <v>5.2223755529576135</v>
      </c>
      <c r="E402" s="55">
        <v>1.3259511166698361</v>
      </c>
      <c r="F402" s="55">
        <v>1.3259511166698361</v>
      </c>
      <c r="G402" s="55">
        <v>4.6824467463801041</v>
      </c>
      <c r="H402" s="55">
        <v>14.147207007900082</v>
      </c>
    </row>
    <row r="403" spans="3:8" ht="15" x14ac:dyDescent="0.2">
      <c r="C403"/>
      <c r="D403"/>
      <c r="E403"/>
      <c r="F403"/>
      <c r="G403"/>
      <c r="H403"/>
    </row>
    <row r="404" spans="3:8" ht="15" x14ac:dyDescent="0.2">
      <c r="C404"/>
      <c r="D404"/>
      <c r="E404"/>
      <c r="F404"/>
      <c r="G404"/>
      <c r="H404"/>
    </row>
    <row r="405" spans="3:8" x14ac:dyDescent="0.15">
      <c r="C405" s="71" t="s">
        <v>211</v>
      </c>
    </row>
    <row r="406" spans="3:8" ht="16" x14ac:dyDescent="0.3">
      <c r="C406" s="74" t="s">
        <v>95</v>
      </c>
      <c r="D406" s="74" t="s">
        <v>181</v>
      </c>
      <c r="E406" s="74" t="s">
        <v>182</v>
      </c>
      <c r="F406" s="74" t="s">
        <v>183</v>
      </c>
      <c r="G406" s="74" t="s">
        <v>184</v>
      </c>
      <c r="H406" s="74" t="s">
        <v>185</v>
      </c>
    </row>
    <row r="407" spans="3:8" x14ac:dyDescent="0.15">
      <c r="C407" s="29">
        <v>2030</v>
      </c>
      <c r="D407" s="55">
        <v>0.47315393096606234</v>
      </c>
      <c r="E407" s="55">
        <v>0.47315393096606234</v>
      </c>
      <c r="F407" s="55">
        <v>0.47315393096606234</v>
      </c>
      <c r="G407" s="55">
        <v>0.47315393096606234</v>
      </c>
      <c r="H407" s="55">
        <v>0.47315393096606234</v>
      </c>
    </row>
    <row r="408" spans="3:8" x14ac:dyDescent="0.15">
      <c r="C408" s="29">
        <v>2031</v>
      </c>
      <c r="D408" s="55">
        <v>0.53385854617985196</v>
      </c>
      <c r="E408" s="55">
        <v>0.52810679238197</v>
      </c>
      <c r="F408" s="55">
        <v>0.52810679238197</v>
      </c>
      <c r="G408" s="55">
        <v>0.52810679238197</v>
      </c>
      <c r="H408" s="55">
        <v>0.52810679238197</v>
      </c>
    </row>
    <row r="409" spans="3:8" x14ac:dyDescent="0.15">
      <c r="C409" s="29">
        <v>2032</v>
      </c>
      <c r="D409" s="55">
        <v>0.56382273315318476</v>
      </c>
      <c r="E409" s="55">
        <v>0.55122665269806592</v>
      </c>
      <c r="F409" s="55">
        <v>0.55122665269806592</v>
      </c>
      <c r="G409" s="55">
        <v>0.55122665269806592</v>
      </c>
      <c r="H409" s="55">
        <v>0.55122665269806592</v>
      </c>
    </row>
    <row r="410" spans="3:8" x14ac:dyDescent="0.15">
      <c r="C410" s="29">
        <v>2033</v>
      </c>
      <c r="D410" s="55">
        <v>0.58296878161870858</v>
      </c>
      <c r="E410" s="55">
        <v>0.5636033973709359</v>
      </c>
      <c r="F410" s="55">
        <v>0.5636033973709359</v>
      </c>
      <c r="G410" s="55">
        <v>0.5636033973709359</v>
      </c>
      <c r="H410" s="55">
        <v>0.5636033973709359</v>
      </c>
    </row>
    <row r="411" spans="3:8" x14ac:dyDescent="0.15">
      <c r="C411" s="29">
        <v>2034</v>
      </c>
      <c r="D411" s="55">
        <v>0.59695977819987456</v>
      </c>
      <c r="E411" s="55">
        <v>0.57089140650337122</v>
      </c>
      <c r="F411" s="55">
        <v>0.57089140650337122</v>
      </c>
      <c r="G411" s="55">
        <v>0.57089140650337122</v>
      </c>
      <c r="H411" s="55">
        <v>0.75335215580594572</v>
      </c>
    </row>
    <row r="412" spans="3:8" x14ac:dyDescent="0.15">
      <c r="C412" s="29">
        <v>2035</v>
      </c>
      <c r="D412" s="55">
        <v>0.60811818736543266</v>
      </c>
      <c r="E412" s="55">
        <v>0.5753975397343577</v>
      </c>
      <c r="F412" s="55">
        <v>0.5753975397343577</v>
      </c>
      <c r="G412" s="55">
        <v>0.5753975397343577</v>
      </c>
      <c r="H412" s="55">
        <v>0.79438555975327674</v>
      </c>
    </row>
    <row r="413" spans="3:8" x14ac:dyDescent="0.15">
      <c r="C413" s="29">
        <v>2036</v>
      </c>
      <c r="D413" s="55">
        <v>0.61758750745168822</v>
      </c>
      <c r="E413" s="55">
        <v>0.57826251182120958</v>
      </c>
      <c r="F413" s="55">
        <v>0.57826251182120958</v>
      </c>
      <c r="G413" s="55">
        <v>0.57826251182120958</v>
      </c>
      <c r="H413" s="55">
        <v>0.80975814219053999</v>
      </c>
    </row>
    <row r="414" spans="3:8" x14ac:dyDescent="0.15">
      <c r="C414" s="29">
        <v>2037</v>
      </c>
      <c r="D414" s="55">
        <v>0.62599202780436658</v>
      </c>
      <c r="E414" s="55">
        <v>0.58011514702858857</v>
      </c>
      <c r="F414" s="55">
        <v>0.58011514702858857</v>
      </c>
      <c r="G414" s="55">
        <v>0.58011514702858857</v>
      </c>
      <c r="H414" s="55">
        <v>0.81761053135504724</v>
      </c>
    </row>
    <row r="415" spans="3:8" x14ac:dyDescent="0.15">
      <c r="C415" s="29">
        <v>2038</v>
      </c>
      <c r="D415" s="55">
        <v>0.63369477378814931</v>
      </c>
      <c r="E415" s="55">
        <v>0.58132595819225874</v>
      </c>
      <c r="F415" s="55">
        <v>0.58132595819225874</v>
      </c>
      <c r="G415" s="55">
        <v>0.58132595819225874</v>
      </c>
      <c r="H415" s="55">
        <v>0.82212099044724851</v>
      </c>
    </row>
    <row r="416" spans="3:8" x14ac:dyDescent="0.15">
      <c r="C416" s="29">
        <v>2039</v>
      </c>
      <c r="D416" s="55">
        <v>0.64091553087067654</v>
      </c>
      <c r="E416" s="55">
        <v>0.58212271166701401</v>
      </c>
      <c r="F416" s="55">
        <v>0.58212271166701401</v>
      </c>
      <c r="G416" s="55">
        <v>0.58212271166701401</v>
      </c>
      <c r="H416" s="55">
        <v>0.82486950486227251</v>
      </c>
    </row>
    <row r="417" spans="3:8" x14ac:dyDescent="0.15">
      <c r="C417" s="29">
        <v>2040</v>
      </c>
      <c r="D417" s="55">
        <v>0.64779097207238356</v>
      </c>
      <c r="E417" s="55">
        <v>0.58264933027957244</v>
      </c>
      <c r="F417" s="55">
        <v>0.58264933027957244</v>
      </c>
      <c r="G417" s="55">
        <v>0.7621930972074441</v>
      </c>
      <c r="H417" s="55">
        <v>0.82765398800467849</v>
      </c>
    </row>
    <row r="418" spans="3:8" x14ac:dyDescent="0.15">
      <c r="C418" s="29">
        <v>2041</v>
      </c>
      <c r="D418" s="55">
        <v>0.65440768667584726</v>
      </c>
      <c r="E418" s="55">
        <v>0.5829984146240369</v>
      </c>
      <c r="F418" s="55">
        <v>0.5829984146240369</v>
      </c>
      <c r="G418" s="55">
        <v>0.79709157520661122</v>
      </c>
      <c r="H418" s="55">
        <v>0.82840018341415844</v>
      </c>
    </row>
    <row r="419" spans="3:8" x14ac:dyDescent="0.15">
      <c r="C419" s="29">
        <v>2042</v>
      </c>
      <c r="D419" s="55">
        <v>0.66082130964267405</v>
      </c>
      <c r="E419" s="55">
        <v>0.58323025902612446</v>
      </c>
      <c r="F419" s="55">
        <v>0.58323025902612446</v>
      </c>
      <c r="G419" s="55">
        <v>0.81104938303517771</v>
      </c>
      <c r="H419" s="55">
        <v>0.82888980984098559</v>
      </c>
    </row>
    <row r="420" spans="3:8" x14ac:dyDescent="0.15">
      <c r="C420" s="29">
        <v>2043</v>
      </c>
      <c r="D420" s="55">
        <v>0.66706801742143385</v>
      </c>
      <c r="E420" s="55">
        <v>0.58338443387750905</v>
      </c>
      <c r="F420" s="55">
        <v>0.58338443387750905</v>
      </c>
      <c r="G420" s="55">
        <v>0.81832851668130335</v>
      </c>
      <c r="H420" s="55">
        <v>0.82921282700231391</v>
      </c>
    </row>
    <row r="421" spans="3:8" x14ac:dyDescent="0.15">
      <c r="C421" s="29">
        <v>2044</v>
      </c>
      <c r="D421" s="55">
        <v>0.6731716144235409</v>
      </c>
      <c r="E421" s="55">
        <v>0.58348704532375584</v>
      </c>
      <c r="F421" s="55">
        <v>0.58348704532375584</v>
      </c>
      <c r="G421" s="55">
        <v>0.82255075128712551</v>
      </c>
      <c r="H421" s="55">
        <v>0.8295571273119744</v>
      </c>
    </row>
    <row r="422" spans="3:8" x14ac:dyDescent="0.15">
      <c r="C422" s="29">
        <v>2045</v>
      </c>
      <c r="D422" s="55">
        <v>0.67914797797291915</v>
      </c>
      <c r="E422" s="55">
        <v>0.583555376808787</v>
      </c>
      <c r="F422" s="55">
        <v>0.583555376808787</v>
      </c>
      <c r="G422" s="55">
        <v>0.82513744801896538</v>
      </c>
      <c r="H422" s="55">
        <v>0.82965529389238868</v>
      </c>
    </row>
    <row r="423" spans="3:8" x14ac:dyDescent="0.15">
      <c r="C423" s="29">
        <v>2046</v>
      </c>
      <c r="D423" s="55">
        <v>0.68500787935394436</v>
      </c>
      <c r="E423" s="55">
        <v>0.58360089734992848</v>
      </c>
      <c r="F423" s="55">
        <v>0.58360089734992848</v>
      </c>
      <c r="G423" s="55">
        <v>0.82782060751562769</v>
      </c>
      <c r="H423" s="55">
        <v>0.82975900252037149</v>
      </c>
    </row>
    <row r="424" spans="3:8" x14ac:dyDescent="0.15">
      <c r="C424" s="29">
        <v>2047</v>
      </c>
      <c r="D424" s="55">
        <v>0.69075878846765004</v>
      </c>
      <c r="E424" s="55">
        <v>0.58363122938088485</v>
      </c>
      <c r="F424" s="55">
        <v>0.58363122938088485</v>
      </c>
      <c r="G424" s="55">
        <v>0.82850923513124952</v>
      </c>
      <c r="H424" s="55">
        <v>0.82978965316882169</v>
      </c>
    </row>
    <row r="425" spans="3:8" x14ac:dyDescent="0.15">
      <c r="C425" s="29">
        <v>2048</v>
      </c>
      <c r="D425" s="55">
        <v>0.69640603438476478</v>
      </c>
      <c r="E425" s="55">
        <v>0.58365144407503711</v>
      </c>
      <c r="F425" s="55">
        <v>0.58365144407503711</v>
      </c>
      <c r="G425" s="55">
        <v>0.82896163412698687</v>
      </c>
      <c r="H425" s="55">
        <v>0.90031820692545039</v>
      </c>
    </row>
    <row r="426" spans="3:8" x14ac:dyDescent="0.15">
      <c r="C426" s="29">
        <v>2049</v>
      </c>
      <c r="D426" s="55">
        <v>0.70195355433428197</v>
      </c>
      <c r="E426" s="55">
        <v>0.58366491757944849</v>
      </c>
      <c r="F426" s="55">
        <v>0.58366491757944849</v>
      </c>
      <c r="G426" s="55">
        <v>0.8292603271516602</v>
      </c>
      <c r="H426" s="55">
        <v>0.92776772920731065</v>
      </c>
    </row>
    <row r="427" spans="3:8" x14ac:dyDescent="0.15">
      <c r="C427" s="29">
        <v>2050</v>
      </c>
      <c r="D427" s="55">
        <v>0.7074043782149364</v>
      </c>
      <c r="E427" s="55">
        <v>0.58367389860136032</v>
      </c>
      <c r="F427" s="55">
        <v>0.58367389860136032</v>
      </c>
      <c r="G427" s="55">
        <v>0.82958851993398142</v>
      </c>
      <c r="H427" s="55">
        <v>0.93607044784283222</v>
      </c>
    </row>
    <row r="431" x14ac:dyDescent="0.15">
      <c r="C431" s="71" t="inlineStr">
        <is>
          <t>Dashboard chart data - partial adjustment (Figure 3)</t>
        </is>
      </c>
    </row>
    <row r="432" ht="16" x14ac:dyDescent="0.3">
      <c r="C432" s="74" t="inlineStr">
        <is>
          <t>Year</t>
        </is>
      </c>
      <c r="D432" s="74" t="inlineStr">
        <is>
          <t>Moderate (P10)</t>
        </is>
      </c>
      <c r="E432" s="74" t="inlineStr">
        <is>
          <t>Moderate (P90 - P10)</t>
        </is>
      </c>
      <c r="F432" s="74" t="inlineStr">
        <is>
          <t>Moderate (Mean)</t>
        </is>
      </c>
      <c r="G432" s="74" t="inlineStr">
        <is>
          <t>Transformative (P10)</t>
        </is>
      </c>
      <c r="H432" s="74" t="inlineStr">
        <is>
          <t>Transformative (P90 - P10)</t>
        </is>
      </c>
      <c r="I432" s="74" t="inlineStr">
        <is>
          <t>Transformative (Mean)</t>
        </is>
      </c>
      <c r="J432" s="74" t="inlineStr">
        <is>
          <t>Singularity (P10)</t>
        </is>
      </c>
      <c r="K432" s="74" t="inlineStr">
        <is>
          <t>Singularity (P90 - P10)</t>
        </is>
      </c>
      <c r="L432" s="74" t="inlineStr">
        <is>
          <t>Singularity (Mean)</t>
        </is>
      </c>
    </row>
    <row r="433" x14ac:dyDescent="0.15">
      <c r="C433" s="29">
        <f>C241</f>
        <v>2023</v>
      </c>
      <c r="D433" s="89">
        <f>'Scenario Calculations'!K73</f>
        <v>0</v>
      </c>
      <c r="E433" s="89">
        <f>0</f>
        <v>0</v>
      </c>
      <c r="F433" s="75">
        <f>'Scenario Calculations'!K73</f>
        <v>0</v>
      </c>
      <c r="G433" s="89">
        <f>'Scenario Calculations'!K89</f>
        <v>0</v>
      </c>
      <c r="H433" s="89">
        <f>0</f>
        <v>0</v>
      </c>
      <c r="I433" s="75">
        <f>'Scenario Calculations'!K89</f>
        <v>0</v>
      </c>
      <c r="J433" s="89">
        <f>'Scenario Calculations'!K121</f>
        <v>0</v>
      </c>
      <c r="K433" s="89">
        <f>0</f>
        <v>0</v>
      </c>
      <c r="L433" s="75">
        <f>'Scenario Calculations'!K121</f>
        <v>0</v>
      </c>
    </row>
    <row r="434" x14ac:dyDescent="0.15">
      <c r="C434" s="29">
        <f>C242</f>
        <v>2024</v>
      </c>
      <c r="D434" s="89">
        <f>'Scenario Calculations'!K74</f>
        <v>0.0408541082337599</v>
      </c>
      <c r="E434" s="89">
        <f>0</f>
        <v>0</v>
      </c>
      <c r="F434" s="75">
        <f>'Scenario Calculations'!K74</f>
        <v>0.0408541082337599</v>
      </c>
      <c r="G434" s="89">
        <f>'Scenario Calculations'!K90</f>
        <v>0.0408541082337599</v>
      </c>
      <c r="H434" s="89">
        <f>0</f>
        <v>0</v>
      </c>
      <c r="I434" s="75">
        <f>'Scenario Calculations'!K90</f>
        <v>0.0408541082337599</v>
      </c>
      <c r="J434" s="89">
        <f>'Scenario Calculations'!K122</f>
        <v>0.0408541082337599</v>
      </c>
      <c r="K434" s="89">
        <f>0</f>
        <v>0</v>
      </c>
      <c r="L434" s="75">
        <f>'Scenario Calculations'!K122</f>
        <v>0.0408541082337599</v>
      </c>
    </row>
    <row r="435" x14ac:dyDescent="0.15">
      <c r="C435" s="29">
        <f>C243</f>
        <v>2025</v>
      </c>
      <c r="D435" s="89">
        <f>'Scenario Calculations'!K75</f>
        <v>0.04393348537154762</v>
      </c>
      <c r="E435" s="89">
        <f>0</f>
        <v>0</v>
      </c>
      <c r="F435" s="75">
        <f>'Scenario Calculations'!K75</f>
        <v>0.04393348537154762</v>
      </c>
      <c r="G435" s="89">
        <f>'Scenario Calculations'!K91</f>
        <v>0.04393348537154762</v>
      </c>
      <c r="H435" s="89">
        <f>0</f>
        <v>0</v>
      </c>
      <c r="I435" s="75">
        <f>'Scenario Calculations'!K91</f>
        <v>0.04393348537154762</v>
      </c>
      <c r="J435" s="89">
        <f>'Scenario Calculations'!K123</f>
        <v>0.04393348537154762</v>
      </c>
      <c r="K435" s="89">
        <f>0</f>
        <v>0</v>
      </c>
      <c r="L435" s="75">
        <f>'Scenario Calculations'!K123</f>
        <v>0.04393348537154762</v>
      </c>
    </row>
    <row r="436" x14ac:dyDescent="0.15">
      <c r="C436" s="29">
        <f>C244</f>
        <v>2026</v>
      </c>
      <c r="D436" s="89">
        <f>'Scenario Calculations'!K76</f>
        <v>0.0514042049425234</v>
      </c>
      <c r="E436" s="89">
        <f>0</f>
        <v>0</v>
      </c>
      <c r="F436" s="75">
        <f>'Scenario Calculations'!K76</f>
        <v>0.0514042049425234</v>
      </c>
      <c r="G436" s="89">
        <f>'Scenario Calculations'!K92</f>
        <v>0.0514042049425234</v>
      </c>
      <c r="H436" s="89">
        <f>0</f>
        <v>0</v>
      </c>
      <c r="I436" s="75">
        <f>'Scenario Calculations'!K92</f>
        <v>0.0514042049425234</v>
      </c>
      <c r="J436" s="89">
        <f>'Scenario Calculations'!K124</f>
        <v>0.0514042049425234</v>
      </c>
      <c r="K436" s="89">
        <f>0</f>
        <v>0</v>
      </c>
      <c r="L436" s="75">
        <f>'Scenario Calculations'!K124</f>
        <v>0.0514042049425234</v>
      </c>
    </row>
    <row r="437" x14ac:dyDescent="0.15">
      <c r="C437" s="29">
        <f>C245</f>
        <v>2027</v>
      </c>
      <c r="D437" s="89">
        <f>'Scenario Calculations'!K77</f>
        <v>0.06498688874163294</v>
      </c>
      <c r="E437" s="89">
        <f>0</f>
        <v>0</v>
      </c>
      <c r="F437" s="75">
        <f>'Scenario Calculations'!K77</f>
        <v>0.06498688874163294</v>
      </c>
      <c r="G437" s="89">
        <f>'Scenario Calculations'!K93</f>
        <v>0.06498688874163294</v>
      </c>
      <c r="H437" s="89">
        <f>0</f>
        <v>0</v>
      </c>
      <c r="I437" s="75">
        <f>'Scenario Calculations'!K93</f>
        <v>0.06498688874163294</v>
      </c>
      <c r="J437" s="89">
        <f>'Scenario Calculations'!K125</f>
        <v>0.06498688874163294</v>
      </c>
      <c r="K437" s="89">
        <f>0</f>
        <v>0</v>
      </c>
      <c r="L437" s="75">
        <f>'Scenario Calculations'!K125</f>
        <v>0.06498688874163294</v>
      </c>
    </row>
    <row r="438" x14ac:dyDescent="0.15">
      <c r="C438" s="29">
        <f>C246</f>
        <v>2028</v>
      </c>
      <c r="D438" s="89">
        <f>'Scenario Calculations'!K78</f>
        <v>0.07843665145505474</v>
      </c>
      <c r="E438" s="89">
        <f>0</f>
        <v>0</v>
      </c>
      <c r="F438" s="75">
        <f>'Scenario Calculations'!K78</f>
        <v>0.07843665145505474</v>
      </c>
      <c r="G438" s="89">
        <f>'Scenario Calculations'!K94</f>
        <v>0.07843665145505474</v>
      </c>
      <c r="H438" s="89">
        <f>0</f>
        <v>0</v>
      </c>
      <c r="I438" s="75">
        <f>'Scenario Calculations'!K94</f>
        <v>0.07843665145505474</v>
      </c>
      <c r="J438" s="89">
        <f>'Scenario Calculations'!K126</f>
        <v>0.07843665145505474</v>
      </c>
      <c r="K438" s="89">
        <f>0</f>
        <v>0</v>
      </c>
      <c r="L438" s="75">
        <f>'Scenario Calculations'!K126</f>
        <v>0.07843665145505474</v>
      </c>
    </row>
    <row r="439" x14ac:dyDescent="0.15">
      <c r="C439" s="29">
        <f>C247</f>
        <v>2029</v>
      </c>
      <c r="D439" s="89">
        <f>'Scenario Calculations'!K79</f>
        <v>0.09066996077286138</v>
      </c>
      <c r="E439" s="89">
        <f>0</f>
        <v>0</v>
      </c>
      <c r="F439" s="75">
        <f>'Scenario Calculations'!K79</f>
        <v>0.09066996077286138</v>
      </c>
      <c r="G439" s="89">
        <f>'Scenario Calculations'!K95</f>
        <v>0.2491670116158744</v>
      </c>
      <c r="H439" s="89">
        <f>0</f>
        <v>0</v>
      </c>
      <c r="I439" s="75">
        <f>'Scenario Calculations'!K95</f>
        <v>0.2491670116158744</v>
      </c>
      <c r="J439" s="89">
        <f>'Scenario Calculations'!K127</f>
        <v>0.2491670116158744</v>
      </c>
      <c r="K439" s="89">
        <f>0</f>
        <v>0</v>
      </c>
      <c r="L439" s="75">
        <f>'Scenario Calculations'!K127</f>
        <v>0.2491670116158744</v>
      </c>
    </row>
    <row r="440" x14ac:dyDescent="0.15">
      <c r="C440" s="29">
        <f>C248</f>
        <v>2030</v>
      </c>
      <c r="D440" s="75">
        <f>E282</f>
        <v>0.09763310669550694</v>
      </c>
      <c r="E440" s="75">
        <f>H282-E282</f>
        <v>0</v>
      </c>
      <c r="F440" s="75">
        <f>D282</f>
        <v>0.09763310669550694</v>
      </c>
      <c r="G440" s="75">
        <f>E332</f>
        <v>0.34716161215055696</v>
      </c>
      <c r="H440" s="75">
        <f>H332-E332</f>
        <v>0</v>
      </c>
      <c r="I440" s="75">
        <f>D332</f>
        <v>0.34716161215055696</v>
      </c>
      <c r="J440" s="75">
        <f>E382</f>
        <v>0.8380210413690821</v>
      </c>
      <c r="K440" s="75">
        <f>H382-E382</f>
        <v>0</v>
      </c>
      <c r="L440" s="75">
        <f>D382</f>
        <v>0.8380210413690821</v>
      </c>
    </row>
    <row r="441" x14ac:dyDescent="0.15">
      <c r="C441" s="29">
        <f>C249</f>
        <v>2031</v>
      </c>
      <c r="D441" s="75">
        <f>E283</f>
        <v>0.09245490342801563</v>
      </c>
      <c r="E441" s="75">
        <f>H283-E283</f>
        <v>0</v>
      </c>
      <c r="F441" s="75">
        <f>D283</f>
        <v>0.09727920291774203</v>
      </c>
      <c r="G441" s="75">
        <f>E333</f>
        <v>0.35107027296178933</v>
      </c>
      <c r="H441" s="75">
        <f>H333-E333</f>
        <v>0</v>
      </c>
      <c r="I441" s="75">
        <f>D333</f>
        <v>0.3659480013457142</v>
      </c>
      <c r="J441" s="75">
        <f>E383</f>
        <v>1.052062086960132</v>
      </c>
      <c r="K441" s="75">
        <f>H383-E383</f>
        <v>0</v>
      </c>
      <c r="L441" s="75">
        <f>D383</f>
        <v>1.094190211831135</v>
      </c>
    </row>
    <row r="442" x14ac:dyDescent="0.15">
      <c r="C442" s="29">
        <f>C250</f>
        <v>2032</v>
      </c>
      <c r="D442" s="75">
        <f>E284</f>
        <v>0.0887470417839938</v>
      </c>
      <c r="E442" s="75">
        <f>H284-E284</f>
        <v>0</v>
      </c>
      <c r="F442" s="75">
        <f>D284</f>
        <v>0.09989267600507613</v>
      </c>
      <c r="G442" s="75">
        <f>E334</f>
        <v>0.353632335003409</v>
      </c>
      <c r="H442" s="75">
        <f>H334-E334</f>
        <v>0</v>
      </c>
      <c r="I442" s="75">
        <f>D334</f>
        <v>0.3904979582945276</v>
      </c>
      <c r="J442" s="75">
        <f>E384</f>
        <v>1.1577800158338238</v>
      </c>
      <c r="K442" s="75">
        <f>H384-E384</f>
        <v>0</v>
      </c>
      <c r="L442" s="75">
        <f>D384</f>
        <v>1.2781157235191374</v>
      </c>
    </row>
    <row r="443" x14ac:dyDescent="0.15">
      <c r="C443" s="29">
        <f>C251</f>
        <v>2033</v>
      </c>
      <c r="D443" s="75">
        <f>E285</f>
        <v>0.08614227340738136</v>
      </c>
      <c r="E443" s="75">
        <f>H285-E285</f>
        <v>0</v>
      </c>
      <c r="F443" s="75">
        <f>D285</f>
        <v>0.1048602428399464</v>
      </c>
      <c r="G443" s="75">
        <f>E335</f>
        <v>0.3553216255462397</v>
      </c>
      <c r="H443" s="75">
        <f>H335-E335</f>
        <v>0</v>
      </c>
      <c r="I443" s="75">
        <f>D335</f>
        <v>0.41892315462994567</v>
      </c>
      <c r="J443" s="75">
        <f>E385</f>
        <v>1.2189773124106187</v>
      </c>
      <c r="K443" s="75">
        <f>H385-E385</f>
        <v>0</v>
      </c>
      <c r="L443" s="75">
        <f>D385</f>
        <v>1.4344475722077132</v>
      </c>
    </row>
    <row r="444" x14ac:dyDescent="0.15">
      <c r="C444" s="29">
        <f>C252</f>
        <v>2034</v>
      </c>
      <c r="D444" s="75">
        <f>E286</f>
        <v>0.08433962968092233</v>
      </c>
      <c r="E444" s="75">
        <f>H286-E286</f>
        <v>0.15029419555973095</v>
      </c>
      <c r="F444" s="75">
        <f>D286</f>
        <v>0.11172026084267851</v>
      </c>
      <c r="G444" s="75">
        <f>E336</f>
        <v>0.356439676587907</v>
      </c>
      <c r="H444" s="75">
        <f>H336-E336</f>
        <v>0.5028819630770563</v>
      </c>
      <c r="I444" s="75">
        <f>D336</f>
        <v>0.45058383737370394</v>
      </c>
      <c r="J444" s="75">
        <f>E386</f>
        <v>1.256664571912315</v>
      </c>
      <c r="K444" s="75">
        <f>H386-E386</f>
        <v>1.6693951251069574</v>
      </c>
      <c r="L444" s="75">
        <f>D386</f>
        <v>1.5800925310005984</v>
      </c>
    </row>
    <row r="445" x14ac:dyDescent="0.15">
      <c r="C445" s="29">
        <f>C253</f>
        <v>2035</v>
      </c>
      <c r="D445" s="75">
        <f>E287</f>
        <v>0.08310601860555589</v>
      </c>
      <c r="E445" s="75">
        <f>H287-E287</f>
        <v>0.20406558648266054</v>
      </c>
      <c r="F445" s="75">
        <f>D287</f>
        <v>0.12014845405099357</v>
      </c>
      <c r="G445" s="75">
        <f>E337</f>
        <v>0.35718147983473697</v>
      </c>
      <c r="H445" s="75">
        <f>H337-E337</f>
        <v>0.704171503000458</v>
      </c>
      <c r="I445" s="75">
        <f>D337</f>
        <v>0.4852643719436187</v>
      </c>
      <c r="J445" s="75">
        <f>E387</f>
        <v>1.2806136352604693</v>
      </c>
      <c r="K445" s="75">
        <f>H387-E387</f>
        <v>2.4289493666619975</v>
      </c>
      <c r="L445" s="75">
        <f>D387</f>
        <v>1.723356635640443</v>
      </c>
    </row>
    <row r="446" x14ac:dyDescent="0.15">
      <c r="C446" s="29">
        <f>C254</f>
        <v>2036</v>
      </c>
      <c r="D446" s="75">
        <f>E288</f>
        <v>0.08226864275812476</v>
      </c>
      <c r="E446" s="75">
        <f>H288-E288</f>
        <v>0.232089273346911</v>
      </c>
      <c r="F446" s="75">
        <f>D288</f>
        <v>0.12992953780844396</v>
      </c>
      <c r="G446" s="75">
        <f>E338</f>
        <v>0.3576744471962347</v>
      </c>
      <c r="H446" s="75">
        <f>H338-E338</f>
        <v>0.8052691386525406</v>
      </c>
      <c r="I446" s="75">
        <f>D338</f>
        <v>0.522936699148621</v>
      </c>
      <c r="J446" s="75">
        <f>E388</f>
        <v>1.296106434902566</v>
      </c>
      <c r="K446" s="75">
        <f>H388-E388</f>
        <v>2.7940150115397677</v>
      </c>
      <c r="L446" s="75">
        <f>D388</f>
        <v>1.8690692662639175</v>
      </c>
    </row>
    <row r="447" x14ac:dyDescent="0.15">
      <c r="C447" s="29">
        <f>C255</f>
        <v>2037</v>
      </c>
      <c r="D447" s="75">
        <f>E289</f>
        <v>0.08170347917736048</v>
      </c>
      <c r="E447" s="75">
        <f>H289-E289</f>
        <v>0.24864179563822414</v>
      </c>
      <c r="F447" s="75">
        <f>D289</f>
        <v>0.14093181170944125</v>
      </c>
      <c r="G447" s="75">
        <f>E339</f>
        <v>0.35800239980515564</v>
      </c>
      <c r="H447" s="75">
        <f>H339-E339</f>
        <v>0.8640943897855848</v>
      </c>
      <c r="I447" s="75">
        <f>D339</f>
        <v>0.5636734364166667</v>
      </c>
      <c r="J447" s="75">
        <f>E389</f>
        <v>1.3062374210314691</v>
      </c>
      <c r="K447" s="75">
        <f>H389-E389</f>
        <v>3.0030283366971493</v>
      </c>
      <c r="L447" s="75">
        <f>D389</f>
        <v>2.0203815034700705</v>
      </c>
    </row>
    <row r="448" x14ac:dyDescent="0.15">
      <c r="C448" s="29">
        <f>C256</f>
        <v>2038</v>
      </c>
      <c r="D448" s="75">
        <f>E290</f>
        <v>0.08132354967543728</v>
      </c>
      <c r="E448" s="75">
        <f>H290-E290</f>
        <v>0.258941835424499</v>
      </c>
      <c r="F448" s="75">
        <f>D290</f>
        <v>0.1530859192440597</v>
      </c>
      <c r="G448" s="75">
        <f>E340</f>
        <v>0.3582207285548862</v>
      </c>
      <c r="H448" s="75">
        <f>H340-E340</f>
        <v>0.9004055052711137</v>
      </c>
      <c r="I448" s="75">
        <f>D340</f>
        <v>0.607609728260776</v>
      </c>
      <c r="J448" s="75">
        <f>E390</f>
        <v>1.3129070917934818</v>
      </c>
      <c r="K448" s="75">
        <f>H390-E390</f>
        <v>3.1309851520510175</v>
      </c>
      <c r="L448" s="75">
        <f>D390</f>
        <v>2.179549665527728</v>
      </c>
    </row>
    <row r="449" x14ac:dyDescent="0.15">
      <c r="C449" s="29">
        <f>C257</f>
        <v>2039</v>
      </c>
      <c r="D449" s="75">
        <f>E291</f>
        <v>0.08106883668198124</v>
      </c>
      <c r="E449" s="75">
        <f>H291-E291</f>
        <v>0.2655267656028885</v>
      </c>
      <c r="F449" s="75">
        <f>D291</f>
        <v>0.16636827506387633</v>
      </c>
      <c r="G449" s="75">
        <f>E341</f>
        <v>0.3583661453133265</v>
      </c>
      <c r="H449" s="75">
        <f>H341-E341</f>
        <v>0.9235086734814142</v>
      </c>
      <c r="I449" s="75">
        <f>D341</f>
        <v>0.6549245718724231</v>
      </c>
      <c r="J449" s="75">
        <f>E391</f>
        <v>1.3173170389564974</v>
      </c>
      <c r="K449" s="75">
        <f>H391-E391</f>
        <v>3.2120121603095964</v>
      </c>
      <c r="L449" s="75">
        <f>D391</f>
        <v>2.3483290639809984</v>
      </c>
    </row>
    <row r="450" x14ac:dyDescent="0.15">
      <c r="C450" s="29">
        <f>C258</f>
        <v>2040</v>
      </c>
      <c r="D450" s="75">
        <f>E292</f>
        <v>0.08089838636660479</v>
      </c>
      <c r="E450" s="75">
        <f>H292-E292</f>
        <v>0.27260859734730125</v>
      </c>
      <c r="F450" s="75">
        <f>D292</f>
        <v>0.1807888341508188</v>
      </c>
      <c r="G450" s="75">
        <f>E342</f>
        <v>0.35846302960811777</v>
      </c>
      <c r="H450" s="75">
        <f>H342-E342</f>
        <v>0.9482475688312413</v>
      </c>
      <c r="I450" s="75">
        <f>D342</f>
        <v>0.7058311131372127</v>
      </c>
      <c r="J450" s="75">
        <f>E392</f>
        <v>1.3202410603429509</v>
      </c>
      <c r="K450" s="75">
        <f>H392-E392</f>
        <v>3.2984219376337722</v>
      </c>
      <c r="L450" s="75">
        <f>D392</f>
        <v>2.528192365165759</v>
      </c>
    </row>
    <row r="451" x14ac:dyDescent="0.15">
      <c r="C451" s="29">
        <f>C259</f>
        <v>2041</v>
      </c>
      <c r="D451" s="75">
        <f>E293</f>
        <v>0.08078446536030966</v>
      </c>
      <c r="E451" s="75">
        <f>H293-E293</f>
        <v>0.2744543299088206</v>
      </c>
      <c r="F451" s="75">
        <f>D293</f>
        <v>0.19638243793208193</v>
      </c>
      <c r="G451" s="75">
        <f>E343</f>
        <v>0.3585275924126731</v>
      </c>
      <c r="H451" s="75">
        <f>H343-E343</f>
        <v>0.9546918670469013</v>
      </c>
      <c r="I451" s="75">
        <f>D343</f>
        <v>0.7605715446211047</v>
      </c>
      <c r="J451" s="75">
        <f>E393</f>
        <v>1.3221834026695847</v>
      </c>
      <c r="K451" s="75">
        <f>H393-E393</f>
        <v>3.3209121420307977</v>
      </c>
      <c r="L451" s="75">
        <f>D393</f>
        <v>2.7204595293682625</v>
      </c>
    </row>
    <row r="452" x14ac:dyDescent="0.15">
      <c r="C452" s="29">
        <f>C260</f>
        <v>2042</v>
      </c>
      <c r="D452" s="75">
        <f>E294</f>
        <v>0.08070838957752882</v>
      </c>
      <c r="E452" s="75">
        <f>H294-E294</f>
        <v>0.2756763885248458</v>
      </c>
      <c r="F452" s="75">
        <f>D294</f>
        <v>0.21320289432634207</v>
      </c>
      <c r="G452" s="75">
        <f>E344</f>
        <v>0.35857062241483445</v>
      </c>
      <c r="H452" s="75">
        <f>H344-E344</f>
        <v>0.9589533186451458</v>
      </c>
      <c r="I452" s="75">
        <f>D344</f>
        <v>0.8194145755703215</v>
      </c>
      <c r="J452" s="75">
        <f>E394</f>
        <v>1.3234752076390908</v>
      </c>
      <c r="K452" s="75">
        <f>H394-E394</f>
        <v>3.3357678774575037</v>
      </c>
      <c r="L452" s="75">
        <f>D394</f>
        <v>2.926379351861364</v>
      </c>
    </row>
    <row r="453" x14ac:dyDescent="0.15">
      <c r="C453" s="29">
        <f>C261</f>
        <v>2043</v>
      </c>
      <c r="D453" s="75">
        <f>E295</f>
        <v>0.0806576150980623</v>
      </c>
      <c r="E453" s="75">
        <f>H295-E295</f>
        <v>0.276487406998948</v>
      </c>
      <c r="F453" s="75">
        <f>D295</f>
        <v>0.23131905346475237</v>
      </c>
      <c r="G453" s="75">
        <f>E345</f>
        <v>0.3585993038115481</v>
      </c>
      <c r="H453" s="75">
        <f>H345-E345</f>
        <v>0.961779102340816</v>
      </c>
      <c r="I453" s="75">
        <f>D345</f>
        <v>0.8826544444842556</v>
      </c>
      <c r="J453" s="75">
        <f>E395</f>
        <v>1.3243350445582136</v>
      </c>
      <c r="K453" s="75">
        <f>H395-E395</f>
        <v>3.3456116115649905</v>
      </c>
      <c r="L453" s="75">
        <f>D395</f>
        <v>3.147182925820551</v>
      </c>
    </row>
    <row r="454" x14ac:dyDescent="0.15">
      <c r="C454" s="29">
        <f>C262</f>
        <v>2044</v>
      </c>
      <c r="D454" s="75">
        <f>E296</f>
        <v>0.08062373992165142</v>
      </c>
      <c r="E454" s="75">
        <f>H296-E296</f>
        <v>0.27738521964810514</v>
      </c>
      <c r="F454" s="75">
        <f>D296</f>
        <v>0.25081230060339144</v>
      </c>
      <c r="G454" s="75">
        <f>E346</f>
        <v>0.3586184224007574</v>
      </c>
      <c r="H454" s="75">
        <f>H346-E346</f>
        <v>0.9649047501711978</v>
      </c>
      <c r="I454" s="75">
        <f>D346</f>
        <v>0.9506109151458042</v>
      </c>
      <c r="J454" s="75">
        <f>E396</f>
        <v>1.3249076639156827</v>
      </c>
      <c r="K454" s="75">
        <f>H396-E396</f>
        <v>3.35649247429612</v>
      </c>
      <c r="L454" s="75">
        <f>D396</f>
        <v>3.3841201665117113</v>
      </c>
    </row>
    <row r="455" x14ac:dyDescent="0.15">
      <c r="C455" s="29">
        <f>C263</f>
        <v>2045</v>
      </c>
      <c r="D455" s="75">
        <f>E297</f>
        <v>0.08060114510889181</v>
      </c>
      <c r="E455" s="75">
        <f>H297-E297</f>
        <v>0.27762395175032656</v>
      </c>
      <c r="F455" s="75">
        <f>D297</f>
        <v>0.2717750404263928</v>
      </c>
      <c r="G455" s="75">
        <f>E347</f>
        <v>0.35863116708630693</v>
      </c>
      <c r="H455" s="75">
        <f>H347-E347</f>
        <v>0.9657358139316952</v>
      </c>
      <c r="I455" s="75">
        <f>D347</f>
        <v>1.023629936459159</v>
      </c>
      <c r="J455" s="75">
        <f>E397</f>
        <v>1.325289141750643</v>
      </c>
      <c r="K455" s="75">
        <f>H397-E397</f>
        <v>3.3593850848451066</v>
      </c>
      <c r="L455" s="75">
        <f>D397</f>
        <v>3.6384858741853447</v>
      </c>
    </row>
    <row r="456" x14ac:dyDescent="0.15">
      <c r="C456" s="29">
        <f>C264</f>
        <v>2046</v>
      </c>
      <c r="D456" s="75">
        <f>E298</f>
        <v>0.08058607684532204</v>
      </c>
      <c r="E456" s="75">
        <f>H298-E298</f>
        <v>0.2778889537117052</v>
      </c>
      <c r="F456" s="75">
        <f>D298</f>
        <v>0.2943098710293937</v>
      </c>
      <c r="G456" s="75">
        <f>E348</f>
        <v>0.35863966308093526</v>
      </c>
      <c r="H456" s="75">
        <f>H348-E348</f>
        <v>0.9666579832339917</v>
      </c>
      <c r="I456" s="75">
        <f>D348</f>
        <v>1.1020847769426054</v>
      </c>
      <c r="J456" s="75">
        <f>E398</f>
        <v>1.3255433411938435</v>
      </c>
      <c r="K456" s="75">
        <f>H398-E398</f>
        <v>3.362593915889847</v>
      </c>
      <c r="L456" s="75">
        <f>D398</f>
        <v>3.9116392727520677</v>
      </c>
    </row>
    <row r="457" x14ac:dyDescent="0.15">
      <c r="C457" s="29">
        <f>C265</f>
        <v>2047</v>
      </c>
      <c r="D457" s="75">
        <f>E299</f>
        <v>0.08057602908798844</v>
      </c>
      <c r="E457" s="75">
        <f>H299-E299</f>
        <v>0.27795956139184125</v>
      </c>
      <c r="F457" s="75">
        <f>D299</f>
        <v>0.3185292390039708</v>
      </c>
      <c r="G457" s="75">
        <f>E349</f>
        <v>0.35864532687186446</v>
      </c>
      <c r="H457" s="75">
        <f>H349-E349</f>
        <v>0.9669036819196984</v>
      </c>
      <c r="I457" s="75">
        <f>D349</f>
        <v>1.1863775199801125</v>
      </c>
      <c r="J457" s="75">
        <f>E399</f>
        <v>1.3257127546023242</v>
      </c>
      <c r="K457" s="75">
        <f>H399-E399</f>
        <v>3.363448794474473</v>
      </c>
      <c r="L457" s="75">
        <f>D399</f>
        <v>4.205019497221879</v>
      </c>
    </row>
    <row r="458" x14ac:dyDescent="0.15">
      <c r="C458" s="29">
        <f>C266</f>
        <v>2048</v>
      </c>
      <c r="D458" s="75">
        <f>E300</f>
        <v>0.08056932958338846</v>
      </c>
      <c r="E458" s="75">
        <f>H300-E300</f>
        <v>0.6106863091038672</v>
      </c>
      <c r="F458" s="75">
        <f>D300</f>
        <v>0.34455543389848137</v>
      </c>
      <c r="G458" s="75">
        <f>E350</f>
        <v>0.35864910264116223</v>
      </c>
      <c r="H458" s="75">
        <f>H350-E350</f>
        <v>2.1241824382709193</v>
      </c>
      <c r="I458" s="75">
        <f>D350</f>
        <v>1.276940851375403</v>
      </c>
      <c r="J458" s="75">
        <f>E400</f>
        <v>1.3258256733847988</v>
      </c>
      <c r="K458" s="75">
        <f>H400-E400</f>
        <v>7.3886279954286955</v>
      </c>
      <c r="L458" s="75">
        <f>D400</f>
        <v>4.520158622285039</v>
      </c>
    </row>
    <row r="459" x14ac:dyDescent="0.15">
      <c r="C459" s="29">
        <f>C267</f>
        <v>2049</v>
      </c>
      <c r="D459" s="75">
        <f>E301</f>
        <v>0.08056486280253249</v>
      </c>
      <c r="E459" s="75">
        <f>H301-E301</f>
        <v>0.9156984150183912</v>
      </c>
      <c r="F459" s="75">
        <f>D301</f>
        <v>0.37252082708078627</v>
      </c>
      <c r="G459" s="75">
        <f>E351</f>
        <v>0.3586516197801087</v>
      </c>
      <c r="H459" s="75">
        <f>H351-E351</f>
        <v>3.185300589865534</v>
      </c>
      <c r="I459" s="75">
        <f>D351</f>
        <v>1.3742400992077295</v>
      </c>
      <c r="J459" s="75">
        <f>E401</f>
        <v>1.3259009421377665</v>
      </c>
      <c r="K459" s="75">
        <f>H401-E401</f>
        <v>11.080214493803549</v>
      </c>
      <c r="L459" s="75">
        <f>D401</f>
        <v>4.8586932780844165</v>
      </c>
    </row>
    <row r="460" x14ac:dyDescent="0.15">
      <c r="C460" s="29">
        <f>C268</f>
        <v>2050</v>
      </c>
      <c r="D460" s="75">
        <f>E302</f>
        <v>0.080561884751051</v>
      </c>
      <c r="E460" s="75">
        <f>H302-E302</f>
        <v>1.059569174528566</v>
      </c>
      <c r="F460" s="75">
        <f>D302</f>
        <v>0.4025682922115118</v>
      </c>
      <c r="G460" s="75">
        <f>E352</f>
        <v>0.35865329785470235</v>
      </c>
      <c r="H460" s="75">
        <f>H352-E352</f>
        <v>3.6857847590396693</v>
      </c>
      <c r="I460" s="75">
        <f>D352</f>
        <v>1.4787755043698727</v>
      </c>
      <c r="J460" s="75">
        <f>E402</f>
        <v>1.3259511166698361</v>
      </c>
      <c r="K460" s="75">
        <f>H402-E402</f>
        <v>12.821255891230246</v>
      </c>
      <c r="L460" s="75">
        <f>D402</f>
        <v>5.2223755529576135</v>
      </c>
    </row>
  </sheetData>
  <dataValidations count="2">
    <dataValidation type="list" allowBlank="1" showInputMessage="1" showErrorMessage="1" sqref="D9 D11" xr:uid="{2781A634-F31C-4523-8147-D02D3512C07D}">
      <formula1>"1, 2, 3, 4"</formula1>
    </dataValidation>
    <dataValidation type="list" allowBlank="1" showInputMessage="1" showErrorMessage="1" sqref="D8" xr:uid="{D8738A2B-6577-4EB2-B710-34D7976ABEBD}">
      <formula1>"True, False"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2:M40"/>
  <sheetViews>
    <sheetView showGridLines="0" zoomScale="85" zoomScaleNormal="85" workbookViewId="0"/>
  </sheetViews>
  <sheetFormatPr baseColWidth="10" defaultColWidth="8.6640625" defaultRowHeight="13" x14ac:dyDescent="0.15"/>
  <cols>
    <col min="1" max="2" width="1.6640625" style="29" customWidth="1"/>
    <col min="3" max="13" width="20.6640625" style="29" customWidth="1"/>
    <col min="14" max="21" width="13" style="29" customWidth="1"/>
    <col min="22" max="16384" width="8.6640625" style="29"/>
  </cols>
  <sheetData>
    <row r="2" spans="1:13" ht="15.75" customHeight="1" x14ac:dyDescent="0.2">
      <c r="B2" s="30"/>
      <c r="C2" s="1" t="s">
        <v>212</v>
      </c>
    </row>
    <row r="3" spans="1:13" ht="15.75" customHeight="1" x14ac:dyDescent="0.15">
      <c r="C3" s="2" t="s">
        <v>23</v>
      </c>
    </row>
    <row r="5" spans="1:13" ht="15" customHeight="1" x14ac:dyDescent="0.15">
      <c r="A5" s="29" t="s">
        <v>2</v>
      </c>
      <c r="C5" s="20" t="s">
        <v>213</v>
      </c>
      <c r="D5" s="20"/>
      <c r="E5" s="20"/>
      <c r="F5" s="20"/>
      <c r="G5" s="20"/>
      <c r="H5" s="20"/>
      <c r="I5" s="30"/>
      <c r="J5" s="30"/>
      <c r="K5" s="30"/>
      <c r="L5" s="30"/>
      <c r="M5" s="30"/>
    </row>
    <row r="6" spans="1:13" ht="23.25" customHeight="1" x14ac:dyDescent="0.15">
      <c r="C6" s="22"/>
      <c r="D6" s="22"/>
      <c r="E6" s="22"/>
      <c r="F6" s="22"/>
      <c r="G6" s="22"/>
      <c r="H6" s="22"/>
    </row>
    <row r="7" spans="1:13" ht="15" customHeight="1" x14ac:dyDescent="0.3">
      <c r="C7" s="74" t="s">
        <v>141</v>
      </c>
      <c r="D7" s="74" t="s">
        <v>214</v>
      </c>
      <c r="E7" s="74" t="s">
        <v>215</v>
      </c>
      <c r="F7" s="74" t="s">
        <v>216</v>
      </c>
      <c r="G7" s="22"/>
      <c r="H7" s="22"/>
    </row>
    <row r="8" spans="1:13" ht="15" customHeight="1" x14ac:dyDescent="0.15">
      <c r="C8" s="39" t="s">
        <v>217</v>
      </c>
      <c r="D8" s="76">
        <v>0</v>
      </c>
      <c r="E8" s="77">
        <f>D8*(1-alpha)*xi</f>
        <v>0</v>
      </c>
      <c r="F8" s="76">
        <v>0</v>
      </c>
      <c r="G8" s="22"/>
      <c r="H8" s="22"/>
    </row>
    <row r="9" spans="1:13" ht="15" customHeight="1" x14ac:dyDescent="0.15">
      <c r="C9" s="39" t="s">
        <v>144</v>
      </c>
      <c r="D9" s="120">
        <f>'Model 1 - Inv &amp; GDP Paths'!I85</f>
        <v>0.10383707571385835</v>
      </c>
      <c r="E9" s="77">
        <f>D9*(1-alpha)*xi</f>
        <v>8.6297146348344123E-2</v>
      </c>
      <c r="F9" s="120">
        <f>p_star</f>
        <v>0.03</v>
      </c>
      <c r="G9" s="22"/>
      <c r="H9" s="22"/>
    </row>
    <row r="10" spans="1:13" ht="15" customHeight="1" x14ac:dyDescent="0.15">
      <c r="C10" s="39" t="s">
        <v>203</v>
      </c>
      <c r="D10" s="78">
        <f>'Model 1 - Inv &amp; GDP Paths'!I86</f>
        <v>0.28727088067163287</v>
      </c>
      <c r="E10" s="77">
        <f>D10*(1-alpha)*xi</f>
        <v>0.23874571833333111</v>
      </c>
      <c r="F10" s="120">
        <f>p_star</f>
        <v>0.03</v>
      </c>
      <c r="G10" s="22"/>
      <c r="H10" s="22"/>
    </row>
    <row r="11" spans="1:13" x14ac:dyDescent="0.15">
      <c r="C11" s="39" t="s">
        <v>147</v>
      </c>
      <c r="D11" s="78">
        <f>'Model 1 - Inv &amp; GDP Paths'!I88</f>
        <v>0.58369185749176533</v>
      </c>
      <c r="E11" s="77">
        <f>D11*(1-alpha)*xi</f>
        <v>0.48509591879407166</v>
      </c>
      <c r="F11" s="120">
        <f>p_star</f>
        <v>0.03</v>
      </c>
    </row>
    <row r="12" spans="1:13" x14ac:dyDescent="0.15">
      <c r="C12" s="39" t="s">
        <v>218</v>
      </c>
      <c r="D12" s="76">
        <v>1</v>
      </c>
      <c r="E12" s="77">
        <f>D12*(1-alpha)*xi</f>
        <v>0.83108220984719716</v>
      </c>
      <c r="F12" s="120">
        <f>p_star</f>
        <v>0.03</v>
      </c>
    </row>
    <row r="14" spans="1:13" ht="15" customHeight="1" x14ac:dyDescent="0.15">
      <c r="A14" s="29" t="s">
        <v>2</v>
      </c>
      <c r="C14" s="20" t="s">
        <v>219</v>
      </c>
      <c r="D14" s="20"/>
      <c r="E14" s="20"/>
      <c r="F14" s="20"/>
      <c r="G14" s="20"/>
      <c r="H14" s="20"/>
      <c r="I14" s="30"/>
      <c r="J14" s="30"/>
      <c r="K14" s="30"/>
      <c r="L14" s="30"/>
      <c r="M14" s="30"/>
    </row>
    <row r="16" spans="1:13" x14ac:dyDescent="0.15">
      <c r="A16" s="29" t="s">
        <v>2</v>
      </c>
      <c r="C16" s="29" t="s">
        <v>139</v>
      </c>
    </row>
    <row r="17" spans="1:13" x14ac:dyDescent="0.15">
      <c r="C17" s="29" t="s">
        <v>141</v>
      </c>
      <c r="D17" s="96">
        <v>3</v>
      </c>
    </row>
    <row r="18" spans="1:13" x14ac:dyDescent="0.15">
      <c r="C18" s="43" t="s">
        <v>142</v>
      </c>
      <c r="D18" s="42" t="str">
        <f>INDEX(C8:C12,D17,1)</f>
        <v>Transformative</v>
      </c>
    </row>
    <row r="19" spans="1:13" x14ac:dyDescent="0.15">
      <c r="C19" s="43"/>
      <c r="D19" s="42"/>
    </row>
    <row r="20" spans="1:13" x14ac:dyDescent="0.15">
      <c r="C20" s="13" t="s">
        <v>215</v>
      </c>
      <c r="D20" s="121">
        <f>INDEX(E8:E12,D17,1)</f>
        <v>0.23874571833333111</v>
      </c>
    </row>
    <row r="21" spans="1:13" x14ac:dyDescent="0.15">
      <c r="C21" s="13" t="s">
        <v>216</v>
      </c>
      <c r="D21" s="122">
        <f>INDEX(F8:F12,D17,1)</f>
        <v>0.03</v>
      </c>
    </row>
    <row r="23" spans="1:13" ht="16" x14ac:dyDescent="0.3">
      <c r="C23" s="74" t="s">
        <v>220</v>
      </c>
      <c r="D23" s="74" t="s">
        <v>221</v>
      </c>
      <c r="E23" s="74" t="s">
        <v>222</v>
      </c>
      <c r="F23" s="74" t="s">
        <v>223</v>
      </c>
      <c r="G23" s="74" t="s">
        <v>224</v>
      </c>
      <c r="H23" s="74" t="s">
        <v>225</v>
      </c>
      <c r="I23" s="74" t="s">
        <v>226</v>
      </c>
      <c r="J23" s="74" t="s">
        <v>227</v>
      </c>
      <c r="K23" s="74" t="s">
        <v>228</v>
      </c>
    </row>
    <row r="24" spans="1:13" x14ac:dyDescent="0.15">
      <c r="C24" s="79">
        <v>1</v>
      </c>
      <c r="D24" s="80">
        <f t="shared" ref="D24:D29" si="0">(1-p_d) + p_d * EXP(xi_d)</f>
        <v>0.99498548715130208</v>
      </c>
      <c r="E24" s="80">
        <f t="shared" ref="E24:E29" si="1">(1-p_d) + p_d * EXP(-C24*xi_d)</f>
        <v>1.0058260327382182</v>
      </c>
      <c r="F24" s="80">
        <f t="shared" ref="F24:F29" si="2">(1-p_d) + p_d * EXP((1-C24)*xi_d)</f>
        <v>1</v>
      </c>
      <c r="G24" s="80">
        <f>(1-$D$21)+$D$21*EXP($D$20)</f>
        <v>1.0080896693613794</v>
      </c>
      <c r="H24" s="80">
        <f>(1-$D$21)+$D$21*EXP(-C24*$D$20)</f>
        <v>0.99362845399000865</v>
      </c>
      <c r="I24" s="80">
        <f>(1-$D$21)+$D$21*EXP((1-C24)*$D$20)</f>
        <v>1</v>
      </c>
      <c r="J24" s="98">
        <f t="shared" ref="J24:J29" si="3">rho + mu_c + sigma_c^2 * (1 - 2 *C24)/2 + LN(F24/E24) + LN(I24/H24)</f>
        <v>4.5382803904628177E-2</v>
      </c>
      <c r="K24" s="98">
        <f t="shared" ref="K24:K29" si="4">C24*sigma_c^2+LN(D24*E24/F24)+LN(G24*H24/I24)</f>
        <v>2.8471917803246493E-3</v>
      </c>
    </row>
    <row r="25" spans="1:13" x14ac:dyDescent="0.15">
      <c r="C25" s="79">
        <v>2</v>
      </c>
      <c r="D25" s="80">
        <f t="shared" si="0"/>
        <v>0.99498548715130208</v>
      </c>
      <c r="E25" s="80">
        <f t="shared" si="1"/>
        <v>1.012594917072736</v>
      </c>
      <c r="F25" s="80">
        <f t="shared" si="2"/>
        <v>1.0058260327382182</v>
      </c>
      <c r="G25" s="80">
        <f t="shared" ref="G25:G29" si="5">(1-$D$21)+$D$21*EXP($D$20)</f>
        <v>1.0080896693613794</v>
      </c>
      <c r="H25" s="80">
        <f t="shared" ref="H25:H29" si="6">(1-$D$21)+$D$21*EXP(-C25*$D$20)</f>
        <v>0.98861012793193193</v>
      </c>
      <c r="I25" s="80">
        <f t="shared" ref="I25:I29" si="7">(1-$D$21)+$D$21*EXP((1-C25)*$D$20)</f>
        <v>0.99362845399000865</v>
      </c>
      <c r="J25" s="98">
        <f t="shared" si="3"/>
        <v>4.2756168673598452E-2</v>
      </c>
      <c r="K25" s="98">
        <f t="shared" si="4"/>
        <v>5.4738270113544561E-3</v>
      </c>
    </row>
    <row r="26" spans="1:13" x14ac:dyDescent="0.15">
      <c r="C26" s="79">
        <v>3</v>
      </c>
      <c r="D26" s="80">
        <f t="shared" si="0"/>
        <v>0.99498548715130208</v>
      </c>
      <c r="E26" s="80">
        <f t="shared" si="1"/>
        <v>1.0204592386776461</v>
      </c>
      <c r="F26" s="80">
        <f t="shared" si="2"/>
        <v>1.012594917072736</v>
      </c>
      <c r="G26" s="80">
        <f t="shared" si="5"/>
        <v>1.0080896693613794</v>
      </c>
      <c r="H26" s="80">
        <f t="shared" si="6"/>
        <v>0.98465761838626098</v>
      </c>
      <c r="I26" s="80">
        <f t="shared" si="7"/>
        <v>0.98861012793193193</v>
      </c>
      <c r="J26" s="98">
        <f t="shared" si="3"/>
        <v>4.0269561235141839E-2</v>
      </c>
      <c r="K26" s="98">
        <f t="shared" si="4"/>
        <v>7.9604344498111594E-3</v>
      </c>
    </row>
    <row r="27" spans="1:13" x14ac:dyDescent="0.15">
      <c r="C27" s="79">
        <v>4</v>
      </c>
      <c r="D27" s="80">
        <f t="shared" si="0"/>
        <v>0.99498548715130208</v>
      </c>
      <c r="E27" s="80">
        <f t="shared" si="1"/>
        <v>1.0295962768140583</v>
      </c>
      <c r="F27" s="80">
        <f t="shared" si="2"/>
        <v>1.0204592386776461</v>
      </c>
      <c r="G27" s="80">
        <f t="shared" si="5"/>
        <v>1.0080896693613794</v>
      </c>
      <c r="H27" s="80">
        <f t="shared" si="6"/>
        <v>0.98154456205476248</v>
      </c>
      <c r="I27" s="80">
        <f t="shared" si="7"/>
        <v>0.98465761838626098</v>
      </c>
      <c r="J27" s="98">
        <f t="shared" si="3"/>
        <v>3.7852569346005172E-2</v>
      </c>
      <c r="K27" s="98">
        <f t="shared" si="4"/>
        <v>1.0377426338947617E-2</v>
      </c>
    </row>
    <row r="28" spans="1:13" x14ac:dyDescent="0.15">
      <c r="C28" s="79">
        <v>5</v>
      </c>
      <c r="D28" s="80">
        <f t="shared" si="0"/>
        <v>0.99498548715130208</v>
      </c>
      <c r="E28" s="80">
        <f t="shared" si="1"/>
        <v>1.0402120005980562</v>
      </c>
      <c r="F28" s="80">
        <f t="shared" si="2"/>
        <v>1.0295962768140583</v>
      </c>
      <c r="G28" s="80">
        <f t="shared" si="5"/>
        <v>1.0080896693613794</v>
      </c>
      <c r="H28" s="80">
        <f t="shared" si="6"/>
        <v>0.97909267177819181</v>
      </c>
      <c r="I28" s="80">
        <f t="shared" si="7"/>
        <v>0.98154456205476248</v>
      </c>
      <c r="J28" s="98">
        <f t="shared" si="3"/>
        <v>3.5443339033502094E-2</v>
      </c>
      <c r="K28" s="98">
        <f t="shared" si="4"/>
        <v>1.2786656651450935E-2</v>
      </c>
    </row>
    <row r="29" spans="1:13" x14ac:dyDescent="0.15">
      <c r="C29" s="79">
        <v>6</v>
      </c>
      <c r="D29" s="80">
        <f t="shared" si="0"/>
        <v>0.99498548715130208</v>
      </c>
      <c r="E29" s="80">
        <f t="shared" si="1"/>
        <v>1.0525457120016501</v>
      </c>
      <c r="F29" s="80">
        <f t="shared" si="2"/>
        <v>1.0402120005980562</v>
      </c>
      <c r="G29" s="80">
        <f t="shared" si="5"/>
        <v>1.0080896693613794</v>
      </c>
      <c r="H29" s="80">
        <f t="shared" si="6"/>
        <v>0.97716152589190852</v>
      </c>
      <c r="I29" s="80">
        <f t="shared" si="7"/>
        <v>0.97909267177819181</v>
      </c>
      <c r="J29" s="98">
        <f t="shared" si="3"/>
        <v>3.2987152503738307E-2</v>
      </c>
      <c r="K29" s="98">
        <f t="shared" si="4"/>
        <v>1.5242843181214735E-2</v>
      </c>
    </row>
    <row r="31" spans="1:13" ht="15" customHeight="1" x14ac:dyDescent="0.15">
      <c r="A31" s="29" t="s">
        <v>2</v>
      </c>
      <c r="C31" s="20" t="s">
        <v>159</v>
      </c>
      <c r="D31" s="20"/>
      <c r="E31" s="20"/>
      <c r="F31" s="20"/>
      <c r="G31" s="20"/>
      <c r="H31" s="20"/>
      <c r="I31" s="30"/>
      <c r="J31" s="30"/>
      <c r="K31" s="30"/>
      <c r="L31" s="30"/>
      <c r="M31" s="30"/>
    </row>
    <row r="32" spans="1:13" ht="15" customHeight="1" x14ac:dyDescent="0.15">
      <c r="C32" s="56"/>
      <c r="D32" s="22"/>
      <c r="E32" s="22"/>
      <c r="F32" s="22"/>
      <c r="G32" s="22"/>
      <c r="H32" s="22"/>
    </row>
    <row r="33" spans="3:13" ht="16" x14ac:dyDescent="0.3">
      <c r="C33" s="74" t="s">
        <v>220</v>
      </c>
      <c r="D33" s="82" t="s">
        <v>217</v>
      </c>
      <c r="E33" s="82"/>
      <c r="F33" s="82" t="s">
        <v>144</v>
      </c>
      <c r="G33" s="82"/>
      <c r="H33" s="82" t="s">
        <v>203</v>
      </c>
      <c r="I33" s="82"/>
      <c r="J33" s="82" t="s">
        <v>147</v>
      </c>
      <c r="K33" s="82"/>
      <c r="L33" s="82" t="s">
        <v>229</v>
      </c>
      <c r="M33" s="82"/>
    </row>
    <row r="34" spans="3:13" ht="16" x14ac:dyDescent="0.3">
      <c r="C34" s="74"/>
      <c r="D34" s="81" t="s">
        <v>227</v>
      </c>
      <c r="E34" s="81" t="s">
        <v>228</v>
      </c>
      <c r="F34" s="81" t="s">
        <v>227</v>
      </c>
      <c r="G34" s="81" t="s">
        <v>228</v>
      </c>
      <c r="H34" s="81" t="s">
        <v>227</v>
      </c>
      <c r="I34" s="81" t="s">
        <v>228</v>
      </c>
      <c r="J34" s="81" t="s">
        <v>227</v>
      </c>
      <c r="K34" s="81" t="s">
        <v>228</v>
      </c>
      <c r="L34" s="81" t="s">
        <v>227</v>
      </c>
      <c r="M34" s="81" t="s">
        <v>228</v>
      </c>
    </row>
    <row r="35" spans="3:13" x14ac:dyDescent="0.15">
      <c r="C35" s="79">
        <v>1</v>
      </c>
      <c r="D35" s="83">
        <f t="shared" ref="D35:D40" si="8">rho+mu_c+sigma_c^2*(1-2*$C35)/2+LN($F24/$E24)+LN((1-$F$8+$F$8*EXP((1-$C35)*$E$8))/(1-$F$8+$F$8*EXP(-$C35*$E$8)))</f>
        <v>3.8990872960193934E-2</v>
      </c>
      <c r="E35" s="83">
        <f t="shared" ref="E35:E40" si="9">$C35*sigma_c^2+LN($D24*$E24/$F24)+LN((1-$F$8+$F$8*EXP($E$8))*(1-$F$8+$F$8*EXP(-$C35*$E$8))/(1-$F$8+$F$8*EXP((1-$C35)*$E$8)))</f>
        <v>1.1819993323024418E-3</v>
      </c>
      <c r="F35" s="83">
        <f t="shared" ref="F35:F40" si="10">rho+mu_c+sigma_c^2*(1-2*$C35)/2+LN($F24/$E24)+LN((1-$F$9+$F$9*EXP((1-$C35)*$E$9))/(1-$F$9+$F$9*EXP(-$C35*$E$9)))</f>
        <v>4.1474305769771444E-2</v>
      </c>
      <c r="G35" s="83">
        <f t="shared" ref="G35:G40" si="11">$C35*sigma_c^2+LN($D24*$E24/$F24)+LN((1-$F$9+$F$9*EXP($E$9))*(1-$F$9+$F$9*EXP(-$C35*$E$9))/(1-$F$9+$F$9*EXP((1-$C35)*$E$9)))</f>
        <v>1.3988237962039461E-3</v>
      </c>
      <c r="H35" s="83">
        <f t="shared" ref="H35:H40" si="12">rho+mu_c+sigma_c^2*(1-2*$C35)/2+LN($F24/$E24)+LN((1-$F$10+$F$10*EXP((1-$C35)*$E$10))/(1-$F$10+$F$10*EXP(-$C35*$E$10)))</f>
        <v>4.5382803904628177E-2</v>
      </c>
      <c r="I35" s="83">
        <f t="shared" ref="I35:I40" si="13">$C35*sigma_c^2+LN($D24*$E24/$F24)+LN((1-$F$10+$F$10*EXP($E$10))*(1-$F$10+$F$10*EXP(-$C35*$E$10))/(1-$F$10+$F$10*EXP((1-$C35)*$E$10)))</f>
        <v>2.8471917803246493E-3</v>
      </c>
      <c r="J35" s="83">
        <f t="shared" ref="J35:J40" si="14">rho+mu_c+sigma_c^2*(1-2*$C35)/2+LN($F24/$E24)+LN((1-$F$11+$F$11*EXP((1-$C35)*$E$11))/(1-$F$11+$F$11*EXP(-$C35*$E$11)))</f>
        <v>5.0588724507854559E-2</v>
      </c>
      <c r="K35" s="83">
        <f t="shared" ref="K35:K40" si="15">$C35*sigma_c^2+LN($D24*$E24/$F24)+LN((1-$F$11+$F$11*EXP($E$11))*(1-$F$11+$F$11*EXP(-$C35*$E$11))/(1-$F$11+$F$11*EXP((1-$C35)*$E$11)))</f>
        <v>8.1408268141791411E-3</v>
      </c>
      <c r="L35" s="83">
        <f t="shared" ref="L35:L40" si="16">rho+mu_c+sigma_c^2*(1-2*$C35)/2+LN($F24/$E24)+LN((1-$F$12+$F$12*EXP((1-$C35)*$E$12))/(1-$F$12+$F$12*EXP(-$C35*$E$12)))</f>
        <v>5.6068540404935648E-2</v>
      </c>
      <c r="M35" s="83">
        <f t="shared" ref="M35:M40" si="17">$C35*sigma_c^2+LN($D24*$E24/$F24)+LN((1-$F$12+$F$12*EXP($E$12))*(1-$F$12+$F$12*EXP(-$C35*$E$12))/(1-$F$12+$F$12*EXP((1-$C35)*$E$12)))</f>
        <v>2.2241822099766745E-2</v>
      </c>
    </row>
    <row r="36" spans="3:13" x14ac:dyDescent="0.15">
      <c r="C36" s="79">
        <v>2</v>
      </c>
      <c r="D36" s="83">
        <f t="shared" si="8"/>
        <v>3.7692866178037729E-2</v>
      </c>
      <c r="E36" s="83">
        <f t="shared" si="9"/>
        <v>2.4800061144585341E-3</v>
      </c>
      <c r="F36" s="83">
        <f t="shared" si="10"/>
        <v>3.9976409172369255E-2</v>
      </c>
      <c r="G36" s="83">
        <f t="shared" si="11"/>
        <v>2.8967203936061756E-3</v>
      </c>
      <c r="H36" s="83">
        <f t="shared" si="12"/>
        <v>4.2756168673598452E-2</v>
      </c>
      <c r="I36" s="83">
        <f t="shared" si="13"/>
        <v>5.4738270113544561E-3</v>
      </c>
      <c r="J36" s="83">
        <f t="shared" si="14"/>
        <v>4.4900423439532121E-2</v>
      </c>
      <c r="K36" s="83">
        <f t="shared" si="15"/>
        <v>1.3829127882501419E-2</v>
      </c>
      <c r="L36" s="83">
        <f t="shared" si="16"/>
        <v>4.5223682411141317E-2</v>
      </c>
      <c r="M36" s="83">
        <f t="shared" si="17"/>
        <v>3.3086680093560916E-2</v>
      </c>
    </row>
    <row r="37" spans="3:13" x14ac:dyDescent="0.15">
      <c r="C37" s="79">
        <v>3</v>
      </c>
      <c r="D37" s="83">
        <f t="shared" si="8"/>
        <v>3.6263500892810566E-2</v>
      </c>
      <c r="E37" s="83">
        <f t="shared" si="9"/>
        <v>3.9093713996859059E-3</v>
      </c>
      <c r="F37" s="83">
        <f t="shared" si="10"/>
        <v>3.8362839843922414E-2</v>
      </c>
      <c r="G37" s="83">
        <f t="shared" si="11"/>
        <v>4.5102897220532547E-3</v>
      </c>
      <c r="H37" s="83">
        <f t="shared" si="12"/>
        <v>4.0269561235141839E-2</v>
      </c>
      <c r="I37" s="83">
        <f t="shared" si="13"/>
        <v>7.9604344498111594E-3</v>
      </c>
      <c r="J37" s="83">
        <f t="shared" si="14"/>
        <v>4.0726722775749721E-2</v>
      </c>
      <c r="K37" s="83">
        <f t="shared" si="15"/>
        <v>1.8002828546284086E-2</v>
      </c>
      <c r="L37" s="83">
        <f t="shared" si="16"/>
        <v>3.9561571314436009E-2</v>
      </c>
      <c r="M37" s="83">
        <f t="shared" si="17"/>
        <v>3.8748791190266342E-2</v>
      </c>
    </row>
    <row r="38" spans="3:13" x14ac:dyDescent="0.15">
      <c r="C38" s="79">
        <v>4</v>
      </c>
      <c r="D38" s="83">
        <f t="shared" si="8"/>
        <v>3.4685998823678205E-2</v>
      </c>
      <c r="E38" s="83">
        <f t="shared" si="9"/>
        <v>5.4868734688181342E-3</v>
      </c>
      <c r="F38" s="83">
        <f t="shared" si="10"/>
        <v>3.6615651232820727E-2</v>
      </c>
      <c r="G38" s="83">
        <f t="shared" si="11"/>
        <v>6.2574783331547281E-3</v>
      </c>
      <c r="H38" s="83">
        <f t="shared" si="12"/>
        <v>3.7852569346005172E-2</v>
      </c>
      <c r="I38" s="83">
        <f t="shared" si="13"/>
        <v>1.0377426338947617E-2</v>
      </c>
      <c r="J38" s="83">
        <f t="shared" si="14"/>
        <v>3.7443668328034488E-2</v>
      </c>
      <c r="K38" s="83">
        <f t="shared" si="15"/>
        <v>2.1285882993999083E-2</v>
      </c>
      <c r="L38" s="83">
        <f t="shared" si="16"/>
        <v>3.6125972388570494E-2</v>
      </c>
      <c r="M38" s="83">
        <f t="shared" si="17"/>
        <v>4.2184390116131565E-2</v>
      </c>
    </row>
    <row r="39" spans="3:13" x14ac:dyDescent="0.15">
      <c r="C39" s="79">
        <v>5</v>
      </c>
      <c r="D39" s="83">
        <f t="shared" si="8"/>
        <v>3.2942222037019429E-2</v>
      </c>
      <c r="E39" s="83">
        <f t="shared" si="9"/>
        <v>7.2306502554769841E-3</v>
      </c>
      <c r="F39" s="83">
        <f t="shared" si="10"/>
        <v>3.4715614375910649E-2</v>
      </c>
      <c r="G39" s="83">
        <f t="shared" si="11"/>
        <v>8.1575151900647614E-3</v>
      </c>
      <c r="H39" s="83">
        <f t="shared" si="12"/>
        <v>3.5443339033502094E-2</v>
      </c>
      <c r="I39" s="83">
        <f t="shared" si="13"/>
        <v>1.2786656651450935E-2</v>
      </c>
      <c r="J39" s="83">
        <f t="shared" si="14"/>
        <v>3.4643738364612604E-2</v>
      </c>
      <c r="K39" s="83">
        <f t="shared" si="15"/>
        <v>2.4085812957421158E-2</v>
      </c>
      <c r="L39" s="83">
        <f t="shared" si="16"/>
        <v>3.3570091206667527E-2</v>
      </c>
      <c r="M39" s="83">
        <f t="shared" si="17"/>
        <v>4.4740271298034762E-2</v>
      </c>
    </row>
    <row r="40" spans="3:13" x14ac:dyDescent="0.15">
      <c r="C40" s="79">
        <v>6</v>
      </c>
      <c r="D40" s="83">
        <f t="shared" si="8"/>
        <v>3.1012821646448835E-2</v>
      </c>
      <c r="E40" s="83">
        <f t="shared" si="9"/>
        <v>9.1600506460474997E-3</v>
      </c>
      <c r="F40" s="83">
        <f t="shared" si="10"/>
        <v>3.2642363051865297E-2</v>
      </c>
      <c r="G40" s="83">
        <f t="shared" si="11"/>
        <v>1.0230766514110165E-2</v>
      </c>
      <c r="H40" s="83">
        <f t="shared" si="12"/>
        <v>3.2987152503738307E-2</v>
      </c>
      <c r="I40" s="83">
        <f t="shared" si="13"/>
        <v>1.5242843181214735E-2</v>
      </c>
      <c r="J40" s="83">
        <f t="shared" si="14"/>
        <v>3.2061781654775419E-2</v>
      </c>
      <c r="K40" s="83">
        <f t="shared" si="15"/>
        <v>2.6667769667258125E-2</v>
      </c>
      <c r="L40" s="83">
        <f t="shared" si="16"/>
        <v>3.1286430722735778E-2</v>
      </c>
      <c r="M40" s="83">
        <f t="shared" si="17"/>
        <v>4.7023931781966469E-2</v>
      </c>
    </row>
  </sheetData>
  <dataValidations disablePrompts="1" count="1">
    <dataValidation type="list" allowBlank="1" showInputMessage="1" showErrorMessage="1" sqref="D17" xr:uid="{59F575B6-10D4-459E-8540-03F2DBF8870D}">
      <formula1>"1,2,3,4,5"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Y201"/>
  <sheetViews>
    <sheetView showGridLines="0" zoomScale="85" zoomScaleNormal="85" workbookViewId="0">
      <pane ySplit="3" topLeftCell="A4" activePane="bottomLeft" state="frozen"/>
      <selection pane="bottomLeft"/>
    </sheetView>
  </sheetViews>
  <sheetFormatPr baseColWidth="10" defaultColWidth="8.83203125" defaultRowHeight="15" x14ac:dyDescent="0.2"/>
  <cols>
    <col min="1" max="2" width="1.6640625" customWidth="1"/>
    <col min="3" max="3" width="32" customWidth="1"/>
    <col min="4" max="4" width="19" customWidth="1"/>
    <col min="5" max="25" width="16" customWidth="1"/>
  </cols>
  <sheetData>
    <row r="1" spans="1:12" s="29" customFormat="1" ht="13" x14ac:dyDescent="0.15">
      <c r="A1" s="123"/>
      <c r="B1" s="123"/>
    </row>
    <row r="2" spans="1:12" s="29" customFormat="1" ht="15.75" customHeight="1" x14ac:dyDescent="0.2">
      <c r="B2" s="30"/>
      <c r="C2" s="1" t="s">
        <v>230</v>
      </c>
    </row>
    <row r="3" spans="1:12" s="29" customFormat="1" ht="15.75" customHeight="1" x14ac:dyDescent="0.15">
      <c r="C3" s="2" t="s">
        <v>23</v>
      </c>
    </row>
    <row r="6" spans="1:12" x14ac:dyDescent="0.2">
      <c r="A6" t="s">
        <v>2</v>
      </c>
      <c r="C6" s="99" t="s">
        <v>231</v>
      </c>
      <c r="D6" s="14"/>
      <c r="E6" s="14"/>
      <c r="F6" s="14"/>
      <c r="G6" s="14"/>
      <c r="H6" s="14"/>
      <c r="I6" s="14"/>
      <c r="J6" s="14"/>
      <c r="K6" s="14"/>
      <c r="L6" s="14"/>
    </row>
    <row r="7" spans="1:12" ht="17" x14ac:dyDescent="0.3">
      <c r="C7" s="124" t="s">
        <v>95</v>
      </c>
      <c r="D7" s="124" t="s">
        <v>232</v>
      </c>
      <c r="E7" s="124" t="s">
        <v>233</v>
      </c>
      <c r="F7" s="124" t="s">
        <v>234</v>
      </c>
      <c r="G7" s="124" t="s">
        <v>235</v>
      </c>
      <c r="H7" s="124" t="s">
        <v>236</v>
      </c>
      <c r="I7" s="124" t="s">
        <v>237</v>
      </c>
      <c r="J7" s="124" t="s">
        <v>238</v>
      </c>
      <c r="K7" s="124" t="s">
        <v>176</v>
      </c>
      <c r="L7" s="124" t="s">
        <v>239</v>
      </c>
    </row>
    <row r="8" spans="1:12" x14ac:dyDescent="0.2">
      <c r="C8" s="5">
        <v>2022</v>
      </c>
      <c r="D8" s="33">
        <f>z0</f>
        <v>836.04371177588575</v>
      </c>
      <c r="E8" s="55">
        <f>0</f>
        <v>0</v>
      </c>
      <c r="F8" s="101">
        <f t="shared" ref="F8:F18" si="0">1+E8*(exp_xi^(1-alpha)-1)</f>
        <v>1</v>
      </c>
      <c r="G8" s="33">
        <f>K0</f>
        <v>636</v>
      </c>
      <c r="H8" s="33">
        <f t="shared" ref="H8:H18" si="1">D8*(alpha*F8/(r_a+delta_a))^(1/(1-alpha))</f>
        <v>636.00000000000011</v>
      </c>
      <c r="I8" s="33">
        <f>'Capex Build'!D13</f>
        <v>159</v>
      </c>
      <c r="J8" s="33">
        <f t="shared" ref="J8:J18" si="2">D8^(1-alpha)*G8^alpha</f>
        <v>763.2000000000005</v>
      </c>
      <c r="K8" s="55">
        <f t="shared" ref="K8:K18" si="3">(J8+Yn0)/GDP_0-1</f>
        <v>0</v>
      </c>
      <c r="L8" s="55">
        <f t="shared" ref="L8:L18" si="4">J8/(J8+Yn0)</f>
        <v>3.1645839553034523E-2</v>
      </c>
    </row>
    <row r="9" spans="1:12" x14ac:dyDescent="0.2">
      <c r="C9" s="5">
        <v>2023</v>
      </c>
      <c r="D9" s="33">
        <f>D8</f>
        <v>836.04371177588575</v>
      </c>
      <c r="E9" s="55">
        <f>0</f>
        <v>0</v>
      </c>
      <c r="F9" s="101">
        <f t="shared" si="0"/>
        <v>1</v>
      </c>
      <c r="G9" s="33">
        <f t="shared" ref="G9:G18" si="5">G8*(1-delta_a)+I8</f>
        <v>636</v>
      </c>
      <c r="H9" s="33">
        <f t="shared" si="1"/>
        <v>636.00000000000011</v>
      </c>
      <c r="I9" s="33">
        <f>'Capex Build'!E13</f>
        <v>155</v>
      </c>
      <c r="J9" s="33">
        <f t="shared" si="2"/>
        <v>763.2000000000005</v>
      </c>
      <c r="K9" s="55">
        <f t="shared" si="3"/>
        <v>0</v>
      </c>
      <c r="L9" s="55">
        <f t="shared" si="4"/>
        <v>3.1645839553034523E-2</v>
      </c>
    </row>
    <row r="10" spans="1:12" x14ac:dyDescent="0.2">
      <c r="C10" s="5">
        <v>2024</v>
      </c>
      <c r="D10" s="33">
        <f>D9*exp_xi</f>
        <v>2908.2424635851812</v>
      </c>
      <c r="E10" s="55">
        <f>0</f>
        <v>0</v>
      </c>
      <c r="F10" s="101">
        <f t="shared" si="0"/>
        <v>1</v>
      </c>
      <c r="G10" s="33">
        <f t="shared" si="5"/>
        <v>632</v>
      </c>
      <c r="H10" s="33">
        <f t="shared" si="1"/>
        <v>2212.3750000000005</v>
      </c>
      <c r="I10" s="33">
        <f>'Capex Build'!F13</f>
        <v>242</v>
      </c>
      <c r="J10" s="33">
        <f t="shared" si="2"/>
        <v>1748.4750264928844</v>
      </c>
      <c r="K10" s="55">
        <f t="shared" si="3"/>
        <v>4.08541082337599E-2</v>
      </c>
      <c r="L10" s="55">
        <f t="shared" si="4"/>
        <v>6.9654284124237825E-2</v>
      </c>
    </row>
    <row r="11" spans="1:12" x14ac:dyDescent="0.2">
      <c r="C11" s="5">
        <v>2025</v>
      </c>
      <c r="D11" s="33">
        <f t="shared" ref="D11:D18" si="6">D10</f>
        <v>2908.2424635851812</v>
      </c>
      <c r="E11" s="55">
        <f>0</f>
        <v>0</v>
      </c>
      <c r="F11" s="101">
        <f t="shared" si="0"/>
        <v>1</v>
      </c>
      <c r="G11" s="33">
        <f t="shared" si="5"/>
        <v>716</v>
      </c>
      <c r="H11" s="33">
        <f t="shared" si="1"/>
        <v>2212.3750000000005</v>
      </c>
      <c r="I11" s="33">
        <f>'Capex Build'!G13</f>
        <v>413</v>
      </c>
      <c r="J11" s="33">
        <f t="shared" si="2"/>
        <v>1822.7401009782952</v>
      </c>
      <c r="K11" s="55">
        <f t="shared" si="3"/>
        <v>4.393348537154762E-2</v>
      </c>
      <c r="L11" s="55">
        <f t="shared" si="4"/>
        <v>7.2398602002581178E-2</v>
      </c>
    </row>
    <row r="12" spans="1:12" x14ac:dyDescent="0.2">
      <c r="C12" s="5">
        <v>2026</v>
      </c>
      <c r="D12" s="33">
        <f t="shared" si="6"/>
        <v>2908.2424635851812</v>
      </c>
      <c r="E12" s="55">
        <f>0</f>
        <v>0</v>
      </c>
      <c r="F12" s="101">
        <f t="shared" si="0"/>
        <v>1</v>
      </c>
      <c r="G12" s="33">
        <f t="shared" si="5"/>
        <v>950</v>
      </c>
      <c r="H12" s="33">
        <f t="shared" si="1"/>
        <v>2212.3750000000005</v>
      </c>
      <c r="I12" s="33">
        <f>'Capex Build'!H13</f>
        <v>784</v>
      </c>
      <c r="J12" s="33">
        <f t="shared" si="2"/>
        <v>2002.9108045241292</v>
      </c>
      <c r="K12" s="55">
        <f t="shared" si="3"/>
        <v>5.1404204942523402E-2</v>
      </c>
      <c r="L12" s="55">
        <f t="shared" si="4"/>
        <v>7.8989644615410318E-2</v>
      </c>
    </row>
    <row r="13" spans="1:12" x14ac:dyDescent="0.2">
      <c r="C13" s="5">
        <v>2027</v>
      </c>
      <c r="D13" s="33">
        <f t="shared" si="6"/>
        <v>2908.2424635851812</v>
      </c>
      <c r="E13" s="55">
        <f>0</f>
        <v>0</v>
      </c>
      <c r="F13" s="101">
        <f t="shared" si="0"/>
        <v>1</v>
      </c>
      <c r="G13" s="33">
        <f t="shared" si="5"/>
        <v>1496.5</v>
      </c>
      <c r="H13" s="33">
        <f t="shared" si="1"/>
        <v>2212.3750000000005</v>
      </c>
      <c r="I13" s="33">
        <f>'Capex Build'!I13</f>
        <v>1090</v>
      </c>
      <c r="J13" s="33">
        <f t="shared" si="2"/>
        <v>2330.4832254772145</v>
      </c>
      <c r="K13" s="55">
        <f t="shared" si="3"/>
        <v>6.4986888741632942E-2</v>
      </c>
      <c r="L13" s="55">
        <f t="shared" si="4"/>
        <v>9.0736073200719691E-2</v>
      </c>
    </row>
    <row r="14" spans="1:12" x14ac:dyDescent="0.2">
      <c r="C14" s="5">
        <v>2028</v>
      </c>
      <c r="D14" s="33">
        <f t="shared" si="6"/>
        <v>2908.2424635851812</v>
      </c>
      <c r="E14" s="55">
        <f>p_max</f>
        <v>0.5</v>
      </c>
      <c r="F14" s="101">
        <f t="shared" si="0"/>
        <v>1.6479009679073209</v>
      </c>
      <c r="G14" s="33">
        <f t="shared" si="5"/>
        <v>2212.375</v>
      </c>
      <c r="H14" s="33">
        <f t="shared" si="1"/>
        <v>4680.1029390792382</v>
      </c>
      <c r="I14" s="33">
        <f>delta_a*G14+(H14-G14)</f>
        <v>3020.8216890792382</v>
      </c>
      <c r="J14" s="33">
        <f t="shared" si="2"/>
        <v>2654.8500000000035</v>
      </c>
      <c r="K14" s="55">
        <f t="shared" si="3"/>
        <v>7.843665145505474E-2</v>
      </c>
      <c r="L14" s="55">
        <f t="shared" si="4"/>
        <v>0.10207599200153589</v>
      </c>
    </row>
    <row r="15" spans="1:12" x14ac:dyDescent="0.2">
      <c r="C15" s="5">
        <v>2029</v>
      </c>
      <c r="D15" s="33">
        <f t="shared" si="6"/>
        <v>2908.2424635851812</v>
      </c>
      <c r="E15" s="55">
        <f>p_max</f>
        <v>0.5</v>
      </c>
      <c r="F15" s="101">
        <f t="shared" si="0"/>
        <v>1.6479009679073209</v>
      </c>
      <c r="G15" s="33">
        <f t="shared" si="5"/>
        <v>4680.1029390792382</v>
      </c>
      <c r="H15" s="33">
        <f t="shared" si="1"/>
        <v>4680.1029390792382</v>
      </c>
      <c r="I15" s="33">
        <f>delta_a*G15+(H15-G15)</f>
        <v>1170.0257347698096</v>
      </c>
      <c r="J15" s="33">
        <f t="shared" si="2"/>
        <v>3408.0467432621522</v>
      </c>
      <c r="K15" s="55">
        <f t="shared" si="3"/>
        <v>0.10966770922384672</v>
      </c>
      <c r="L15" s="55">
        <f t="shared" si="4"/>
        <v>0.12734762632294905</v>
      </c>
    </row>
    <row r="16" spans="1:12" x14ac:dyDescent="0.2">
      <c r="C16" s="5">
        <v>2030</v>
      </c>
      <c r="D16" s="33">
        <f t="shared" si="6"/>
        <v>2908.2424635851812</v>
      </c>
      <c r="E16" s="55">
        <f>p_star</f>
        <v>0.03</v>
      </c>
      <c r="F16" s="101">
        <f t="shared" si="0"/>
        <v>1.0388740580744393</v>
      </c>
      <c r="G16" s="33">
        <f t="shared" si="5"/>
        <v>4680.1029390792382</v>
      </c>
      <c r="H16" s="33">
        <f t="shared" si="1"/>
        <v>2342.6267310772532</v>
      </c>
      <c r="I16" s="33">
        <f>delta_a*G16+(H16-G16)</f>
        <v>-1167.4504732321755</v>
      </c>
      <c r="J16" s="33">
        <f t="shared" si="2"/>
        <v>3408.0467432621522</v>
      </c>
      <c r="K16" s="55">
        <f t="shared" si="3"/>
        <v>0.10966770922384672</v>
      </c>
      <c r="L16" s="55">
        <f t="shared" si="4"/>
        <v>0.12734762632294905</v>
      </c>
    </row>
    <row r="17" spans="1:12" x14ac:dyDescent="0.2">
      <c r="C17" s="5">
        <v>2031</v>
      </c>
      <c r="D17" s="33">
        <f t="shared" si="6"/>
        <v>2908.2424635851812</v>
      </c>
      <c r="E17" s="55">
        <f>p_star</f>
        <v>0.03</v>
      </c>
      <c r="F17" s="101">
        <f t="shared" si="0"/>
        <v>1.0388740580744393</v>
      </c>
      <c r="G17" s="33">
        <f t="shared" si="5"/>
        <v>2342.6267310772528</v>
      </c>
      <c r="H17" s="33">
        <f t="shared" si="1"/>
        <v>2342.6267310772532</v>
      </c>
      <c r="I17" s="33">
        <f>delta_a*G17+(H17-G17)</f>
        <v>585.65668276931365</v>
      </c>
      <c r="J17" s="33">
        <f t="shared" si="2"/>
        <v>2705.9604149738784</v>
      </c>
      <c r="K17" s="55">
        <f t="shared" si="3"/>
        <v>8.0555928173807745E-2</v>
      </c>
      <c r="L17" s="55">
        <f t="shared" si="4"/>
        <v>0.10383707571385845</v>
      </c>
    </row>
    <row r="18" spans="1:12" x14ac:dyDescent="0.2">
      <c r="C18" s="5">
        <v>2032</v>
      </c>
      <c r="D18" s="33">
        <f t="shared" si="6"/>
        <v>2908.2424635851812</v>
      </c>
      <c r="E18" s="55">
        <f>p_star</f>
        <v>0.03</v>
      </c>
      <c r="F18" s="101">
        <f t="shared" si="0"/>
        <v>1.0388740580744393</v>
      </c>
      <c r="G18" s="33">
        <f t="shared" si="5"/>
        <v>2342.6267310772532</v>
      </c>
      <c r="H18" s="33">
        <f t="shared" si="1"/>
        <v>2342.6267310772532</v>
      </c>
      <c r="I18" s="33">
        <f>delta_a*G18+(H18-G18)</f>
        <v>585.65668276931331</v>
      </c>
      <c r="J18" s="33">
        <f t="shared" si="2"/>
        <v>2705.9604149738784</v>
      </c>
      <c r="K18" s="55">
        <f t="shared" si="3"/>
        <v>8.0555928173807745E-2</v>
      </c>
      <c r="L18" s="55">
        <f t="shared" si="4"/>
        <v>0.10383707571385845</v>
      </c>
    </row>
    <row r="22" spans="1:12" x14ac:dyDescent="0.2">
      <c r="A22" t="s">
        <v>2</v>
      </c>
      <c r="C22" s="99" t="s">
        <v>240</v>
      </c>
      <c r="D22" s="14"/>
      <c r="E22" s="14"/>
      <c r="F22" s="14"/>
      <c r="G22" s="14"/>
      <c r="H22" s="14"/>
      <c r="I22" s="14"/>
      <c r="J22" s="14"/>
      <c r="K22" s="14"/>
      <c r="L22" s="14"/>
    </row>
    <row r="23" spans="1:12" ht="17" x14ac:dyDescent="0.3">
      <c r="C23" s="124" t="s">
        <v>95</v>
      </c>
      <c r="D23" s="124" t="s">
        <v>232</v>
      </c>
      <c r="E23" s="124" t="s">
        <v>233</v>
      </c>
      <c r="F23" s="124" t="s">
        <v>234</v>
      </c>
      <c r="G23" s="124" t="s">
        <v>235</v>
      </c>
      <c r="H23" s="124" t="s">
        <v>236</v>
      </c>
      <c r="I23" s="124" t="s">
        <v>237</v>
      </c>
      <c r="J23" s="124" t="s">
        <v>238</v>
      </c>
      <c r="K23" s="124" t="s">
        <v>176</v>
      </c>
      <c r="L23" s="124" t="s">
        <v>239</v>
      </c>
    </row>
    <row r="24" spans="1:12" x14ac:dyDescent="0.2">
      <c r="C24" s="5">
        <v>2022</v>
      </c>
      <c r="D24" s="33">
        <f>z0</f>
        <v>836.04371177588575</v>
      </c>
      <c r="E24" s="55">
        <f>0</f>
        <v>0</v>
      </c>
      <c r="F24" s="101">
        <f t="shared" ref="F24:F34" si="7">1+E24*(exp_xi^(1-alpha)-1)</f>
        <v>1</v>
      </c>
      <c r="G24" s="33">
        <f>K0</f>
        <v>636</v>
      </c>
      <c r="H24" s="33">
        <f t="shared" ref="H24:H34" si="8">D24*(alpha*F24/(r_a+delta_a))^(1/(1-alpha))</f>
        <v>636.00000000000011</v>
      </c>
      <c r="I24" s="33">
        <f>'Capex Build'!D13</f>
        <v>159</v>
      </c>
      <c r="J24" s="33">
        <f t="shared" ref="J24:J34" si="9">D24^(1-alpha)*G24^alpha</f>
        <v>763.2000000000005</v>
      </c>
      <c r="K24" s="55">
        <f t="shared" ref="K24:K34" si="10">(J24+Yn0)/GDP_0-1</f>
        <v>0</v>
      </c>
      <c r="L24" s="55">
        <f t="shared" ref="L24:L34" si="11">J24/(J24+Yn0)</f>
        <v>3.1645839553034523E-2</v>
      </c>
    </row>
    <row r="25" spans="1:12" x14ac:dyDescent="0.2">
      <c r="C25" s="5">
        <v>2023</v>
      </c>
      <c r="D25" s="33">
        <f>D24</f>
        <v>836.04371177588575</v>
      </c>
      <c r="E25" s="55">
        <f>0</f>
        <v>0</v>
      </c>
      <c r="F25" s="101">
        <f t="shared" si="7"/>
        <v>1</v>
      </c>
      <c r="G25" s="33">
        <f t="shared" ref="G25:G34" si="12">G24*(1-delta_a)+I24</f>
        <v>636</v>
      </c>
      <c r="H25" s="33">
        <f t="shared" si="8"/>
        <v>636.00000000000011</v>
      </c>
      <c r="I25" s="33">
        <f>'Capex Build'!E13</f>
        <v>155</v>
      </c>
      <c r="J25" s="33">
        <f t="shared" si="9"/>
        <v>763.2000000000005</v>
      </c>
      <c r="K25" s="55">
        <f t="shared" si="10"/>
        <v>0</v>
      </c>
      <c r="L25" s="55">
        <f t="shared" si="11"/>
        <v>3.1645839553034523E-2</v>
      </c>
    </row>
    <row r="26" spans="1:12" x14ac:dyDescent="0.2">
      <c r="C26" s="5">
        <v>2024</v>
      </c>
      <c r="D26" s="33">
        <f>D25*exp_xi</f>
        <v>2908.2424635851812</v>
      </c>
      <c r="E26" s="55">
        <f>0</f>
        <v>0</v>
      </c>
      <c r="F26" s="101">
        <f t="shared" si="7"/>
        <v>1</v>
      </c>
      <c r="G26" s="33">
        <f t="shared" si="12"/>
        <v>632</v>
      </c>
      <c r="H26" s="33">
        <f t="shared" si="8"/>
        <v>2212.3750000000005</v>
      </c>
      <c r="I26" s="33">
        <f>'Capex Build'!F13</f>
        <v>242</v>
      </c>
      <c r="J26" s="33">
        <f t="shared" si="9"/>
        <v>1748.4750264928844</v>
      </c>
      <c r="K26" s="55">
        <f t="shared" si="10"/>
        <v>4.08541082337599E-2</v>
      </c>
      <c r="L26" s="55">
        <f t="shared" si="11"/>
        <v>6.9654284124237825E-2</v>
      </c>
    </row>
    <row r="27" spans="1:12" x14ac:dyDescent="0.2">
      <c r="C27" s="5">
        <v>2025</v>
      </c>
      <c r="D27" s="33">
        <f>D26</f>
        <v>2908.2424635851812</v>
      </c>
      <c r="E27" s="55">
        <f>0</f>
        <v>0</v>
      </c>
      <c r="F27" s="101">
        <f t="shared" si="7"/>
        <v>1</v>
      </c>
      <c r="G27" s="33">
        <f t="shared" si="12"/>
        <v>716</v>
      </c>
      <c r="H27" s="33">
        <f t="shared" si="8"/>
        <v>2212.3750000000005</v>
      </c>
      <c r="I27" s="33">
        <f>'Capex Build'!G13</f>
        <v>413</v>
      </c>
      <c r="J27" s="33">
        <f t="shared" si="9"/>
        <v>1822.7401009782952</v>
      </c>
      <c r="K27" s="55">
        <f t="shared" si="10"/>
        <v>4.393348537154762E-2</v>
      </c>
      <c r="L27" s="55">
        <f t="shared" si="11"/>
        <v>7.2398602002581178E-2</v>
      </c>
    </row>
    <row r="28" spans="1:12" x14ac:dyDescent="0.2">
      <c r="C28" s="5">
        <v>2026</v>
      </c>
      <c r="D28" s="33">
        <f>D27</f>
        <v>2908.2424635851812</v>
      </c>
      <c r="E28" s="55">
        <f>0</f>
        <v>0</v>
      </c>
      <c r="F28" s="101">
        <f t="shared" si="7"/>
        <v>1</v>
      </c>
      <c r="G28" s="33">
        <f t="shared" si="12"/>
        <v>950</v>
      </c>
      <c r="H28" s="33">
        <f t="shared" si="8"/>
        <v>2212.3750000000005</v>
      </c>
      <c r="I28" s="33">
        <f>'Capex Build'!H13</f>
        <v>784</v>
      </c>
      <c r="J28" s="33">
        <f t="shared" si="9"/>
        <v>2002.9108045241292</v>
      </c>
      <c r="K28" s="55">
        <f t="shared" si="10"/>
        <v>5.1404204942523402E-2</v>
      </c>
      <c r="L28" s="55">
        <f t="shared" si="11"/>
        <v>7.8989644615410318E-2</v>
      </c>
    </row>
    <row r="29" spans="1:12" x14ac:dyDescent="0.2">
      <c r="C29" s="5">
        <v>2027</v>
      </c>
      <c r="D29" s="33">
        <f>D28</f>
        <v>2908.2424635851812</v>
      </c>
      <c r="E29" s="55">
        <f>0</f>
        <v>0</v>
      </c>
      <c r="F29" s="101">
        <f t="shared" si="7"/>
        <v>1</v>
      </c>
      <c r="G29" s="33">
        <f t="shared" si="12"/>
        <v>1496.5</v>
      </c>
      <c r="H29" s="33">
        <f t="shared" si="8"/>
        <v>2212.3750000000005</v>
      </c>
      <c r="I29" s="33">
        <f>'Capex Build'!I13</f>
        <v>1090</v>
      </c>
      <c r="J29" s="33">
        <f t="shared" si="9"/>
        <v>2330.4832254772145</v>
      </c>
      <c r="K29" s="55">
        <f t="shared" si="10"/>
        <v>6.4986888741632942E-2</v>
      </c>
      <c r="L29" s="55">
        <f t="shared" si="11"/>
        <v>9.0736073200719691E-2</v>
      </c>
    </row>
    <row r="30" spans="1:12" x14ac:dyDescent="0.2">
      <c r="C30" s="5">
        <v>2028</v>
      </c>
      <c r="D30" s="33">
        <f>D29</f>
        <v>2908.2424635851812</v>
      </c>
      <c r="E30" s="55">
        <f>p_max</f>
        <v>0.5</v>
      </c>
      <c r="F30" s="101">
        <f t="shared" si="7"/>
        <v>1.6479009679073209</v>
      </c>
      <c r="G30" s="33">
        <f t="shared" si="12"/>
        <v>2212.375</v>
      </c>
      <c r="H30" s="33">
        <f t="shared" si="8"/>
        <v>4680.1029390792382</v>
      </c>
      <c r="I30" s="33">
        <f>delta_a*G30+(H30-G30)</f>
        <v>3020.8216890792382</v>
      </c>
      <c r="J30" s="33">
        <f t="shared" si="9"/>
        <v>2654.8500000000035</v>
      </c>
      <c r="K30" s="55">
        <f t="shared" si="10"/>
        <v>7.843665145505474E-2</v>
      </c>
      <c r="L30" s="55">
        <f t="shared" si="11"/>
        <v>0.10207599200153589</v>
      </c>
    </row>
    <row r="31" spans="1:12" x14ac:dyDescent="0.2">
      <c r="C31" s="5">
        <v>2029</v>
      </c>
      <c r="D31" s="33">
        <f>D30*exp_xi</f>
        <v>10116.545472286582</v>
      </c>
      <c r="E31" s="55">
        <f>p_max</f>
        <v>0.5</v>
      </c>
      <c r="F31" s="101">
        <f t="shared" si="7"/>
        <v>1.6479009679073209</v>
      </c>
      <c r="G31" s="33">
        <f t="shared" si="12"/>
        <v>4680.1029390792382</v>
      </c>
      <c r="H31" s="33">
        <f t="shared" si="8"/>
        <v>16280.098647555707</v>
      </c>
      <c r="I31" s="33">
        <f>delta_a*G31+(H31-G31)</f>
        <v>12770.021443246278</v>
      </c>
      <c r="J31" s="33">
        <f t="shared" si="9"/>
        <v>7824.2003105280319</v>
      </c>
      <c r="K31" s="55">
        <f t="shared" si="10"/>
        <v>0.29278207928576627</v>
      </c>
      <c r="L31" s="55">
        <f t="shared" si="11"/>
        <v>0.25095329215736045</v>
      </c>
    </row>
    <row r="32" spans="1:12" x14ac:dyDescent="0.2">
      <c r="C32" s="5">
        <v>2030</v>
      </c>
      <c r="D32" s="33">
        <f>D31</f>
        <v>10116.545472286582</v>
      </c>
      <c r="E32" s="55">
        <f>p_star</f>
        <v>0.03</v>
      </c>
      <c r="F32" s="101">
        <f t="shared" si="7"/>
        <v>1.0388740580744393</v>
      </c>
      <c r="G32" s="33">
        <f t="shared" si="12"/>
        <v>16280.098647555707</v>
      </c>
      <c r="H32" s="33">
        <f t="shared" si="8"/>
        <v>8149.0075694450288</v>
      </c>
      <c r="I32" s="33">
        <f>delta_a*G32+(H32-G32)</f>
        <v>-4061.0664162217518</v>
      </c>
      <c r="J32" s="33">
        <f t="shared" si="9"/>
        <v>11855.153166076416</v>
      </c>
      <c r="K32" s="55">
        <f t="shared" si="10"/>
        <v>0.45992422723195414</v>
      </c>
      <c r="L32" s="55">
        <f t="shared" si="11"/>
        <v>0.33670930149369144</v>
      </c>
    </row>
    <row r="33" spans="1:12" x14ac:dyDescent="0.2">
      <c r="C33" s="5">
        <v>2031</v>
      </c>
      <c r="D33" s="33">
        <f>D32</f>
        <v>10116.545472286582</v>
      </c>
      <c r="E33" s="55">
        <f>p_star</f>
        <v>0.03</v>
      </c>
      <c r="F33" s="101">
        <f t="shared" si="7"/>
        <v>1.0388740580744393</v>
      </c>
      <c r="G33" s="33">
        <f t="shared" si="12"/>
        <v>8149.0075694450288</v>
      </c>
      <c r="H33" s="33">
        <f t="shared" si="8"/>
        <v>8149.0075694450288</v>
      </c>
      <c r="I33" s="33">
        <f>delta_a*G33+(H33-G33)</f>
        <v>2037.2518923612572</v>
      </c>
      <c r="J33" s="33">
        <f t="shared" si="9"/>
        <v>9412.8917815689201</v>
      </c>
      <c r="K33" s="55">
        <f t="shared" si="10"/>
        <v>0.35865665396060153</v>
      </c>
      <c r="L33" s="55">
        <f t="shared" si="11"/>
        <v>0.28727088067163303</v>
      </c>
    </row>
    <row r="34" spans="1:12" x14ac:dyDescent="0.2">
      <c r="C34" s="5">
        <v>2032</v>
      </c>
      <c r="D34" s="33">
        <f>D33</f>
        <v>10116.545472286582</v>
      </c>
      <c r="E34" s="55">
        <f>p_star</f>
        <v>0.03</v>
      </c>
      <c r="F34" s="101">
        <f t="shared" si="7"/>
        <v>1.0388740580744393</v>
      </c>
      <c r="G34" s="33">
        <f t="shared" si="12"/>
        <v>8149.0075694450288</v>
      </c>
      <c r="H34" s="33">
        <f t="shared" si="8"/>
        <v>8149.0075694450288</v>
      </c>
      <c r="I34" s="33">
        <f>delta_a*G34+(H34-G34)</f>
        <v>2037.2518923612572</v>
      </c>
      <c r="J34" s="33">
        <f t="shared" si="9"/>
        <v>9412.8917815689201</v>
      </c>
      <c r="K34" s="55">
        <f t="shared" si="10"/>
        <v>0.35865665396060153</v>
      </c>
      <c r="L34" s="55">
        <f t="shared" si="11"/>
        <v>0.28727088067163303</v>
      </c>
    </row>
    <row r="38" spans="1:12" x14ac:dyDescent="0.2">
      <c r="A38" t="s">
        <v>2</v>
      </c>
      <c r="C38" s="99" t="s">
        <v>241</v>
      </c>
      <c r="D38" s="14"/>
      <c r="E38" s="14"/>
      <c r="F38" s="14"/>
      <c r="G38" s="14"/>
      <c r="H38" s="14"/>
      <c r="I38" s="14"/>
      <c r="J38" s="14"/>
      <c r="K38" s="14"/>
      <c r="L38" s="14"/>
    </row>
    <row r="39" spans="1:12" ht="17" x14ac:dyDescent="0.3">
      <c r="C39" s="124" t="s">
        <v>95</v>
      </c>
      <c r="D39" s="124" t="s">
        <v>232</v>
      </c>
      <c r="E39" s="124" t="s">
        <v>233</v>
      </c>
      <c r="F39" s="124" t="s">
        <v>234</v>
      </c>
      <c r="G39" s="124" t="s">
        <v>235</v>
      </c>
      <c r="H39" s="124" t="s">
        <v>236</v>
      </c>
      <c r="I39" s="124" t="s">
        <v>237</v>
      </c>
      <c r="J39" s="124" t="s">
        <v>238</v>
      </c>
      <c r="K39" s="124" t="s">
        <v>176</v>
      </c>
      <c r="L39" s="124" t="s">
        <v>239</v>
      </c>
    </row>
    <row r="40" spans="1:12" x14ac:dyDescent="0.2">
      <c r="C40" s="5">
        <v>2022</v>
      </c>
      <c r="D40" s="33">
        <f>z0</f>
        <v>836.04371177588575</v>
      </c>
      <c r="E40" s="55">
        <f>0</f>
        <v>0</v>
      </c>
      <c r="F40" s="101">
        <f t="shared" ref="F40:F50" si="13">1+E40*(exp_xi^(1-alpha)-1)</f>
        <v>1</v>
      </c>
      <c r="G40" s="33">
        <f>K0</f>
        <v>636</v>
      </c>
      <c r="H40" s="33">
        <f t="shared" ref="H40:H50" si="14">D40*(alpha*F40/(r_a+delta_a))^(1/(1-alpha))</f>
        <v>636.00000000000011</v>
      </c>
      <c r="I40" s="33">
        <f>'Capex Build'!D13</f>
        <v>159</v>
      </c>
      <c r="J40" s="33">
        <f t="shared" ref="J40:J50" si="15">D40^(1-alpha)*G40^alpha</f>
        <v>763.2000000000005</v>
      </c>
      <c r="K40" s="55">
        <f t="shared" ref="K40:K50" si="16">(J40+Yn0)/GDP_0-1</f>
        <v>0</v>
      </c>
      <c r="L40" s="55">
        <f t="shared" ref="L40:L50" si="17">J40/(J40+Yn0)</f>
        <v>3.1645839553034523E-2</v>
      </c>
    </row>
    <row r="41" spans="1:12" x14ac:dyDescent="0.2">
      <c r="C41" s="5">
        <v>2023</v>
      </c>
      <c r="D41" s="33">
        <f>D40</f>
        <v>836.04371177588575</v>
      </c>
      <c r="E41" s="55">
        <f>0</f>
        <v>0</v>
      </c>
      <c r="F41" s="101">
        <f t="shared" si="13"/>
        <v>1</v>
      </c>
      <c r="G41" s="33">
        <f t="shared" ref="G41:G50" si="18">G40*(1-delta_a)+I40</f>
        <v>636</v>
      </c>
      <c r="H41" s="33">
        <f t="shared" si="14"/>
        <v>636.00000000000011</v>
      </c>
      <c r="I41" s="33">
        <f>'Capex Build'!E13</f>
        <v>155</v>
      </c>
      <c r="J41" s="33">
        <f t="shared" si="15"/>
        <v>763.2000000000005</v>
      </c>
      <c r="K41" s="55">
        <f t="shared" si="16"/>
        <v>0</v>
      </c>
      <c r="L41" s="55">
        <f t="shared" si="17"/>
        <v>3.1645839553034523E-2</v>
      </c>
    </row>
    <row r="42" spans="1:12" x14ac:dyDescent="0.2">
      <c r="C42" s="5">
        <v>2024</v>
      </c>
      <c r="D42" s="33">
        <f>D41*exp_xi</f>
        <v>2908.2424635851812</v>
      </c>
      <c r="E42" s="55">
        <f>0</f>
        <v>0</v>
      </c>
      <c r="F42" s="101">
        <f t="shared" si="13"/>
        <v>1</v>
      </c>
      <c r="G42" s="33">
        <f t="shared" si="18"/>
        <v>632</v>
      </c>
      <c r="H42" s="33">
        <f t="shared" si="14"/>
        <v>2212.3750000000005</v>
      </c>
      <c r="I42" s="33">
        <f>'Capex Build'!F13</f>
        <v>242</v>
      </c>
      <c r="J42" s="33">
        <f t="shared" si="15"/>
        <v>1748.4750264928844</v>
      </c>
      <c r="K42" s="55">
        <f t="shared" si="16"/>
        <v>4.08541082337599E-2</v>
      </c>
      <c r="L42" s="55">
        <f t="shared" si="17"/>
        <v>6.9654284124237825E-2</v>
      </c>
    </row>
    <row r="43" spans="1:12" x14ac:dyDescent="0.2">
      <c r="C43" s="5">
        <v>2025</v>
      </c>
      <c r="D43" s="33">
        <f>D42</f>
        <v>2908.2424635851812</v>
      </c>
      <c r="E43" s="55">
        <f>0</f>
        <v>0</v>
      </c>
      <c r="F43" s="101">
        <f t="shared" si="13"/>
        <v>1</v>
      </c>
      <c r="G43" s="33">
        <f t="shared" si="18"/>
        <v>716</v>
      </c>
      <c r="H43" s="33">
        <f t="shared" si="14"/>
        <v>2212.3750000000005</v>
      </c>
      <c r="I43" s="33">
        <f>'Capex Build'!G13</f>
        <v>413</v>
      </c>
      <c r="J43" s="33">
        <f t="shared" si="15"/>
        <v>1822.7401009782952</v>
      </c>
      <c r="K43" s="55">
        <f t="shared" si="16"/>
        <v>4.393348537154762E-2</v>
      </c>
      <c r="L43" s="55">
        <f t="shared" si="17"/>
        <v>7.2398602002581178E-2</v>
      </c>
    </row>
    <row r="44" spans="1:12" x14ac:dyDescent="0.2">
      <c r="C44" s="5">
        <v>2026</v>
      </c>
      <c r="D44" s="33">
        <f>D43</f>
        <v>2908.2424635851812</v>
      </c>
      <c r="E44" s="55">
        <f>0</f>
        <v>0</v>
      </c>
      <c r="F44" s="101">
        <f t="shared" si="13"/>
        <v>1</v>
      </c>
      <c r="G44" s="33">
        <f t="shared" si="18"/>
        <v>950</v>
      </c>
      <c r="H44" s="33">
        <f t="shared" si="14"/>
        <v>2212.3750000000005</v>
      </c>
      <c r="I44" s="33">
        <f>'Capex Build'!H13</f>
        <v>784</v>
      </c>
      <c r="J44" s="33">
        <f t="shared" si="15"/>
        <v>2002.9108045241292</v>
      </c>
      <c r="K44" s="55">
        <f t="shared" si="16"/>
        <v>5.1404204942523402E-2</v>
      </c>
      <c r="L44" s="55">
        <f t="shared" si="17"/>
        <v>7.8989644615410318E-2</v>
      </c>
    </row>
    <row r="45" spans="1:12" x14ac:dyDescent="0.2">
      <c r="C45" s="5">
        <v>2027</v>
      </c>
      <c r="D45" s="33">
        <f>D44</f>
        <v>2908.2424635851812</v>
      </c>
      <c r="E45" s="55">
        <f>0</f>
        <v>0</v>
      </c>
      <c r="F45" s="101">
        <f t="shared" si="13"/>
        <v>1</v>
      </c>
      <c r="G45" s="33">
        <f t="shared" si="18"/>
        <v>1496.5</v>
      </c>
      <c r="H45" s="33">
        <f t="shared" si="14"/>
        <v>2212.3750000000005</v>
      </c>
      <c r="I45" s="33">
        <f>'Capex Build'!I13</f>
        <v>1090</v>
      </c>
      <c r="J45" s="33">
        <f t="shared" si="15"/>
        <v>2330.4832254772145</v>
      </c>
      <c r="K45" s="55">
        <f t="shared" si="16"/>
        <v>6.4986888741632942E-2</v>
      </c>
      <c r="L45" s="55">
        <f t="shared" si="17"/>
        <v>9.0736073200719691E-2</v>
      </c>
    </row>
    <row r="46" spans="1:12" x14ac:dyDescent="0.2">
      <c r="C46" s="5">
        <v>2028</v>
      </c>
      <c r="D46" s="33">
        <f>D45</f>
        <v>2908.2424635851812</v>
      </c>
      <c r="E46" s="55">
        <f>p_max</f>
        <v>0.5</v>
      </c>
      <c r="F46" s="101">
        <f t="shared" si="13"/>
        <v>1.6479009679073209</v>
      </c>
      <c r="G46" s="33">
        <f t="shared" si="18"/>
        <v>2212.375</v>
      </c>
      <c r="H46" s="33">
        <f t="shared" si="14"/>
        <v>4680.1029390792382</v>
      </c>
      <c r="I46" s="33">
        <f>delta_a*G46+(H46-G46)</f>
        <v>3020.8216890792382</v>
      </c>
      <c r="J46" s="33">
        <f t="shared" si="15"/>
        <v>2654.8500000000035</v>
      </c>
      <c r="K46" s="55">
        <f t="shared" si="16"/>
        <v>7.843665145505474E-2</v>
      </c>
      <c r="L46" s="55">
        <f t="shared" si="17"/>
        <v>0.10207599200153589</v>
      </c>
    </row>
    <row r="47" spans="1:12" x14ac:dyDescent="0.2">
      <c r="C47" s="5">
        <v>2029</v>
      </c>
      <c r="D47" s="33">
        <f>D46</f>
        <v>2908.2424635851812</v>
      </c>
      <c r="E47" s="55">
        <f>p_max</f>
        <v>0.5</v>
      </c>
      <c r="F47" s="101">
        <f t="shared" si="13"/>
        <v>1.6479009679073209</v>
      </c>
      <c r="G47" s="33">
        <f t="shared" si="18"/>
        <v>4680.1029390792382</v>
      </c>
      <c r="H47" s="33">
        <f t="shared" si="14"/>
        <v>4680.1029390792382</v>
      </c>
      <c r="I47" s="33">
        <f>delta_a*G47+(H47-G47)</f>
        <v>1170.0257347698096</v>
      </c>
      <c r="J47" s="33">
        <f t="shared" si="15"/>
        <v>3408.0467432621522</v>
      </c>
      <c r="K47" s="55">
        <f t="shared" si="16"/>
        <v>0.10966770922384672</v>
      </c>
      <c r="L47" s="55">
        <f t="shared" si="17"/>
        <v>0.12734762632294905</v>
      </c>
    </row>
    <row r="48" spans="1:12" x14ac:dyDescent="0.2">
      <c r="C48" s="5">
        <v>2030</v>
      </c>
      <c r="D48" s="33">
        <f>D47*exp_xi</f>
        <v>10116.545472286582</v>
      </c>
      <c r="E48" s="55">
        <f>p_star</f>
        <v>0.03</v>
      </c>
      <c r="F48" s="101">
        <f t="shared" si="13"/>
        <v>1.0388740580744393</v>
      </c>
      <c r="G48" s="33">
        <f t="shared" si="18"/>
        <v>4680.1029390792382</v>
      </c>
      <c r="H48" s="33">
        <f t="shared" si="14"/>
        <v>8149.0075694450288</v>
      </c>
      <c r="I48" s="33">
        <f>delta_a*G48+(H48-G48)</f>
        <v>4638.9303651356004</v>
      </c>
      <c r="J48" s="33">
        <f t="shared" si="15"/>
        <v>7824.2003105280319</v>
      </c>
      <c r="K48" s="55">
        <f t="shared" si="16"/>
        <v>0.29278207928576627</v>
      </c>
      <c r="L48" s="55">
        <f t="shared" si="17"/>
        <v>0.25095329215736045</v>
      </c>
    </row>
    <row r="49" spans="1:12" x14ac:dyDescent="0.2">
      <c r="C49" s="5">
        <v>2031</v>
      </c>
      <c r="D49" s="33">
        <f>D48</f>
        <v>10116.545472286582</v>
      </c>
      <c r="E49" s="55">
        <f>p_star</f>
        <v>0.03</v>
      </c>
      <c r="F49" s="101">
        <f t="shared" si="13"/>
        <v>1.0388740580744393</v>
      </c>
      <c r="G49" s="33">
        <f t="shared" si="18"/>
        <v>8149.0075694450288</v>
      </c>
      <c r="H49" s="33">
        <f t="shared" si="14"/>
        <v>8149.0075694450288</v>
      </c>
      <c r="I49" s="33">
        <f>delta_a*G49+(H49-G49)</f>
        <v>2037.2518923612572</v>
      </c>
      <c r="J49" s="33">
        <f t="shared" si="15"/>
        <v>9412.8917815689201</v>
      </c>
      <c r="K49" s="55">
        <f t="shared" si="16"/>
        <v>0.35865665396060153</v>
      </c>
      <c r="L49" s="55">
        <f t="shared" si="17"/>
        <v>0.28727088067163303</v>
      </c>
    </row>
    <row r="50" spans="1:12" x14ac:dyDescent="0.2">
      <c r="C50" s="5">
        <v>2032</v>
      </c>
      <c r="D50" s="33">
        <f>D49</f>
        <v>10116.545472286582</v>
      </c>
      <c r="E50" s="55">
        <f>p_star</f>
        <v>0.03</v>
      </c>
      <c r="F50" s="101">
        <f t="shared" si="13"/>
        <v>1.0388740580744393</v>
      </c>
      <c r="G50" s="33">
        <f t="shared" si="18"/>
        <v>8149.0075694450288</v>
      </c>
      <c r="H50" s="33">
        <f t="shared" si="14"/>
        <v>8149.0075694450288</v>
      </c>
      <c r="I50" s="33">
        <f>delta_a*G50+(H50-G50)</f>
        <v>2037.2518923612572</v>
      </c>
      <c r="J50" s="33">
        <f t="shared" si="15"/>
        <v>9412.8917815689201</v>
      </c>
      <c r="K50" s="55">
        <f t="shared" si="16"/>
        <v>0.35865665396060153</v>
      </c>
      <c r="L50" s="55">
        <f t="shared" si="17"/>
        <v>0.28727088067163303</v>
      </c>
    </row>
    <row r="54" spans="1:12" x14ac:dyDescent="0.2">
      <c r="A54" t="s">
        <v>2</v>
      </c>
      <c r="C54" s="99" t="s">
        <v>242</v>
      </c>
      <c r="D54" s="14"/>
      <c r="E54" s="14"/>
      <c r="F54" s="14"/>
      <c r="G54" s="14"/>
      <c r="H54" s="14"/>
      <c r="I54" s="14"/>
      <c r="J54" s="14"/>
      <c r="K54" s="14"/>
      <c r="L54" s="14"/>
    </row>
    <row r="55" spans="1:12" ht="17" x14ac:dyDescent="0.3">
      <c r="C55" s="124" t="s">
        <v>95</v>
      </c>
      <c r="D55" s="124" t="s">
        <v>232</v>
      </c>
      <c r="E55" s="124" t="s">
        <v>233</v>
      </c>
      <c r="F55" s="124" t="s">
        <v>234</v>
      </c>
      <c r="G55" s="124" t="s">
        <v>235</v>
      </c>
      <c r="H55" s="124" t="s">
        <v>236</v>
      </c>
      <c r="I55" s="124" t="s">
        <v>237</v>
      </c>
      <c r="J55" s="124" t="s">
        <v>238</v>
      </c>
      <c r="K55" s="124" t="s">
        <v>176</v>
      </c>
      <c r="L55" s="124" t="s">
        <v>239</v>
      </c>
    </row>
    <row r="56" spans="1:12" x14ac:dyDescent="0.2">
      <c r="C56" s="5">
        <v>2022</v>
      </c>
      <c r="D56" s="33">
        <f>z0</f>
        <v>836.04371177588575</v>
      </c>
      <c r="E56" s="55">
        <f>0</f>
        <v>0</v>
      </c>
      <c r="F56" s="101">
        <f t="shared" ref="F56:F66" si="19">1+E56*(exp_xi^(1-alpha)-1)</f>
        <v>1</v>
      </c>
      <c r="G56" s="33">
        <f>K0</f>
        <v>636</v>
      </c>
      <c r="H56" s="33">
        <f t="shared" ref="H56:H66" si="20">D56*(alpha*F56/(r_a+delta_a))^(1/(1-alpha))</f>
        <v>636.00000000000011</v>
      </c>
      <c r="I56" s="33">
        <f>'Capex Build'!D13</f>
        <v>159</v>
      </c>
      <c r="J56" s="33">
        <f t="shared" ref="J56:J66" si="21">D56^(1-alpha)*G56^alpha</f>
        <v>763.2000000000005</v>
      </c>
      <c r="K56" s="55">
        <f t="shared" ref="K56:K66" si="22">(J56+Yn0)/GDP_0-1</f>
        <v>0</v>
      </c>
      <c r="L56" s="55">
        <f t="shared" ref="L56:L66" si="23">J56/(J56+Yn0)</f>
        <v>3.1645839553034523E-2</v>
      </c>
    </row>
    <row r="57" spans="1:12" x14ac:dyDescent="0.2">
      <c r="C57" s="5">
        <v>2023</v>
      </c>
      <c r="D57" s="33">
        <f>D56</f>
        <v>836.04371177588575</v>
      </c>
      <c r="E57" s="55">
        <f>0</f>
        <v>0</v>
      </c>
      <c r="F57" s="101">
        <f t="shared" si="19"/>
        <v>1</v>
      </c>
      <c r="G57" s="33">
        <f t="shared" ref="G57:G66" si="24">G56*(1-delta_a)+I56</f>
        <v>636</v>
      </c>
      <c r="H57" s="33">
        <f t="shared" si="20"/>
        <v>636.00000000000011</v>
      </c>
      <c r="I57" s="33">
        <f>'Capex Build'!E13</f>
        <v>155</v>
      </c>
      <c r="J57" s="33">
        <f t="shared" si="21"/>
        <v>763.2000000000005</v>
      </c>
      <c r="K57" s="55">
        <f t="shared" si="22"/>
        <v>0</v>
      </c>
      <c r="L57" s="55">
        <f t="shared" si="23"/>
        <v>3.1645839553034523E-2</v>
      </c>
    </row>
    <row r="58" spans="1:12" x14ac:dyDescent="0.2">
      <c r="C58" s="5">
        <v>2024</v>
      </c>
      <c r="D58" s="33">
        <f>D57*exp_xi</f>
        <v>2908.2424635851812</v>
      </c>
      <c r="E58" s="55">
        <f>0</f>
        <v>0</v>
      </c>
      <c r="F58" s="101">
        <f t="shared" si="19"/>
        <v>1</v>
      </c>
      <c r="G58" s="33">
        <f t="shared" si="24"/>
        <v>632</v>
      </c>
      <c r="H58" s="33">
        <f t="shared" si="20"/>
        <v>2212.3750000000005</v>
      </c>
      <c r="I58" s="33">
        <f>'Capex Build'!F13</f>
        <v>242</v>
      </c>
      <c r="J58" s="33">
        <f t="shared" si="21"/>
        <v>1748.4750264928844</v>
      </c>
      <c r="K58" s="55">
        <f t="shared" si="22"/>
        <v>4.08541082337599E-2</v>
      </c>
      <c r="L58" s="55">
        <f t="shared" si="23"/>
        <v>6.9654284124237825E-2</v>
      </c>
    </row>
    <row r="59" spans="1:12" x14ac:dyDescent="0.2">
      <c r="C59" s="5">
        <v>2025</v>
      </c>
      <c r="D59" s="33">
        <f>D58</f>
        <v>2908.2424635851812</v>
      </c>
      <c r="E59" s="55">
        <f>0</f>
        <v>0</v>
      </c>
      <c r="F59" s="101">
        <f t="shared" si="19"/>
        <v>1</v>
      </c>
      <c r="G59" s="33">
        <f t="shared" si="24"/>
        <v>716</v>
      </c>
      <c r="H59" s="33">
        <f t="shared" si="20"/>
        <v>2212.3750000000005</v>
      </c>
      <c r="I59" s="33">
        <f>'Capex Build'!G13</f>
        <v>413</v>
      </c>
      <c r="J59" s="33">
        <f t="shared" si="21"/>
        <v>1822.7401009782952</v>
      </c>
      <c r="K59" s="55">
        <f t="shared" si="22"/>
        <v>4.393348537154762E-2</v>
      </c>
      <c r="L59" s="55">
        <f t="shared" si="23"/>
        <v>7.2398602002581178E-2</v>
      </c>
    </row>
    <row r="60" spans="1:12" x14ac:dyDescent="0.2">
      <c r="C60" s="5">
        <v>2026</v>
      </c>
      <c r="D60" s="33">
        <f>D59</f>
        <v>2908.2424635851812</v>
      </c>
      <c r="E60" s="55">
        <f>0</f>
        <v>0</v>
      </c>
      <c r="F60" s="101">
        <f t="shared" si="19"/>
        <v>1</v>
      </c>
      <c r="G60" s="33">
        <f t="shared" si="24"/>
        <v>950</v>
      </c>
      <c r="H60" s="33">
        <f t="shared" si="20"/>
        <v>2212.3750000000005</v>
      </c>
      <c r="I60" s="33">
        <f>'Capex Build'!H13</f>
        <v>784</v>
      </c>
      <c r="J60" s="33">
        <f t="shared" si="21"/>
        <v>2002.9108045241292</v>
      </c>
      <c r="K60" s="55">
        <f t="shared" si="22"/>
        <v>5.1404204942523402E-2</v>
      </c>
      <c r="L60" s="55">
        <f t="shared" si="23"/>
        <v>7.8989644615410318E-2</v>
      </c>
    </row>
    <row r="61" spans="1:12" x14ac:dyDescent="0.2">
      <c r="C61" s="5">
        <v>2027</v>
      </c>
      <c r="D61" s="33">
        <f>D60</f>
        <v>2908.2424635851812</v>
      </c>
      <c r="E61" s="55">
        <f>0</f>
        <v>0</v>
      </c>
      <c r="F61" s="101">
        <f t="shared" si="19"/>
        <v>1</v>
      </c>
      <c r="G61" s="33">
        <f t="shared" si="24"/>
        <v>1496.5</v>
      </c>
      <c r="H61" s="33">
        <f t="shared" si="20"/>
        <v>2212.3750000000005</v>
      </c>
      <c r="I61" s="33">
        <f>'Capex Build'!I13</f>
        <v>1090</v>
      </c>
      <c r="J61" s="33">
        <f t="shared" si="21"/>
        <v>2330.4832254772145</v>
      </c>
      <c r="K61" s="55">
        <f t="shared" si="22"/>
        <v>6.4986888741632942E-2</v>
      </c>
      <c r="L61" s="55">
        <f t="shared" si="23"/>
        <v>9.0736073200719691E-2</v>
      </c>
    </row>
    <row r="62" spans="1:12" x14ac:dyDescent="0.2">
      <c r="C62" s="5">
        <v>2028</v>
      </c>
      <c r="D62" s="33">
        <f>D61</f>
        <v>2908.2424635851812</v>
      </c>
      <c r="E62" s="55">
        <f>p_max</f>
        <v>0.5</v>
      </c>
      <c r="F62" s="101">
        <f t="shared" si="19"/>
        <v>1.6479009679073209</v>
      </c>
      <c r="G62" s="33">
        <f t="shared" si="24"/>
        <v>2212.375</v>
      </c>
      <c r="H62" s="33">
        <f t="shared" si="20"/>
        <v>4680.1029390792382</v>
      </c>
      <c r="I62" s="33">
        <f>delta_a*G62+(H62-G62)</f>
        <v>3020.8216890792382</v>
      </c>
      <c r="J62" s="33">
        <f t="shared" si="21"/>
        <v>2654.8500000000035</v>
      </c>
      <c r="K62" s="55">
        <f t="shared" si="22"/>
        <v>7.843665145505474E-2</v>
      </c>
      <c r="L62" s="55">
        <f t="shared" si="23"/>
        <v>0.10207599200153589</v>
      </c>
    </row>
    <row r="63" spans="1:12" x14ac:dyDescent="0.2">
      <c r="C63" s="5">
        <v>2029</v>
      </c>
      <c r="D63" s="33">
        <f>D62*exp_xi</f>
        <v>10116.545472286582</v>
      </c>
      <c r="E63" s="55">
        <f>p_max</f>
        <v>0.5</v>
      </c>
      <c r="F63" s="101">
        <f t="shared" si="19"/>
        <v>1.6479009679073209</v>
      </c>
      <c r="G63" s="33">
        <f t="shared" si="24"/>
        <v>4680.1029390792382</v>
      </c>
      <c r="H63" s="33">
        <f t="shared" si="20"/>
        <v>16280.098647555707</v>
      </c>
      <c r="I63" s="33">
        <f>delta_a*G63+(H63-G63)</f>
        <v>12770.021443246278</v>
      </c>
      <c r="J63" s="33">
        <f t="shared" si="21"/>
        <v>7824.2003105280319</v>
      </c>
      <c r="K63" s="55">
        <f t="shared" si="22"/>
        <v>0.29278207928576627</v>
      </c>
      <c r="L63" s="55">
        <f t="shared" si="23"/>
        <v>0.25095329215736045</v>
      </c>
    </row>
    <row r="64" spans="1:12" x14ac:dyDescent="0.2">
      <c r="C64" s="5">
        <v>2030</v>
      </c>
      <c r="D64" s="33">
        <f>D63*exp_xi</f>
        <v>35191.182844732743</v>
      </c>
      <c r="E64" s="55">
        <f>p_star</f>
        <v>0.03</v>
      </c>
      <c r="F64" s="101">
        <f t="shared" si="19"/>
        <v>1.0388740580744393</v>
      </c>
      <c r="G64" s="33">
        <f t="shared" si="24"/>
        <v>16280.098647555707</v>
      </c>
      <c r="H64" s="33">
        <f t="shared" si="20"/>
        <v>28346.950662658717</v>
      </c>
      <c r="I64" s="33">
        <f>delta_a*G64+(H64-G64)</f>
        <v>16136.876676991937</v>
      </c>
      <c r="J64" s="33">
        <f t="shared" si="21"/>
        <v>27217.083588057329</v>
      </c>
      <c r="K64" s="55">
        <f t="shared" si="22"/>
        <v>1.0969016713604756</v>
      </c>
      <c r="L64" s="55">
        <f t="shared" si="23"/>
        <v>0.53819763049800295</v>
      </c>
    </row>
    <row r="65" spans="1:12" x14ac:dyDescent="0.2">
      <c r="C65" s="5">
        <v>2031</v>
      </c>
      <c r="D65" s="33">
        <f>D64</f>
        <v>35191.182844732743</v>
      </c>
      <c r="E65" s="55">
        <f>p_star</f>
        <v>0.03</v>
      </c>
      <c r="F65" s="101">
        <f t="shared" si="19"/>
        <v>1.0388740580744393</v>
      </c>
      <c r="G65" s="33">
        <f t="shared" si="24"/>
        <v>28346.950662658717</v>
      </c>
      <c r="H65" s="33">
        <f t="shared" si="20"/>
        <v>28346.950662658717</v>
      </c>
      <c r="I65" s="33">
        <f>delta_a*G65+(H65-G65)</f>
        <v>7086.7376656646793</v>
      </c>
      <c r="J65" s="33">
        <f t="shared" si="21"/>
        <v>32743.469269258727</v>
      </c>
      <c r="K65" s="55">
        <f t="shared" si="22"/>
        <v>1.3260514546092788</v>
      </c>
      <c r="L65" s="55">
        <f t="shared" si="23"/>
        <v>0.58369185749176555</v>
      </c>
    </row>
    <row r="66" spans="1:12" x14ac:dyDescent="0.2">
      <c r="C66" s="5">
        <v>2032</v>
      </c>
      <c r="D66" s="33">
        <f>D65</f>
        <v>35191.182844732743</v>
      </c>
      <c r="E66" s="55">
        <f>p_star</f>
        <v>0.03</v>
      </c>
      <c r="F66" s="101">
        <f t="shared" si="19"/>
        <v>1.0388740580744393</v>
      </c>
      <c r="G66" s="33">
        <f t="shared" si="24"/>
        <v>28346.950662658717</v>
      </c>
      <c r="H66" s="33">
        <f t="shared" si="20"/>
        <v>28346.950662658717</v>
      </c>
      <c r="I66" s="33">
        <f>delta_a*G66+(H66-G66)</f>
        <v>7086.7376656646793</v>
      </c>
      <c r="J66" s="33">
        <f t="shared" si="21"/>
        <v>32743.469269258727</v>
      </c>
      <c r="K66" s="55">
        <f t="shared" si="22"/>
        <v>1.3260514546092788</v>
      </c>
      <c r="L66" s="55">
        <f t="shared" si="23"/>
        <v>0.58369185749176555</v>
      </c>
    </row>
    <row r="70" spans="1:12" x14ac:dyDescent="0.2">
      <c r="A70" t="s">
        <v>2</v>
      </c>
      <c r="C70" s="99" t="s">
        <v>243</v>
      </c>
      <c r="D70" s="14"/>
      <c r="E70" s="14"/>
      <c r="F70" s="14"/>
      <c r="G70" s="14"/>
      <c r="H70" s="14"/>
      <c r="I70" s="14"/>
      <c r="J70" s="14"/>
      <c r="K70" s="14"/>
      <c r="L70" s="14"/>
    </row>
    <row r="71" spans="1:12" ht="17" x14ac:dyDescent="0.3">
      <c r="C71" s="124" t="s">
        <v>95</v>
      </c>
      <c r="D71" s="124" t="s">
        <v>232</v>
      </c>
      <c r="E71" s="124" t="s">
        <v>233</v>
      </c>
      <c r="F71" s="124" t="s">
        <v>234</v>
      </c>
      <c r="G71" s="124" t="s">
        <v>235</v>
      </c>
      <c r="H71" s="124" t="s">
        <v>236</v>
      </c>
      <c r="I71" s="124" t="s">
        <v>237</v>
      </c>
      <c r="J71" s="124" t="s">
        <v>238</v>
      </c>
      <c r="K71" s="124" t="s">
        <v>176</v>
      </c>
      <c r="L71" s="124" t="s">
        <v>239</v>
      </c>
    </row>
    <row r="72" spans="1:12" x14ac:dyDescent="0.2">
      <c r="C72" s="5">
        <v>2022</v>
      </c>
      <c r="D72" s="33">
        <f>z0</f>
        <v>836.04371177588575</v>
      </c>
      <c r="E72" s="55">
        <f>0</f>
        <v>0</v>
      </c>
      <c r="F72" s="101">
        <f t="shared" ref="F72:F82" si="25">1+E72*(exp_xi^(1-alpha)-1)</f>
        <v>1</v>
      </c>
      <c r="G72" s="33">
        <f>K0</f>
        <v>636</v>
      </c>
      <c r="H72" s="33">
        <f t="shared" ref="H72:H82" si="26">D72*(alpha*F72/(r_a+delta_a))^(1/(1-alpha))</f>
        <v>636.00000000000011</v>
      </c>
      <c r="I72" s="33">
        <f>'Capex Build'!D13</f>
        <v>159</v>
      </c>
      <c r="J72" s="33">
        <f t="shared" ref="J72:J82" si="27">D72^(1-alpha)*G72^alpha</f>
        <v>763.2000000000005</v>
      </c>
      <c r="K72" s="55">
        <f t="shared" ref="K72:K82" si="28">(J72+Yn0)/GDP_0-1</f>
        <v>0</v>
      </c>
      <c r="L72" s="55">
        <f t="shared" ref="L72:L82" si="29">J72/(J72+Yn0)</f>
        <v>3.1645839553034523E-2</v>
      </c>
    </row>
    <row r="73" spans="1:12" x14ac:dyDescent="0.2">
      <c r="C73" s="5">
        <v>2023</v>
      </c>
      <c r="D73" s="33">
        <f>D72</f>
        <v>836.04371177588575</v>
      </c>
      <c r="E73" s="55">
        <f>0</f>
        <v>0</v>
      </c>
      <c r="F73" s="101">
        <f t="shared" si="25"/>
        <v>1</v>
      </c>
      <c r="G73" s="33">
        <f t="shared" ref="G73:G82" si="30">G72*(1-delta_a)+I72</f>
        <v>636</v>
      </c>
      <c r="H73" s="33">
        <f t="shared" si="26"/>
        <v>636.00000000000011</v>
      </c>
      <c r="I73" s="33">
        <f>'Capex Build'!E13</f>
        <v>155</v>
      </c>
      <c r="J73" s="33">
        <f t="shared" si="27"/>
        <v>763.2000000000005</v>
      </c>
      <c r="K73" s="55">
        <f t="shared" si="28"/>
        <v>0</v>
      </c>
      <c r="L73" s="55">
        <f t="shared" si="29"/>
        <v>3.1645839553034523E-2</v>
      </c>
    </row>
    <row r="74" spans="1:12" x14ac:dyDescent="0.2">
      <c r="C74" s="5">
        <v>2024</v>
      </c>
      <c r="D74" s="33">
        <f>D73*exp_xi</f>
        <v>2908.2424635851812</v>
      </c>
      <c r="E74" s="55">
        <f>0</f>
        <v>0</v>
      </c>
      <c r="F74" s="101">
        <f t="shared" si="25"/>
        <v>1</v>
      </c>
      <c r="G74" s="33">
        <f t="shared" si="30"/>
        <v>632</v>
      </c>
      <c r="H74" s="33">
        <f t="shared" si="26"/>
        <v>2212.3750000000005</v>
      </c>
      <c r="I74" s="33">
        <f>'Capex Build'!F13</f>
        <v>242</v>
      </c>
      <c r="J74" s="33">
        <f t="shared" si="27"/>
        <v>1748.4750264928844</v>
      </c>
      <c r="K74" s="55">
        <f t="shared" si="28"/>
        <v>4.08541082337599E-2</v>
      </c>
      <c r="L74" s="55">
        <f t="shared" si="29"/>
        <v>6.9654284124237825E-2</v>
      </c>
    </row>
    <row r="75" spans="1:12" x14ac:dyDescent="0.2">
      <c r="C75" s="5">
        <v>2025</v>
      </c>
      <c r="D75" s="33">
        <f t="shared" ref="D75:D82" si="31">D74</f>
        <v>2908.2424635851812</v>
      </c>
      <c r="E75" s="55">
        <f>0</f>
        <v>0</v>
      </c>
      <c r="F75" s="101">
        <f t="shared" si="25"/>
        <v>1</v>
      </c>
      <c r="G75" s="33">
        <f t="shared" si="30"/>
        <v>716</v>
      </c>
      <c r="H75" s="33">
        <f t="shared" si="26"/>
        <v>2212.3750000000005</v>
      </c>
      <c r="I75" s="33">
        <f>'Capex Build'!G13</f>
        <v>413</v>
      </c>
      <c r="J75" s="33">
        <f t="shared" si="27"/>
        <v>1822.7401009782952</v>
      </c>
      <c r="K75" s="55">
        <f t="shared" si="28"/>
        <v>4.393348537154762E-2</v>
      </c>
      <c r="L75" s="55">
        <f t="shared" si="29"/>
        <v>7.2398602002581178E-2</v>
      </c>
    </row>
    <row r="76" spans="1:12" x14ac:dyDescent="0.2">
      <c r="C76" s="5">
        <v>2026</v>
      </c>
      <c r="D76" s="33">
        <f t="shared" si="31"/>
        <v>2908.2424635851812</v>
      </c>
      <c r="E76" s="55">
        <f>0</f>
        <v>0</v>
      </c>
      <c r="F76" s="101">
        <f t="shared" si="25"/>
        <v>1</v>
      </c>
      <c r="G76" s="33">
        <f t="shared" si="30"/>
        <v>950</v>
      </c>
      <c r="H76" s="33">
        <f t="shared" si="26"/>
        <v>2212.3750000000005</v>
      </c>
      <c r="I76" s="33">
        <f>'Capex Build'!H13</f>
        <v>784</v>
      </c>
      <c r="J76" s="33">
        <f t="shared" si="27"/>
        <v>2002.9108045241292</v>
      </c>
      <c r="K76" s="55">
        <f t="shared" si="28"/>
        <v>5.1404204942523402E-2</v>
      </c>
      <c r="L76" s="55">
        <f t="shared" si="29"/>
        <v>7.8989644615410318E-2</v>
      </c>
    </row>
    <row r="77" spans="1:12" x14ac:dyDescent="0.2">
      <c r="C77" s="5">
        <v>2027</v>
      </c>
      <c r="D77" s="33">
        <f t="shared" si="31"/>
        <v>2908.2424635851812</v>
      </c>
      <c r="E77" s="55">
        <f>0</f>
        <v>0</v>
      </c>
      <c r="F77" s="101">
        <f t="shared" si="25"/>
        <v>1</v>
      </c>
      <c r="G77" s="33">
        <f t="shared" si="30"/>
        <v>1496.5</v>
      </c>
      <c r="H77" s="33">
        <f t="shared" si="26"/>
        <v>2212.3750000000005</v>
      </c>
      <c r="I77" s="33">
        <f>'Capex Build'!I13</f>
        <v>1090</v>
      </c>
      <c r="J77" s="33">
        <f t="shared" si="27"/>
        <v>2330.4832254772145</v>
      </c>
      <c r="K77" s="55">
        <f t="shared" si="28"/>
        <v>6.4986888741632942E-2</v>
      </c>
      <c r="L77" s="55">
        <f t="shared" si="29"/>
        <v>9.0736073200719691E-2</v>
      </c>
    </row>
    <row r="78" spans="1:12" x14ac:dyDescent="0.2">
      <c r="C78" s="5">
        <v>2028</v>
      </c>
      <c r="D78" s="33">
        <f t="shared" si="31"/>
        <v>2908.2424635851812</v>
      </c>
      <c r="E78" s="55">
        <f>p_max</f>
        <v>0.5</v>
      </c>
      <c r="F78" s="101">
        <f t="shared" si="25"/>
        <v>1.6479009679073209</v>
      </c>
      <c r="G78" s="33">
        <f t="shared" si="30"/>
        <v>2212.375</v>
      </c>
      <c r="H78" s="33">
        <f t="shared" si="26"/>
        <v>4680.1029390792382</v>
      </c>
      <c r="I78" s="33">
        <f>delta_a*G78+(H78-G78)/theta_a</f>
        <v>1375.6697296930793</v>
      </c>
      <c r="J78" s="33">
        <f t="shared" si="27"/>
        <v>2654.8500000000035</v>
      </c>
      <c r="K78" s="55">
        <f t="shared" si="28"/>
        <v>7.843665145505474E-2</v>
      </c>
      <c r="L78" s="55">
        <f t="shared" si="29"/>
        <v>0.10207599200153589</v>
      </c>
    </row>
    <row r="79" spans="1:12" x14ac:dyDescent="0.2">
      <c r="C79" s="5">
        <v>2029</v>
      </c>
      <c r="D79" s="33">
        <f t="shared" si="31"/>
        <v>2908.2424635851812</v>
      </c>
      <c r="E79" s="55">
        <f>p_max</f>
        <v>0.5</v>
      </c>
      <c r="F79" s="101">
        <f t="shared" si="25"/>
        <v>1.6479009679073209</v>
      </c>
      <c r="G79" s="33">
        <f t="shared" si="30"/>
        <v>3034.9509796930793</v>
      </c>
      <c r="H79" s="33">
        <f t="shared" si="26"/>
        <v>4680.1029390792382</v>
      </c>
      <c r="I79" s="33">
        <f>delta_a*G79+(H79-G79)/theta_a</f>
        <v>1307.1217313853228</v>
      </c>
      <c r="J79" s="33">
        <f t="shared" si="27"/>
        <v>2949.8796722481748</v>
      </c>
      <c r="K79" s="55">
        <f t="shared" si="28"/>
        <v>9.066996077286138E-2</v>
      </c>
      <c r="L79" s="55">
        <f t="shared" si="29"/>
        <v>0.1121473999698511</v>
      </c>
    </row>
    <row r="80" spans="1:12" x14ac:dyDescent="0.2">
      <c r="C80" s="5">
        <v>2030</v>
      </c>
      <c r="D80" s="33">
        <f t="shared" si="31"/>
        <v>2908.2424635851812</v>
      </c>
      <c r="E80" s="55">
        <f>p_star</f>
        <v>0.03</v>
      </c>
      <c r="F80" s="101">
        <f t="shared" si="25"/>
        <v>1.0388740580744393</v>
      </c>
      <c r="G80" s="33">
        <f t="shared" si="30"/>
        <v>3583.334966155132</v>
      </c>
      <c r="H80" s="33">
        <f t="shared" si="26"/>
        <v>2342.6267310772532</v>
      </c>
      <c r="I80" s="33">
        <f>delta_a*G80+(H80-G80)/theta_a</f>
        <v>482.26432984615673</v>
      </c>
      <c r="J80" s="33">
        <f t="shared" si="27"/>
        <v>3117.8092656235413</v>
      </c>
      <c r="K80" s="55">
        <f t="shared" si="28"/>
        <v>9.7633106695506955E-2</v>
      </c>
      <c r="L80" s="55">
        <f t="shared" si="29"/>
        <v>0.11777974394171098</v>
      </c>
    </row>
    <row r="81" spans="1:12" x14ac:dyDescent="0.2">
      <c r="C81" s="5">
        <v>2031</v>
      </c>
      <c r="D81" s="33">
        <f t="shared" si="31"/>
        <v>2908.2424635851812</v>
      </c>
      <c r="E81" s="55">
        <f>p_star</f>
        <v>0.03</v>
      </c>
      <c r="F81" s="101">
        <f t="shared" si="25"/>
        <v>1.0388740580744393</v>
      </c>
      <c r="G81" s="33">
        <f t="shared" si="30"/>
        <v>3169.7655544625054</v>
      </c>
      <c r="H81" s="33">
        <f t="shared" si="26"/>
        <v>2342.6267310772532</v>
      </c>
      <c r="I81" s="33">
        <f>delta_a*G81+(H81-G81)/theta_a</f>
        <v>516.728447487209</v>
      </c>
      <c r="J81" s="33">
        <f t="shared" si="27"/>
        <v>2992.9269812674465</v>
      </c>
      <c r="K81" s="55">
        <f t="shared" si="28"/>
        <v>9.2454903428015767E-2</v>
      </c>
      <c r="L81" s="55">
        <f t="shared" si="29"/>
        <v>0.11359804655701056</v>
      </c>
    </row>
    <row r="82" spans="1:12" x14ac:dyDescent="0.2">
      <c r="C82" s="5">
        <v>2032</v>
      </c>
      <c r="D82" s="33">
        <f t="shared" si="31"/>
        <v>2908.2424635851812</v>
      </c>
      <c r="E82" s="55">
        <f>p_star</f>
        <v>0.03</v>
      </c>
      <c r="F82" s="101">
        <f t="shared" si="25"/>
        <v>1.0388740580744393</v>
      </c>
      <c r="G82" s="33">
        <f t="shared" si="30"/>
        <v>2894.0526133340882</v>
      </c>
      <c r="H82" s="33">
        <f t="shared" si="26"/>
        <v>2342.6267310772532</v>
      </c>
      <c r="I82" s="33">
        <f>delta_a*G82+(H82-G82)/theta_a</f>
        <v>539.70452591457706</v>
      </c>
      <c r="J82" s="33">
        <f t="shared" si="27"/>
        <v>2903.5047998152845</v>
      </c>
      <c r="K82" s="55">
        <f t="shared" si="28"/>
        <v>8.874704178399373E-2</v>
      </c>
      <c r="L82" s="55">
        <f t="shared" si="29"/>
        <v>0.11057929593981315</v>
      </c>
    </row>
    <row r="86" spans="1:12" x14ac:dyDescent="0.2">
      <c r="A86" t="s">
        <v>2</v>
      </c>
      <c r="C86" s="99" t="s">
        <v>244</v>
      </c>
      <c r="D86" s="14"/>
      <c r="E86" s="14"/>
      <c r="F86" s="14"/>
      <c r="G86" s="14"/>
      <c r="H86" s="14"/>
      <c r="I86" s="14"/>
      <c r="J86" s="14"/>
      <c r="K86" s="14"/>
      <c r="L86" s="14"/>
    </row>
    <row r="87" spans="1:12" ht="17" x14ac:dyDescent="0.3">
      <c r="C87" s="124" t="s">
        <v>95</v>
      </c>
      <c r="D87" s="124" t="s">
        <v>232</v>
      </c>
      <c r="E87" s="124" t="s">
        <v>233</v>
      </c>
      <c r="F87" s="124" t="s">
        <v>234</v>
      </c>
      <c r="G87" s="124" t="s">
        <v>235</v>
      </c>
      <c r="H87" s="124" t="s">
        <v>236</v>
      </c>
      <c r="I87" s="124" t="s">
        <v>237</v>
      </c>
      <c r="J87" s="124" t="s">
        <v>238</v>
      </c>
      <c r="K87" s="124" t="s">
        <v>176</v>
      </c>
      <c r="L87" s="124" t="s">
        <v>239</v>
      </c>
    </row>
    <row r="88" spans="1:12" x14ac:dyDescent="0.2">
      <c r="C88" s="5">
        <v>2022</v>
      </c>
      <c r="D88" s="33">
        <f>z0</f>
        <v>836.04371177588575</v>
      </c>
      <c r="E88" s="55">
        <f>0</f>
        <v>0</v>
      </c>
      <c r="F88" s="101">
        <f t="shared" ref="F88:F98" si="32">1+E88*(exp_xi^(1-alpha)-1)</f>
        <v>1</v>
      </c>
      <c r="G88" s="33">
        <f>K0</f>
        <v>636</v>
      </c>
      <c r="H88" s="33">
        <f t="shared" ref="H88:H98" si="33">D88*(alpha*F88/(r_a+delta_a))^(1/(1-alpha))</f>
        <v>636.00000000000011</v>
      </c>
      <c r="I88" s="33">
        <f>'Capex Build'!D13</f>
        <v>159</v>
      </c>
      <c r="J88" s="33">
        <f t="shared" ref="J88:J98" si="34">D88^(1-alpha)*G88^alpha</f>
        <v>763.2000000000005</v>
      </c>
      <c r="K88" s="55">
        <f t="shared" ref="K88:K98" si="35">(J88+Yn0)/GDP_0-1</f>
        <v>0</v>
      </c>
      <c r="L88" s="55">
        <f t="shared" ref="L88:L98" si="36">J88/(J88+Yn0)</f>
        <v>3.1645839553034523E-2</v>
      </c>
    </row>
    <row r="89" spans="1:12" x14ac:dyDescent="0.2">
      <c r="C89" s="5">
        <v>2023</v>
      </c>
      <c r="D89" s="33">
        <f>D88</f>
        <v>836.04371177588575</v>
      </c>
      <c r="E89" s="55">
        <f>0</f>
        <v>0</v>
      </c>
      <c r="F89" s="101">
        <f t="shared" si="32"/>
        <v>1</v>
      </c>
      <c r="G89" s="33">
        <f t="shared" ref="G89:G98" si="37">G88*(1-delta_a)+I88</f>
        <v>636</v>
      </c>
      <c r="H89" s="33">
        <f t="shared" si="33"/>
        <v>636.00000000000011</v>
      </c>
      <c r="I89" s="33">
        <f>'Capex Build'!E13</f>
        <v>155</v>
      </c>
      <c r="J89" s="33">
        <f t="shared" si="34"/>
        <v>763.2000000000005</v>
      </c>
      <c r="K89" s="55">
        <f t="shared" si="35"/>
        <v>0</v>
      </c>
      <c r="L89" s="55">
        <f t="shared" si="36"/>
        <v>3.1645839553034523E-2</v>
      </c>
    </row>
    <row r="90" spans="1:12" x14ac:dyDescent="0.2">
      <c r="C90" s="5">
        <v>2024</v>
      </c>
      <c r="D90" s="33">
        <f>D89*exp_xi</f>
        <v>2908.2424635851812</v>
      </c>
      <c r="E90" s="55">
        <f>0</f>
        <v>0</v>
      </c>
      <c r="F90" s="101">
        <f t="shared" si="32"/>
        <v>1</v>
      </c>
      <c r="G90" s="33">
        <f t="shared" si="37"/>
        <v>632</v>
      </c>
      <c r="H90" s="33">
        <f t="shared" si="33"/>
        <v>2212.3750000000005</v>
      </c>
      <c r="I90" s="33">
        <f>'Capex Build'!F13</f>
        <v>242</v>
      </c>
      <c r="J90" s="33">
        <f t="shared" si="34"/>
        <v>1748.4750264928844</v>
      </c>
      <c r="K90" s="55">
        <f t="shared" si="35"/>
        <v>4.08541082337599E-2</v>
      </c>
      <c r="L90" s="55">
        <f t="shared" si="36"/>
        <v>6.9654284124237825E-2</v>
      </c>
    </row>
    <row r="91" spans="1:12" x14ac:dyDescent="0.2">
      <c r="C91" s="5">
        <v>2025</v>
      </c>
      <c r="D91" s="33">
        <f>D90</f>
        <v>2908.2424635851812</v>
      </c>
      <c r="E91" s="55">
        <f>0</f>
        <v>0</v>
      </c>
      <c r="F91" s="101">
        <f t="shared" si="32"/>
        <v>1</v>
      </c>
      <c r="G91" s="33">
        <f t="shared" si="37"/>
        <v>716</v>
      </c>
      <c r="H91" s="33">
        <f t="shared" si="33"/>
        <v>2212.3750000000005</v>
      </c>
      <c r="I91" s="33">
        <f>'Capex Build'!G13</f>
        <v>413</v>
      </c>
      <c r="J91" s="33">
        <f t="shared" si="34"/>
        <v>1822.7401009782952</v>
      </c>
      <c r="K91" s="55">
        <f t="shared" si="35"/>
        <v>4.393348537154762E-2</v>
      </c>
      <c r="L91" s="55">
        <f t="shared" si="36"/>
        <v>7.2398602002581178E-2</v>
      </c>
    </row>
    <row r="92" spans="1:12" x14ac:dyDescent="0.2">
      <c r="C92" s="5">
        <v>2026</v>
      </c>
      <c r="D92" s="33">
        <f>D91</f>
        <v>2908.2424635851812</v>
      </c>
      <c r="E92" s="55">
        <f>0</f>
        <v>0</v>
      </c>
      <c r="F92" s="101">
        <f t="shared" si="32"/>
        <v>1</v>
      </c>
      <c r="G92" s="33">
        <f t="shared" si="37"/>
        <v>950</v>
      </c>
      <c r="H92" s="33">
        <f t="shared" si="33"/>
        <v>2212.3750000000005</v>
      </c>
      <c r="I92" s="33">
        <f>'Capex Build'!H13</f>
        <v>784</v>
      </c>
      <c r="J92" s="33">
        <f t="shared" si="34"/>
        <v>2002.9108045241292</v>
      </c>
      <c r="K92" s="55">
        <f t="shared" si="35"/>
        <v>5.1404204942523402E-2</v>
      </c>
      <c r="L92" s="55">
        <f t="shared" si="36"/>
        <v>7.8989644615410318E-2</v>
      </c>
    </row>
    <row r="93" spans="1:12" x14ac:dyDescent="0.2">
      <c r="C93" s="5">
        <v>2027</v>
      </c>
      <c r="D93" s="33">
        <f>D92</f>
        <v>2908.2424635851812</v>
      </c>
      <c r="E93" s="55">
        <f>0</f>
        <v>0</v>
      </c>
      <c r="F93" s="101">
        <f t="shared" si="32"/>
        <v>1</v>
      </c>
      <c r="G93" s="33">
        <f t="shared" si="37"/>
        <v>1496.5</v>
      </c>
      <c r="H93" s="33">
        <f t="shared" si="33"/>
        <v>2212.3750000000005</v>
      </c>
      <c r="I93" s="33">
        <f>'Capex Build'!I13</f>
        <v>1090</v>
      </c>
      <c r="J93" s="33">
        <f t="shared" si="34"/>
        <v>2330.4832254772145</v>
      </c>
      <c r="K93" s="55">
        <f t="shared" si="35"/>
        <v>6.4986888741632942E-2</v>
      </c>
      <c r="L93" s="55">
        <f t="shared" si="36"/>
        <v>9.0736073200719691E-2</v>
      </c>
    </row>
    <row r="94" spans="1:12" x14ac:dyDescent="0.2">
      <c r="C94" s="5">
        <v>2028</v>
      </c>
      <c r="D94" s="33">
        <f>D93</f>
        <v>2908.2424635851812</v>
      </c>
      <c r="E94" s="55">
        <f>p_max</f>
        <v>0.5</v>
      </c>
      <c r="F94" s="101">
        <f t="shared" si="32"/>
        <v>1.6479009679073209</v>
      </c>
      <c r="G94" s="33">
        <f t="shared" si="37"/>
        <v>2212.375</v>
      </c>
      <c r="H94" s="33">
        <f t="shared" si="33"/>
        <v>4680.1029390792382</v>
      </c>
      <c r="I94" s="33">
        <f>delta_a*G94+(H94-G94)/theta_a</f>
        <v>1375.6697296930793</v>
      </c>
      <c r="J94" s="33">
        <f t="shared" si="34"/>
        <v>2654.8500000000035</v>
      </c>
      <c r="K94" s="55">
        <f t="shared" si="35"/>
        <v>7.843665145505474E-2</v>
      </c>
      <c r="L94" s="55">
        <f t="shared" si="36"/>
        <v>0.10207599200153589</v>
      </c>
    </row>
    <row r="95" spans="1:12" x14ac:dyDescent="0.2">
      <c r="C95" s="5">
        <v>2029</v>
      </c>
      <c r="D95" s="33">
        <f>D94*exp_xi</f>
        <v>10116.545472286582</v>
      </c>
      <c r="E95" s="55">
        <f>p_max</f>
        <v>0.5</v>
      </c>
      <c r="F95" s="101">
        <f t="shared" si="32"/>
        <v>1.6479009679073209</v>
      </c>
      <c r="G95" s="33">
        <f t="shared" si="37"/>
        <v>3034.9509796930793</v>
      </c>
      <c r="H95" s="33">
        <f t="shared" si="33"/>
        <v>16280.098647555707</v>
      </c>
      <c r="I95" s="33">
        <f>delta_a*G95+(H95-G95)/theta_a</f>
        <v>5173.7869675441461</v>
      </c>
      <c r="J95" s="33">
        <f t="shared" si="34"/>
        <v>6772.3394619676183</v>
      </c>
      <c r="K95" s="55">
        <f t="shared" si="35"/>
        <v>0.2491670116158744</v>
      </c>
      <c r="L95" s="55">
        <f t="shared" si="36"/>
        <v>0.22480008562318676</v>
      </c>
    </row>
    <row r="96" spans="1:12" x14ac:dyDescent="0.2">
      <c r="C96" s="5">
        <v>2030</v>
      </c>
      <c r="D96" s="33">
        <f>D95</f>
        <v>10116.545472286582</v>
      </c>
      <c r="E96" s="55">
        <f>p_star</f>
        <v>0.03</v>
      </c>
      <c r="F96" s="101">
        <f t="shared" si="32"/>
        <v>1.0388740580744393</v>
      </c>
      <c r="G96" s="33">
        <f t="shared" si="37"/>
        <v>7450.000202313955</v>
      </c>
      <c r="H96" s="33">
        <f t="shared" si="33"/>
        <v>8149.0075694450288</v>
      </c>
      <c r="I96" s="33">
        <f>delta_a*G96+(H96-G96)/theta_a</f>
        <v>2095.5025062888467</v>
      </c>
      <c r="J96" s="33">
        <f t="shared" si="34"/>
        <v>9135.6668435253723</v>
      </c>
      <c r="K96" s="55">
        <f t="shared" si="35"/>
        <v>0.34716161215055696</v>
      </c>
      <c r="L96" s="55">
        <f t="shared" si="36"/>
        <v>0.28118931558543886</v>
      </c>
    </row>
    <row r="97" spans="1:12" x14ac:dyDescent="0.2">
      <c r="C97" s="5">
        <v>2031</v>
      </c>
      <c r="D97" s="33">
        <f>D96</f>
        <v>10116.545472286582</v>
      </c>
      <c r="E97" s="55">
        <f>p_star</f>
        <v>0.03</v>
      </c>
      <c r="F97" s="101">
        <f t="shared" si="32"/>
        <v>1.0388740580744393</v>
      </c>
      <c r="G97" s="33">
        <f t="shared" si="37"/>
        <v>7683.0026580243139</v>
      </c>
      <c r="H97" s="33">
        <f t="shared" si="33"/>
        <v>8149.0075694450288</v>
      </c>
      <c r="I97" s="33">
        <f>delta_a*G97+(H97-G97)/theta_a</f>
        <v>2076.08563497965</v>
      </c>
      <c r="J97" s="33">
        <f t="shared" si="34"/>
        <v>9229.9316812817924</v>
      </c>
      <c r="K97" s="55">
        <f t="shared" si="35"/>
        <v>0.35107027296178939</v>
      </c>
      <c r="L97" s="55">
        <f t="shared" si="36"/>
        <v>0.28326884261604041</v>
      </c>
    </row>
    <row r="98" spans="1:12" x14ac:dyDescent="0.2">
      <c r="C98" s="5">
        <v>2032</v>
      </c>
      <c r="D98" s="33">
        <f>D97</f>
        <v>10116.545472286582</v>
      </c>
      <c r="E98" s="55">
        <f>p_star</f>
        <v>0.03</v>
      </c>
      <c r="F98" s="101">
        <f t="shared" si="32"/>
        <v>1.0388740580744393</v>
      </c>
      <c r="G98" s="33">
        <f t="shared" si="37"/>
        <v>7838.3376284978858</v>
      </c>
      <c r="H98" s="33">
        <f t="shared" si="33"/>
        <v>8149.0075694450288</v>
      </c>
      <c r="I98" s="33">
        <f>delta_a*G98+(H98-G98)/theta_a</f>
        <v>2063.1410541068526</v>
      </c>
      <c r="J98" s="33">
        <f t="shared" si="34"/>
        <v>9291.7207119342147</v>
      </c>
      <c r="K98" s="55">
        <f t="shared" si="35"/>
        <v>0.35363233500340896</v>
      </c>
      <c r="L98" s="55">
        <f t="shared" si="36"/>
        <v>0.28462542198024043</v>
      </c>
    </row>
    <row r="102" spans="1:12" x14ac:dyDescent="0.2">
      <c r="A102" t="s">
        <v>2</v>
      </c>
      <c r="C102" s="99" t="s">
        <v>245</v>
      </c>
      <c r="D102" s="14"/>
      <c r="E102" s="14"/>
      <c r="F102" s="14"/>
      <c r="G102" s="14"/>
      <c r="H102" s="14"/>
      <c r="I102" s="14"/>
      <c r="J102" s="14"/>
      <c r="K102" s="14"/>
      <c r="L102" s="14"/>
    </row>
    <row r="103" spans="1:12" ht="17" x14ac:dyDescent="0.3">
      <c r="C103" s="124" t="s">
        <v>95</v>
      </c>
      <c r="D103" s="124" t="s">
        <v>232</v>
      </c>
      <c r="E103" s="124" t="s">
        <v>233</v>
      </c>
      <c r="F103" s="124" t="s">
        <v>234</v>
      </c>
      <c r="G103" s="124" t="s">
        <v>235</v>
      </c>
      <c r="H103" s="124" t="s">
        <v>236</v>
      </c>
      <c r="I103" s="124" t="s">
        <v>237</v>
      </c>
      <c r="J103" s="124" t="s">
        <v>238</v>
      </c>
      <c r="K103" s="124" t="s">
        <v>176</v>
      </c>
      <c r="L103" s="124" t="s">
        <v>239</v>
      </c>
    </row>
    <row r="104" spans="1:12" x14ac:dyDescent="0.2">
      <c r="C104" s="5">
        <v>2022</v>
      </c>
      <c r="D104" s="33">
        <f>z0</f>
        <v>836.04371177588575</v>
      </c>
      <c r="E104" s="55">
        <f>0</f>
        <v>0</v>
      </c>
      <c r="F104" s="101">
        <f t="shared" ref="F104:F114" si="38">1+E104*(exp_xi^(1-alpha)-1)</f>
        <v>1</v>
      </c>
      <c r="G104" s="33">
        <f>K0</f>
        <v>636</v>
      </c>
      <c r="H104" s="33">
        <f t="shared" ref="H104:H114" si="39">D104*(alpha*F104/(r_a+delta_a))^(1/(1-alpha))</f>
        <v>636.00000000000011</v>
      </c>
      <c r="I104" s="33">
        <f>'Capex Build'!D13</f>
        <v>159</v>
      </c>
      <c r="J104" s="33">
        <f t="shared" ref="J104:J114" si="40">D104^(1-alpha)*G104^alpha</f>
        <v>763.2000000000005</v>
      </c>
      <c r="K104" s="55">
        <f t="shared" ref="K104:K114" si="41">(J104+Yn0)/GDP_0-1</f>
        <v>0</v>
      </c>
      <c r="L104" s="55">
        <f t="shared" ref="L104:L114" si="42">J104/(J104+Yn0)</f>
        <v>3.1645839553034523E-2</v>
      </c>
    </row>
    <row r="105" spans="1:12" x14ac:dyDescent="0.2">
      <c r="C105" s="5">
        <v>2023</v>
      </c>
      <c r="D105" s="33">
        <f>D104</f>
        <v>836.04371177588575</v>
      </c>
      <c r="E105" s="55">
        <f>0</f>
        <v>0</v>
      </c>
      <c r="F105" s="101">
        <f t="shared" si="38"/>
        <v>1</v>
      </c>
      <c r="G105" s="33">
        <f t="shared" ref="G105:G114" si="43">G104*(1-delta_a)+I104</f>
        <v>636</v>
      </c>
      <c r="H105" s="33">
        <f t="shared" si="39"/>
        <v>636.00000000000011</v>
      </c>
      <c r="I105" s="33">
        <f>'Capex Build'!E13</f>
        <v>155</v>
      </c>
      <c r="J105" s="33">
        <f t="shared" si="40"/>
        <v>763.2000000000005</v>
      </c>
      <c r="K105" s="55">
        <f t="shared" si="41"/>
        <v>0</v>
      </c>
      <c r="L105" s="55">
        <f t="shared" si="42"/>
        <v>3.1645839553034523E-2</v>
      </c>
    </row>
    <row r="106" spans="1:12" x14ac:dyDescent="0.2">
      <c r="C106" s="5">
        <v>2024</v>
      </c>
      <c r="D106" s="33">
        <f>D105*exp_xi</f>
        <v>2908.2424635851812</v>
      </c>
      <c r="E106" s="55">
        <f>0</f>
        <v>0</v>
      </c>
      <c r="F106" s="101">
        <f t="shared" si="38"/>
        <v>1</v>
      </c>
      <c r="G106" s="33">
        <f t="shared" si="43"/>
        <v>632</v>
      </c>
      <c r="H106" s="33">
        <f t="shared" si="39"/>
        <v>2212.3750000000005</v>
      </c>
      <c r="I106" s="33">
        <f>'Capex Build'!F13</f>
        <v>242</v>
      </c>
      <c r="J106" s="33">
        <f t="shared" si="40"/>
        <v>1748.4750264928844</v>
      </c>
      <c r="K106" s="55">
        <f t="shared" si="41"/>
        <v>4.08541082337599E-2</v>
      </c>
      <c r="L106" s="55">
        <f t="shared" si="42"/>
        <v>6.9654284124237825E-2</v>
      </c>
    </row>
    <row r="107" spans="1:12" x14ac:dyDescent="0.2">
      <c r="C107" s="5">
        <v>2025</v>
      </c>
      <c r="D107" s="33">
        <f>D106</f>
        <v>2908.2424635851812</v>
      </c>
      <c r="E107" s="55">
        <f>0</f>
        <v>0</v>
      </c>
      <c r="F107" s="101">
        <f t="shared" si="38"/>
        <v>1</v>
      </c>
      <c r="G107" s="33">
        <f t="shared" si="43"/>
        <v>716</v>
      </c>
      <c r="H107" s="33">
        <f t="shared" si="39"/>
        <v>2212.3750000000005</v>
      </c>
      <c r="I107" s="33">
        <f>'Capex Build'!G13</f>
        <v>413</v>
      </c>
      <c r="J107" s="33">
        <f t="shared" si="40"/>
        <v>1822.7401009782952</v>
      </c>
      <c r="K107" s="55">
        <f t="shared" si="41"/>
        <v>4.393348537154762E-2</v>
      </c>
      <c r="L107" s="55">
        <f t="shared" si="42"/>
        <v>7.2398602002581178E-2</v>
      </c>
    </row>
    <row r="108" spans="1:12" x14ac:dyDescent="0.2">
      <c r="C108" s="5">
        <v>2026</v>
      </c>
      <c r="D108" s="33">
        <f>D107</f>
        <v>2908.2424635851812</v>
      </c>
      <c r="E108" s="55">
        <f>0</f>
        <v>0</v>
      </c>
      <c r="F108" s="101">
        <f t="shared" si="38"/>
        <v>1</v>
      </c>
      <c r="G108" s="33">
        <f t="shared" si="43"/>
        <v>950</v>
      </c>
      <c r="H108" s="33">
        <f t="shared" si="39"/>
        <v>2212.3750000000005</v>
      </c>
      <c r="I108" s="33">
        <f>'Capex Build'!H13</f>
        <v>784</v>
      </c>
      <c r="J108" s="33">
        <f t="shared" si="40"/>
        <v>2002.9108045241292</v>
      </c>
      <c r="K108" s="55">
        <f t="shared" si="41"/>
        <v>5.1404204942523402E-2</v>
      </c>
      <c r="L108" s="55">
        <f t="shared" si="42"/>
        <v>7.8989644615410318E-2</v>
      </c>
    </row>
    <row r="109" spans="1:12" x14ac:dyDescent="0.2">
      <c r="C109" s="5">
        <v>2027</v>
      </c>
      <c r="D109" s="33">
        <f>D108</f>
        <v>2908.2424635851812</v>
      </c>
      <c r="E109" s="55">
        <f>0</f>
        <v>0</v>
      </c>
      <c r="F109" s="101">
        <f t="shared" si="38"/>
        <v>1</v>
      </c>
      <c r="G109" s="33">
        <f t="shared" si="43"/>
        <v>1496.5</v>
      </c>
      <c r="H109" s="33">
        <f t="shared" si="39"/>
        <v>2212.3750000000005</v>
      </c>
      <c r="I109" s="33">
        <f>'Capex Build'!I13</f>
        <v>1090</v>
      </c>
      <c r="J109" s="33">
        <f t="shared" si="40"/>
        <v>2330.4832254772145</v>
      </c>
      <c r="K109" s="55">
        <f t="shared" si="41"/>
        <v>6.4986888741632942E-2</v>
      </c>
      <c r="L109" s="55">
        <f t="shared" si="42"/>
        <v>9.0736073200719691E-2</v>
      </c>
    </row>
    <row r="110" spans="1:12" x14ac:dyDescent="0.2">
      <c r="C110" s="5">
        <v>2028</v>
      </c>
      <c r="D110" s="33">
        <f>D109</f>
        <v>2908.2424635851812</v>
      </c>
      <c r="E110" s="55">
        <f>p_max</f>
        <v>0.5</v>
      </c>
      <c r="F110" s="101">
        <f t="shared" si="38"/>
        <v>1.6479009679073209</v>
      </c>
      <c r="G110" s="33">
        <f t="shared" si="43"/>
        <v>2212.375</v>
      </c>
      <c r="H110" s="33">
        <f t="shared" si="39"/>
        <v>4680.1029390792382</v>
      </c>
      <c r="I110" s="33">
        <f>delta_a*G110+(H110-G110)/theta_a</f>
        <v>1375.6697296930793</v>
      </c>
      <c r="J110" s="33">
        <f t="shared" si="40"/>
        <v>2654.8500000000035</v>
      </c>
      <c r="K110" s="55">
        <f t="shared" si="41"/>
        <v>7.843665145505474E-2</v>
      </c>
      <c r="L110" s="55">
        <f t="shared" si="42"/>
        <v>0.10207599200153589</v>
      </c>
    </row>
    <row r="111" spans="1:12" x14ac:dyDescent="0.2">
      <c r="C111" s="5">
        <v>2029</v>
      </c>
      <c r="D111" s="33">
        <f>D110</f>
        <v>2908.2424635851812</v>
      </c>
      <c r="E111" s="55">
        <f>p_max</f>
        <v>0.5</v>
      </c>
      <c r="F111" s="101">
        <f t="shared" si="38"/>
        <v>1.6479009679073209</v>
      </c>
      <c r="G111" s="33">
        <f t="shared" si="43"/>
        <v>3034.9509796930793</v>
      </c>
      <c r="H111" s="33">
        <f t="shared" si="39"/>
        <v>4680.1029390792382</v>
      </c>
      <c r="I111" s="33">
        <f>delta_a*G111+(H111-G111)/theta_a</f>
        <v>1307.1217313853228</v>
      </c>
      <c r="J111" s="33">
        <f t="shared" si="40"/>
        <v>2949.8796722481748</v>
      </c>
      <c r="K111" s="55">
        <f t="shared" si="41"/>
        <v>9.066996077286138E-2</v>
      </c>
      <c r="L111" s="55">
        <f t="shared" si="42"/>
        <v>0.1121473999698511</v>
      </c>
    </row>
    <row r="112" spans="1:12" x14ac:dyDescent="0.2">
      <c r="C112" s="5">
        <v>2030</v>
      </c>
      <c r="D112" s="33">
        <f>D111*exp_xi</f>
        <v>10116.545472286582</v>
      </c>
      <c r="E112" s="55">
        <f>p_star</f>
        <v>0.03</v>
      </c>
      <c r="F112" s="101">
        <f t="shared" si="38"/>
        <v>1.0388740580744393</v>
      </c>
      <c r="G112" s="33">
        <f t="shared" si="43"/>
        <v>3583.334966155132</v>
      </c>
      <c r="H112" s="33">
        <f t="shared" si="39"/>
        <v>8149.0075694450288</v>
      </c>
      <c r="I112" s="33">
        <f>delta_a*G112+(H112-G112)/theta_a</f>
        <v>2417.7246093020822</v>
      </c>
      <c r="J112" s="33">
        <f t="shared" si="40"/>
        <v>7157.8725475193505</v>
      </c>
      <c r="K112" s="55">
        <f t="shared" si="41"/>
        <v>0.26515301550444415</v>
      </c>
      <c r="L112" s="55">
        <f t="shared" si="42"/>
        <v>0.2345952239928373</v>
      </c>
    </row>
    <row r="113" spans="1:12" x14ac:dyDescent="0.2">
      <c r="C113" s="5">
        <v>2031</v>
      </c>
      <c r="D113" s="33">
        <f>D112</f>
        <v>10116.545472286582</v>
      </c>
      <c r="E113" s="55">
        <f>p_star</f>
        <v>0.03</v>
      </c>
      <c r="F113" s="101">
        <f t="shared" si="38"/>
        <v>1.0388740580744393</v>
      </c>
      <c r="G113" s="33">
        <f t="shared" si="43"/>
        <v>5105.2258339184309</v>
      </c>
      <c r="H113" s="33">
        <f t="shared" si="39"/>
        <v>8149.0075694450288</v>
      </c>
      <c r="I113" s="33">
        <f>delta_a*G113+(H113-G113)/theta_a</f>
        <v>2290.9003703218068</v>
      </c>
      <c r="J113" s="33">
        <f t="shared" si="40"/>
        <v>8054.2754496885655</v>
      </c>
      <c r="K113" s="55">
        <f t="shared" si="41"/>
        <v>0.30232207003395328</v>
      </c>
      <c r="L113" s="55">
        <f t="shared" si="42"/>
        <v>0.25644033628200807</v>
      </c>
    </row>
    <row r="114" spans="1:12" x14ac:dyDescent="0.2">
      <c r="C114" s="5">
        <v>2032</v>
      </c>
      <c r="D114" s="33">
        <f>D113</f>
        <v>10116.545472286582</v>
      </c>
      <c r="E114" s="55">
        <f>p_star</f>
        <v>0.03</v>
      </c>
      <c r="F114" s="101">
        <f t="shared" si="38"/>
        <v>1.0388740580744393</v>
      </c>
      <c r="G114" s="33">
        <f t="shared" si="43"/>
        <v>6119.8197457606302</v>
      </c>
      <c r="H114" s="33">
        <f t="shared" si="39"/>
        <v>8149.0075694450288</v>
      </c>
      <c r="I114" s="33">
        <f>delta_a*G114+(H114-G114)/theta_a</f>
        <v>2206.3508776682902</v>
      </c>
      <c r="J114" s="33">
        <f t="shared" si="40"/>
        <v>8555.9394445651069</v>
      </c>
      <c r="K114" s="55">
        <f t="shared" si="41"/>
        <v>0.32312340427320563</v>
      </c>
      <c r="L114" s="55">
        <f t="shared" si="42"/>
        <v>0.26813012503630801</v>
      </c>
    </row>
    <row r="118" spans="1:12" x14ac:dyDescent="0.2">
      <c r="A118" t="s">
        <v>2</v>
      </c>
      <c r="C118" s="99" t="s">
        <v>246</v>
      </c>
      <c r="D118" s="14"/>
      <c r="E118" s="14"/>
      <c r="F118" s="14"/>
      <c r="G118" s="14"/>
      <c r="H118" s="14"/>
      <c r="I118" s="14"/>
      <c r="J118" s="14"/>
      <c r="K118" s="14"/>
      <c r="L118" s="14"/>
    </row>
    <row r="119" spans="1:12" ht="17" x14ac:dyDescent="0.3">
      <c r="C119" s="124" t="s">
        <v>95</v>
      </c>
      <c r="D119" s="124" t="s">
        <v>232</v>
      </c>
      <c r="E119" s="124" t="s">
        <v>233</v>
      </c>
      <c r="F119" s="124" t="s">
        <v>234</v>
      </c>
      <c r="G119" s="124" t="s">
        <v>235</v>
      </c>
      <c r="H119" s="124" t="s">
        <v>236</v>
      </c>
      <c r="I119" s="124" t="s">
        <v>237</v>
      </c>
      <c r="J119" s="124" t="s">
        <v>238</v>
      </c>
      <c r="K119" s="124" t="s">
        <v>176</v>
      </c>
      <c r="L119" s="124" t="s">
        <v>239</v>
      </c>
    </row>
    <row r="120" spans="1:12" x14ac:dyDescent="0.2">
      <c r="C120" s="5">
        <v>2022</v>
      </c>
      <c r="D120" s="33">
        <f>z0</f>
        <v>836.04371177588575</v>
      </c>
      <c r="E120" s="55">
        <f>0</f>
        <v>0</v>
      </c>
      <c r="F120" s="101">
        <f t="shared" ref="F120:F130" si="44">1+E120*(exp_xi^(1-alpha)-1)</f>
        <v>1</v>
      </c>
      <c r="G120" s="33">
        <f>K0</f>
        <v>636</v>
      </c>
      <c r="H120" s="33">
        <f t="shared" ref="H120:H130" si="45">D120*(alpha*F120/(r_a+delta_a))^(1/(1-alpha))</f>
        <v>636.00000000000011</v>
      </c>
      <c r="I120" s="33">
        <f>'Capex Build'!D13</f>
        <v>159</v>
      </c>
      <c r="J120" s="33">
        <f t="shared" ref="J120:J130" si="46">D120^(1-alpha)*G120^alpha</f>
        <v>763.2000000000005</v>
      </c>
      <c r="K120" s="55">
        <f t="shared" ref="K120:K130" si="47">(J120+Yn0)/GDP_0-1</f>
        <v>0</v>
      </c>
      <c r="L120" s="55">
        <f t="shared" ref="L120:L130" si="48">J120/(J120+Yn0)</f>
        <v>3.1645839553034523E-2</v>
      </c>
    </row>
    <row r="121" spans="1:12" x14ac:dyDescent="0.2">
      <c r="C121" s="5">
        <v>2023</v>
      </c>
      <c r="D121" s="33">
        <f>D120</f>
        <v>836.04371177588575</v>
      </c>
      <c r="E121" s="55">
        <f>0</f>
        <v>0</v>
      </c>
      <c r="F121" s="101">
        <f t="shared" si="44"/>
        <v>1</v>
      </c>
      <c r="G121" s="33">
        <f t="shared" ref="G121:G130" si="49">G120*(1-delta_a)+I120</f>
        <v>636</v>
      </c>
      <c r="H121" s="33">
        <f t="shared" si="45"/>
        <v>636.00000000000011</v>
      </c>
      <c r="I121" s="33">
        <f>'Capex Build'!E13</f>
        <v>155</v>
      </c>
      <c r="J121" s="33">
        <f t="shared" si="46"/>
        <v>763.2000000000005</v>
      </c>
      <c r="K121" s="55">
        <f t="shared" si="47"/>
        <v>0</v>
      </c>
      <c r="L121" s="55">
        <f t="shared" si="48"/>
        <v>3.1645839553034523E-2</v>
      </c>
    </row>
    <row r="122" spans="1:12" x14ac:dyDescent="0.2">
      <c r="C122" s="5">
        <v>2024</v>
      </c>
      <c r="D122" s="33">
        <f>D121*exp_xi</f>
        <v>2908.2424635851812</v>
      </c>
      <c r="E122" s="55">
        <f>0</f>
        <v>0</v>
      </c>
      <c r="F122" s="101">
        <f t="shared" si="44"/>
        <v>1</v>
      </c>
      <c r="G122" s="33">
        <f t="shared" si="49"/>
        <v>632</v>
      </c>
      <c r="H122" s="33">
        <f t="shared" si="45"/>
        <v>2212.3750000000005</v>
      </c>
      <c r="I122" s="33">
        <f>'Capex Build'!F13</f>
        <v>242</v>
      </c>
      <c r="J122" s="33">
        <f t="shared" si="46"/>
        <v>1748.4750264928844</v>
      </c>
      <c r="K122" s="55">
        <f t="shared" si="47"/>
        <v>4.08541082337599E-2</v>
      </c>
      <c r="L122" s="55">
        <f t="shared" si="48"/>
        <v>6.9654284124237825E-2</v>
      </c>
    </row>
    <row r="123" spans="1:12" x14ac:dyDescent="0.2">
      <c r="C123" s="5">
        <v>2025</v>
      </c>
      <c r="D123" s="33">
        <f>D122</f>
        <v>2908.2424635851812</v>
      </c>
      <c r="E123" s="55">
        <f>0</f>
        <v>0</v>
      </c>
      <c r="F123" s="101">
        <f t="shared" si="44"/>
        <v>1</v>
      </c>
      <c r="G123" s="33">
        <f t="shared" si="49"/>
        <v>716</v>
      </c>
      <c r="H123" s="33">
        <f t="shared" si="45"/>
        <v>2212.3750000000005</v>
      </c>
      <c r="I123" s="33">
        <f>'Capex Build'!G13</f>
        <v>413</v>
      </c>
      <c r="J123" s="33">
        <f t="shared" si="46"/>
        <v>1822.7401009782952</v>
      </c>
      <c r="K123" s="55">
        <f t="shared" si="47"/>
        <v>4.393348537154762E-2</v>
      </c>
      <c r="L123" s="55">
        <f t="shared" si="48"/>
        <v>7.2398602002581178E-2</v>
      </c>
    </row>
    <row r="124" spans="1:12" x14ac:dyDescent="0.2">
      <c r="C124" s="5">
        <v>2026</v>
      </c>
      <c r="D124" s="33">
        <f>D123</f>
        <v>2908.2424635851812</v>
      </c>
      <c r="E124" s="55">
        <f>0</f>
        <v>0</v>
      </c>
      <c r="F124" s="101">
        <f t="shared" si="44"/>
        <v>1</v>
      </c>
      <c r="G124" s="33">
        <f t="shared" si="49"/>
        <v>950</v>
      </c>
      <c r="H124" s="33">
        <f t="shared" si="45"/>
        <v>2212.3750000000005</v>
      </c>
      <c r="I124" s="33">
        <f>'Capex Build'!H13</f>
        <v>784</v>
      </c>
      <c r="J124" s="33">
        <f t="shared" si="46"/>
        <v>2002.9108045241292</v>
      </c>
      <c r="K124" s="55">
        <f t="shared" si="47"/>
        <v>5.1404204942523402E-2</v>
      </c>
      <c r="L124" s="55">
        <f t="shared" si="48"/>
        <v>7.8989644615410318E-2</v>
      </c>
    </row>
    <row r="125" spans="1:12" x14ac:dyDescent="0.2">
      <c r="C125" s="5">
        <v>2027</v>
      </c>
      <c r="D125" s="33">
        <f>D124</f>
        <v>2908.2424635851812</v>
      </c>
      <c r="E125" s="55">
        <f>0</f>
        <v>0</v>
      </c>
      <c r="F125" s="101">
        <f t="shared" si="44"/>
        <v>1</v>
      </c>
      <c r="G125" s="33">
        <f t="shared" si="49"/>
        <v>1496.5</v>
      </c>
      <c r="H125" s="33">
        <f t="shared" si="45"/>
        <v>2212.3750000000005</v>
      </c>
      <c r="I125" s="33">
        <f>'Capex Build'!I13</f>
        <v>1090</v>
      </c>
      <c r="J125" s="33">
        <f t="shared" si="46"/>
        <v>2330.4832254772145</v>
      </c>
      <c r="K125" s="55">
        <f t="shared" si="47"/>
        <v>6.4986888741632942E-2</v>
      </c>
      <c r="L125" s="55">
        <f t="shared" si="48"/>
        <v>9.0736073200719691E-2</v>
      </c>
    </row>
    <row r="126" spans="1:12" x14ac:dyDescent="0.2">
      <c r="C126" s="5">
        <v>2028</v>
      </c>
      <c r="D126" s="33">
        <f>D125</f>
        <v>2908.2424635851812</v>
      </c>
      <c r="E126" s="55">
        <f>p_max</f>
        <v>0.5</v>
      </c>
      <c r="F126" s="101">
        <f t="shared" si="44"/>
        <v>1.6479009679073209</v>
      </c>
      <c r="G126" s="33">
        <f t="shared" si="49"/>
        <v>2212.375</v>
      </c>
      <c r="H126" s="33">
        <f t="shared" si="45"/>
        <v>4680.1029390792382</v>
      </c>
      <c r="I126" s="33">
        <f>delta_a*G126+(H126-G126)/theta_a</f>
        <v>1375.6697296930793</v>
      </c>
      <c r="J126" s="33">
        <f t="shared" si="46"/>
        <v>2654.8500000000035</v>
      </c>
      <c r="K126" s="55">
        <f t="shared" si="47"/>
        <v>7.843665145505474E-2</v>
      </c>
      <c r="L126" s="55">
        <f t="shared" si="48"/>
        <v>0.10207599200153589</v>
      </c>
    </row>
    <row r="127" spans="1:12" x14ac:dyDescent="0.2">
      <c r="C127" s="5">
        <v>2029</v>
      </c>
      <c r="D127" s="33">
        <f>D126*exp_xi</f>
        <v>10116.545472286582</v>
      </c>
      <c r="E127" s="55">
        <f>p_max</f>
        <v>0.5</v>
      </c>
      <c r="F127" s="101">
        <f t="shared" si="44"/>
        <v>1.6479009679073209</v>
      </c>
      <c r="G127" s="33">
        <f t="shared" si="49"/>
        <v>3034.9509796930793</v>
      </c>
      <c r="H127" s="33">
        <f t="shared" si="45"/>
        <v>16280.098647555707</v>
      </c>
      <c r="I127" s="33">
        <f>delta_a*G127+(H127-G127)/theta_a</f>
        <v>5173.7869675441461</v>
      </c>
      <c r="J127" s="33">
        <f t="shared" si="46"/>
        <v>6772.3394619676183</v>
      </c>
      <c r="K127" s="55">
        <f t="shared" si="47"/>
        <v>0.2491670116158744</v>
      </c>
      <c r="L127" s="55">
        <f t="shared" si="48"/>
        <v>0.22480008562318676</v>
      </c>
    </row>
    <row r="128" spans="1:12" x14ac:dyDescent="0.2">
      <c r="C128" s="5">
        <v>2030</v>
      </c>
      <c r="D128" s="33">
        <f>D127*exp_xi</f>
        <v>35191.182844732743</v>
      </c>
      <c r="E128" s="55">
        <f>p_star</f>
        <v>0.03</v>
      </c>
      <c r="F128" s="101">
        <f t="shared" si="44"/>
        <v>1.0388740580744393</v>
      </c>
      <c r="G128" s="33">
        <f t="shared" si="49"/>
        <v>7450.000202313955</v>
      </c>
      <c r="H128" s="33">
        <f t="shared" si="45"/>
        <v>28346.950662658717</v>
      </c>
      <c r="I128" s="33">
        <f>delta_a*G128+(H128-G128)/theta_a</f>
        <v>8828.1502040267442</v>
      </c>
      <c r="J128" s="33">
        <f t="shared" si="46"/>
        <v>20973.681624323202</v>
      </c>
      <c r="K128" s="55">
        <f t="shared" si="47"/>
        <v>0.83802104136908317</v>
      </c>
      <c r="L128" s="55">
        <f t="shared" si="48"/>
        <v>0.47315393096606251</v>
      </c>
    </row>
    <row r="129" spans="1:25" x14ac:dyDescent="0.2">
      <c r="C129" s="5">
        <v>2031</v>
      </c>
      <c r="D129" s="33">
        <f>D128</f>
        <v>35191.182844732743</v>
      </c>
      <c r="E129" s="55">
        <f>p_star</f>
        <v>0.03</v>
      </c>
      <c r="F129" s="101">
        <f t="shared" si="44"/>
        <v>1.0388740580744393</v>
      </c>
      <c r="G129" s="33">
        <f t="shared" si="49"/>
        <v>14415.650355762211</v>
      </c>
      <c r="H129" s="33">
        <f t="shared" si="45"/>
        <v>28346.950662658717</v>
      </c>
      <c r="I129" s="33">
        <f>delta_a*G129+(H129-G129)/theta_a</f>
        <v>8247.6793579060541</v>
      </c>
      <c r="J129" s="33">
        <f t="shared" si="46"/>
        <v>26135.691174467218</v>
      </c>
      <c r="K129" s="55">
        <f t="shared" si="47"/>
        <v>1.0520620869601327</v>
      </c>
      <c r="L129" s="55">
        <f t="shared" si="48"/>
        <v>0.52810679238197022</v>
      </c>
    </row>
    <row r="130" spans="1:25" x14ac:dyDescent="0.2">
      <c r="C130" s="5">
        <v>2032</v>
      </c>
      <c r="D130" s="33">
        <f>D129</f>
        <v>35191.182844732743</v>
      </c>
      <c r="E130" s="55">
        <f>p_star</f>
        <v>0.03</v>
      </c>
      <c r="F130" s="101">
        <f t="shared" si="44"/>
        <v>1.0388740580744393</v>
      </c>
      <c r="G130" s="33">
        <f t="shared" si="49"/>
        <v>19059.417124727712</v>
      </c>
      <c r="H130" s="33">
        <f t="shared" si="45"/>
        <v>28346.950662658717</v>
      </c>
      <c r="I130" s="33">
        <f>delta_a*G130+(H130-G130)/theta_a</f>
        <v>7860.698793825597</v>
      </c>
      <c r="J130" s="33">
        <f t="shared" si="46"/>
        <v>28685.281403577275</v>
      </c>
      <c r="K130" s="55">
        <f t="shared" si="47"/>
        <v>1.1577800158338247</v>
      </c>
      <c r="L130" s="55">
        <f t="shared" si="48"/>
        <v>0.55122665269806603</v>
      </c>
    </row>
    <row r="136" spans="1:25" x14ac:dyDescent="0.2">
      <c r="A136" t="s">
        <v>2</v>
      </c>
      <c r="C136" s="99" t="s">
        <v>247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</row>
    <row r="137" spans="1:25" x14ac:dyDescent="0.2">
      <c r="C137" s="25" t="s">
        <v>248</v>
      </c>
    </row>
    <row r="139" spans="1:25" ht="17" x14ac:dyDescent="0.3">
      <c r="C139" s="46" t="s">
        <v>95</v>
      </c>
      <c r="D139" s="46" t="s">
        <v>249</v>
      </c>
      <c r="E139" s="126">
        <v>0</v>
      </c>
      <c r="F139" s="126">
        <v>1</v>
      </c>
      <c r="G139" s="126">
        <v>2</v>
      </c>
      <c r="H139" s="126">
        <v>3</v>
      </c>
      <c r="I139" s="126">
        <v>4</v>
      </c>
      <c r="J139" s="126">
        <v>5</v>
      </c>
      <c r="K139" s="126">
        <v>6</v>
      </c>
      <c r="L139" s="126">
        <v>7</v>
      </c>
      <c r="M139" s="126">
        <v>8</v>
      </c>
      <c r="N139" s="126">
        <v>9</v>
      </c>
      <c r="O139" s="126">
        <v>10</v>
      </c>
      <c r="P139" s="126">
        <v>11</v>
      </c>
      <c r="Q139" s="126">
        <v>12</v>
      </c>
      <c r="R139" s="126">
        <v>13</v>
      </c>
      <c r="S139" s="126">
        <v>14</v>
      </c>
      <c r="T139" s="126">
        <v>15</v>
      </c>
      <c r="U139" s="126">
        <v>16</v>
      </c>
      <c r="V139" s="126">
        <v>17</v>
      </c>
      <c r="W139" s="126">
        <v>18</v>
      </c>
      <c r="X139" s="126">
        <v>19</v>
      </c>
      <c r="Y139" s="126">
        <v>20</v>
      </c>
    </row>
    <row r="140" spans="1:25" x14ac:dyDescent="0.2">
      <c r="C140" s="5">
        <v>2030</v>
      </c>
      <c r="D140" s="5">
        <f t="shared" ref="D140:D160" si="50">C140-2030</f>
        <v>0</v>
      </c>
      <c r="E140" s="101">
        <f t="shared" ref="E140:N149" si="51">IF(E$139&gt;$D140,0,IF(p_star=0,IF(E$139=0,1,0),IF(p_star=1,IF(E$139=$D140,1,0),COMBIN($D140,E$139)*p_star^E$139*(1-p_star)^($D140-E$139))))</f>
        <v>1</v>
      </c>
      <c r="F140" s="101">
        <f t="shared" si="51"/>
        <v>0</v>
      </c>
      <c r="G140" s="101">
        <f t="shared" si="51"/>
        <v>0</v>
      </c>
      <c r="H140" s="101">
        <f t="shared" si="51"/>
        <v>0</v>
      </c>
      <c r="I140" s="101">
        <f t="shared" si="51"/>
        <v>0</v>
      </c>
      <c r="J140" s="101">
        <f t="shared" si="51"/>
        <v>0</v>
      </c>
      <c r="K140" s="101">
        <f t="shared" si="51"/>
        <v>0</v>
      </c>
      <c r="L140" s="101">
        <f t="shared" si="51"/>
        <v>0</v>
      </c>
      <c r="M140" s="101">
        <f t="shared" si="51"/>
        <v>0</v>
      </c>
      <c r="N140" s="101">
        <f t="shared" si="51"/>
        <v>0</v>
      </c>
      <c r="O140" s="101">
        <f t="shared" ref="O140:Y149" si="52">IF(O$139&gt;$D140,0,IF(p_star=0,IF(O$139=0,1,0),IF(p_star=1,IF(O$139=$D140,1,0),COMBIN($D140,O$139)*p_star^O$139*(1-p_star)^($D140-O$139))))</f>
        <v>0</v>
      </c>
      <c r="P140" s="101">
        <f t="shared" si="52"/>
        <v>0</v>
      </c>
      <c r="Q140" s="101">
        <f t="shared" si="52"/>
        <v>0</v>
      </c>
      <c r="R140" s="101">
        <f t="shared" si="52"/>
        <v>0</v>
      </c>
      <c r="S140" s="101">
        <f t="shared" si="52"/>
        <v>0</v>
      </c>
      <c r="T140" s="101">
        <f t="shared" si="52"/>
        <v>0</v>
      </c>
      <c r="U140" s="101">
        <f t="shared" si="52"/>
        <v>0</v>
      </c>
      <c r="V140" s="101">
        <f t="shared" si="52"/>
        <v>0</v>
      </c>
      <c r="W140" s="101">
        <f t="shared" si="52"/>
        <v>0</v>
      </c>
      <c r="X140" s="101">
        <f t="shared" si="52"/>
        <v>0</v>
      </c>
      <c r="Y140" s="101">
        <f t="shared" si="52"/>
        <v>0</v>
      </c>
    </row>
    <row r="141" spans="1:25" x14ac:dyDescent="0.2">
      <c r="C141" s="5">
        <v>2031</v>
      </c>
      <c r="D141" s="5">
        <f t="shared" si="50"/>
        <v>1</v>
      </c>
      <c r="E141" s="101">
        <f t="shared" si="51"/>
        <v>0.97</v>
      </c>
      <c r="F141" s="101">
        <f t="shared" si="51"/>
        <v>0.03</v>
      </c>
      <c r="G141" s="101">
        <f t="shared" si="51"/>
        <v>0</v>
      </c>
      <c r="H141" s="101">
        <f t="shared" si="51"/>
        <v>0</v>
      </c>
      <c r="I141" s="101">
        <f t="shared" si="51"/>
        <v>0</v>
      </c>
      <c r="J141" s="101">
        <f t="shared" si="51"/>
        <v>0</v>
      </c>
      <c r="K141" s="101">
        <f t="shared" si="51"/>
        <v>0</v>
      </c>
      <c r="L141" s="101">
        <f t="shared" si="51"/>
        <v>0</v>
      </c>
      <c r="M141" s="101">
        <f t="shared" si="51"/>
        <v>0</v>
      </c>
      <c r="N141" s="101">
        <f t="shared" si="51"/>
        <v>0</v>
      </c>
      <c r="O141" s="101">
        <f t="shared" si="52"/>
        <v>0</v>
      </c>
      <c r="P141" s="101">
        <f t="shared" si="52"/>
        <v>0</v>
      </c>
      <c r="Q141" s="101">
        <f t="shared" si="52"/>
        <v>0</v>
      </c>
      <c r="R141" s="101">
        <f t="shared" si="52"/>
        <v>0</v>
      </c>
      <c r="S141" s="101">
        <f t="shared" si="52"/>
        <v>0</v>
      </c>
      <c r="T141" s="101">
        <f t="shared" si="52"/>
        <v>0</v>
      </c>
      <c r="U141" s="101">
        <f t="shared" si="52"/>
        <v>0</v>
      </c>
      <c r="V141" s="101">
        <f t="shared" si="52"/>
        <v>0</v>
      </c>
      <c r="W141" s="101">
        <f t="shared" si="52"/>
        <v>0</v>
      </c>
      <c r="X141" s="101">
        <f t="shared" si="52"/>
        <v>0</v>
      </c>
      <c r="Y141" s="101">
        <f t="shared" si="52"/>
        <v>0</v>
      </c>
    </row>
    <row r="142" spans="1:25" x14ac:dyDescent="0.2">
      <c r="C142" s="5">
        <v>2032</v>
      </c>
      <c r="D142" s="5">
        <f t="shared" si="50"/>
        <v>2</v>
      </c>
      <c r="E142" s="101">
        <f t="shared" si="51"/>
        <v>0.94089999999999996</v>
      </c>
      <c r="F142" s="101">
        <f t="shared" si="51"/>
        <v>5.8199999999999995E-2</v>
      </c>
      <c r="G142" s="101">
        <f t="shared" si="51"/>
        <v>8.9999999999999998E-4</v>
      </c>
      <c r="H142" s="101">
        <f t="shared" si="51"/>
        <v>0</v>
      </c>
      <c r="I142" s="101">
        <f t="shared" si="51"/>
        <v>0</v>
      </c>
      <c r="J142" s="101">
        <f t="shared" si="51"/>
        <v>0</v>
      </c>
      <c r="K142" s="101">
        <f t="shared" si="51"/>
        <v>0</v>
      </c>
      <c r="L142" s="101">
        <f t="shared" si="51"/>
        <v>0</v>
      </c>
      <c r="M142" s="101">
        <f t="shared" si="51"/>
        <v>0</v>
      </c>
      <c r="N142" s="101">
        <f t="shared" si="51"/>
        <v>0</v>
      </c>
      <c r="O142" s="101">
        <f t="shared" si="52"/>
        <v>0</v>
      </c>
      <c r="P142" s="101">
        <f t="shared" si="52"/>
        <v>0</v>
      </c>
      <c r="Q142" s="101">
        <f t="shared" si="52"/>
        <v>0</v>
      </c>
      <c r="R142" s="101">
        <f t="shared" si="52"/>
        <v>0</v>
      </c>
      <c r="S142" s="101">
        <f t="shared" si="52"/>
        <v>0</v>
      </c>
      <c r="T142" s="101">
        <f t="shared" si="52"/>
        <v>0</v>
      </c>
      <c r="U142" s="101">
        <f t="shared" si="52"/>
        <v>0</v>
      </c>
      <c r="V142" s="101">
        <f t="shared" si="52"/>
        <v>0</v>
      </c>
      <c r="W142" s="101">
        <f t="shared" si="52"/>
        <v>0</v>
      </c>
      <c r="X142" s="101">
        <f t="shared" si="52"/>
        <v>0</v>
      </c>
      <c r="Y142" s="101">
        <f t="shared" si="52"/>
        <v>0</v>
      </c>
    </row>
    <row r="143" spans="1:25" x14ac:dyDescent="0.2">
      <c r="C143" s="5">
        <v>2033</v>
      </c>
      <c r="D143" s="5">
        <f t="shared" si="50"/>
        <v>3</v>
      </c>
      <c r="E143" s="101">
        <f t="shared" si="51"/>
        <v>0.91267299999999996</v>
      </c>
      <c r="F143" s="101">
        <f t="shared" si="51"/>
        <v>8.4680999999999992E-2</v>
      </c>
      <c r="G143" s="101">
        <f t="shared" si="51"/>
        <v>2.6190000000000002E-3</v>
      </c>
      <c r="H143" s="101">
        <f t="shared" si="51"/>
        <v>2.6999999999999999E-5</v>
      </c>
      <c r="I143" s="101">
        <f t="shared" si="51"/>
        <v>0</v>
      </c>
      <c r="J143" s="101">
        <f t="shared" si="51"/>
        <v>0</v>
      </c>
      <c r="K143" s="101">
        <f t="shared" si="51"/>
        <v>0</v>
      </c>
      <c r="L143" s="101">
        <f t="shared" si="51"/>
        <v>0</v>
      </c>
      <c r="M143" s="101">
        <f t="shared" si="51"/>
        <v>0</v>
      </c>
      <c r="N143" s="101">
        <f t="shared" si="51"/>
        <v>0</v>
      </c>
      <c r="O143" s="101">
        <f t="shared" si="52"/>
        <v>0</v>
      </c>
      <c r="P143" s="101">
        <f t="shared" si="52"/>
        <v>0</v>
      </c>
      <c r="Q143" s="101">
        <f t="shared" si="52"/>
        <v>0</v>
      </c>
      <c r="R143" s="101">
        <f t="shared" si="52"/>
        <v>0</v>
      </c>
      <c r="S143" s="101">
        <f t="shared" si="52"/>
        <v>0</v>
      </c>
      <c r="T143" s="101">
        <f t="shared" si="52"/>
        <v>0</v>
      </c>
      <c r="U143" s="101">
        <f t="shared" si="52"/>
        <v>0</v>
      </c>
      <c r="V143" s="101">
        <f t="shared" si="52"/>
        <v>0</v>
      </c>
      <c r="W143" s="101">
        <f t="shared" si="52"/>
        <v>0</v>
      </c>
      <c r="X143" s="101">
        <f t="shared" si="52"/>
        <v>0</v>
      </c>
      <c r="Y143" s="101">
        <f t="shared" si="52"/>
        <v>0</v>
      </c>
    </row>
    <row r="144" spans="1:25" x14ac:dyDescent="0.2">
      <c r="C144" s="5">
        <v>2034</v>
      </c>
      <c r="D144" s="5">
        <f t="shared" si="50"/>
        <v>4</v>
      </c>
      <c r="E144" s="101">
        <f t="shared" si="51"/>
        <v>0.88529280999999993</v>
      </c>
      <c r="F144" s="101">
        <f t="shared" si="51"/>
        <v>0.10952075999999999</v>
      </c>
      <c r="G144" s="101">
        <f t="shared" si="51"/>
        <v>5.0808600000000004E-3</v>
      </c>
      <c r="H144" s="101">
        <f t="shared" si="51"/>
        <v>1.0475999999999999E-4</v>
      </c>
      <c r="I144" s="101">
        <f t="shared" si="51"/>
        <v>8.0999999999999997E-7</v>
      </c>
      <c r="J144" s="101">
        <f t="shared" si="51"/>
        <v>0</v>
      </c>
      <c r="K144" s="101">
        <f t="shared" si="51"/>
        <v>0</v>
      </c>
      <c r="L144" s="101">
        <f t="shared" si="51"/>
        <v>0</v>
      </c>
      <c r="M144" s="101">
        <f t="shared" si="51"/>
        <v>0</v>
      </c>
      <c r="N144" s="101">
        <f t="shared" si="51"/>
        <v>0</v>
      </c>
      <c r="O144" s="101">
        <f t="shared" si="52"/>
        <v>0</v>
      </c>
      <c r="P144" s="101">
        <f t="shared" si="52"/>
        <v>0</v>
      </c>
      <c r="Q144" s="101">
        <f t="shared" si="52"/>
        <v>0</v>
      </c>
      <c r="R144" s="101">
        <f t="shared" si="52"/>
        <v>0</v>
      </c>
      <c r="S144" s="101">
        <f t="shared" si="52"/>
        <v>0</v>
      </c>
      <c r="T144" s="101">
        <f t="shared" si="52"/>
        <v>0</v>
      </c>
      <c r="U144" s="101">
        <f t="shared" si="52"/>
        <v>0</v>
      </c>
      <c r="V144" s="101">
        <f t="shared" si="52"/>
        <v>0</v>
      </c>
      <c r="W144" s="101">
        <f t="shared" si="52"/>
        <v>0</v>
      </c>
      <c r="X144" s="101">
        <f t="shared" si="52"/>
        <v>0</v>
      </c>
      <c r="Y144" s="101">
        <f t="shared" si="52"/>
        <v>0</v>
      </c>
    </row>
    <row r="145" spans="3:25" x14ac:dyDescent="0.2">
      <c r="C145" s="5">
        <v>2035</v>
      </c>
      <c r="D145" s="5">
        <f t="shared" si="50"/>
        <v>5</v>
      </c>
      <c r="E145" s="101">
        <f t="shared" si="51"/>
        <v>0.8587340256999999</v>
      </c>
      <c r="F145" s="101">
        <f t="shared" si="51"/>
        <v>0.1327939215</v>
      </c>
      <c r="G145" s="101">
        <f t="shared" si="51"/>
        <v>8.2140569999999986E-3</v>
      </c>
      <c r="H145" s="101">
        <f t="shared" si="51"/>
        <v>2.5404299999999997E-4</v>
      </c>
      <c r="I145" s="101">
        <f t="shared" si="51"/>
        <v>3.9284999999999997E-6</v>
      </c>
      <c r="J145" s="101">
        <f t="shared" si="51"/>
        <v>2.4299999999999999E-8</v>
      </c>
      <c r="K145" s="101">
        <f t="shared" si="51"/>
        <v>0</v>
      </c>
      <c r="L145" s="101">
        <f t="shared" si="51"/>
        <v>0</v>
      </c>
      <c r="M145" s="101">
        <f t="shared" si="51"/>
        <v>0</v>
      </c>
      <c r="N145" s="101">
        <f t="shared" si="51"/>
        <v>0</v>
      </c>
      <c r="O145" s="101">
        <f t="shared" si="52"/>
        <v>0</v>
      </c>
      <c r="P145" s="101">
        <f t="shared" si="52"/>
        <v>0</v>
      </c>
      <c r="Q145" s="101">
        <f t="shared" si="52"/>
        <v>0</v>
      </c>
      <c r="R145" s="101">
        <f t="shared" si="52"/>
        <v>0</v>
      </c>
      <c r="S145" s="101">
        <f t="shared" si="52"/>
        <v>0</v>
      </c>
      <c r="T145" s="101">
        <f t="shared" si="52"/>
        <v>0</v>
      </c>
      <c r="U145" s="101">
        <f t="shared" si="52"/>
        <v>0</v>
      </c>
      <c r="V145" s="101">
        <f t="shared" si="52"/>
        <v>0</v>
      </c>
      <c r="W145" s="101">
        <f t="shared" si="52"/>
        <v>0</v>
      </c>
      <c r="X145" s="101">
        <f t="shared" si="52"/>
        <v>0</v>
      </c>
      <c r="Y145" s="101">
        <f t="shared" si="52"/>
        <v>0</v>
      </c>
    </row>
    <row r="146" spans="3:25" x14ac:dyDescent="0.2">
      <c r="C146" s="5">
        <v>2036</v>
      </c>
      <c r="D146" s="5">
        <f t="shared" si="50"/>
        <v>6</v>
      </c>
      <c r="E146" s="101">
        <f t="shared" si="51"/>
        <v>0.83297200492899992</v>
      </c>
      <c r="F146" s="101">
        <f t="shared" si="51"/>
        <v>0.15457212462599998</v>
      </c>
      <c r="G146" s="101">
        <f t="shared" si="51"/>
        <v>1.1951452934999999E-2</v>
      </c>
      <c r="H146" s="101">
        <f t="shared" si="51"/>
        <v>4.9284342000000003E-4</v>
      </c>
      <c r="I146" s="101">
        <f t="shared" si="51"/>
        <v>1.1431934999999999E-5</v>
      </c>
      <c r="J146" s="101">
        <f t="shared" si="51"/>
        <v>1.4142599999999999E-7</v>
      </c>
      <c r="K146" s="101">
        <f t="shared" si="51"/>
        <v>7.2899999999999996E-10</v>
      </c>
      <c r="L146" s="101">
        <f t="shared" si="51"/>
        <v>0</v>
      </c>
      <c r="M146" s="101">
        <f t="shared" si="51"/>
        <v>0</v>
      </c>
      <c r="N146" s="101">
        <f t="shared" si="51"/>
        <v>0</v>
      </c>
      <c r="O146" s="101">
        <f t="shared" si="52"/>
        <v>0</v>
      </c>
      <c r="P146" s="101">
        <f t="shared" si="52"/>
        <v>0</v>
      </c>
      <c r="Q146" s="101">
        <f t="shared" si="52"/>
        <v>0</v>
      </c>
      <c r="R146" s="101">
        <f t="shared" si="52"/>
        <v>0</v>
      </c>
      <c r="S146" s="101">
        <f t="shared" si="52"/>
        <v>0</v>
      </c>
      <c r="T146" s="101">
        <f t="shared" si="52"/>
        <v>0</v>
      </c>
      <c r="U146" s="101">
        <f t="shared" si="52"/>
        <v>0</v>
      </c>
      <c r="V146" s="101">
        <f t="shared" si="52"/>
        <v>0</v>
      </c>
      <c r="W146" s="101">
        <f t="shared" si="52"/>
        <v>0</v>
      </c>
      <c r="X146" s="101">
        <f t="shared" si="52"/>
        <v>0</v>
      </c>
      <c r="Y146" s="101">
        <f t="shared" si="52"/>
        <v>0</v>
      </c>
    </row>
    <row r="147" spans="3:25" x14ac:dyDescent="0.2">
      <c r="C147" s="5">
        <v>2037</v>
      </c>
      <c r="D147" s="5">
        <f t="shared" si="50"/>
        <v>7</v>
      </c>
      <c r="E147" s="101">
        <f t="shared" si="51"/>
        <v>0.80798284478112992</v>
      </c>
      <c r="F147" s="101">
        <f t="shared" si="51"/>
        <v>0.17492412103508997</v>
      </c>
      <c r="G147" s="101">
        <f t="shared" si="51"/>
        <v>1.6230073085729997E-2</v>
      </c>
      <c r="H147" s="101">
        <f t="shared" si="51"/>
        <v>8.3660170544999992E-4</v>
      </c>
      <c r="I147" s="101">
        <f t="shared" si="51"/>
        <v>2.5874279549999997E-5</v>
      </c>
      <c r="J147" s="101">
        <f t="shared" si="51"/>
        <v>4.8014126999999996E-7</v>
      </c>
      <c r="K147" s="101">
        <f t="shared" si="51"/>
        <v>4.9499099999999991E-9</v>
      </c>
      <c r="L147" s="101">
        <f t="shared" si="51"/>
        <v>2.1869999999999998E-11</v>
      </c>
      <c r="M147" s="101">
        <f t="shared" si="51"/>
        <v>0</v>
      </c>
      <c r="N147" s="101">
        <f t="shared" si="51"/>
        <v>0</v>
      </c>
      <c r="O147" s="101">
        <f t="shared" si="52"/>
        <v>0</v>
      </c>
      <c r="P147" s="101">
        <f t="shared" si="52"/>
        <v>0</v>
      </c>
      <c r="Q147" s="101">
        <f t="shared" si="52"/>
        <v>0</v>
      </c>
      <c r="R147" s="101">
        <f t="shared" si="52"/>
        <v>0</v>
      </c>
      <c r="S147" s="101">
        <f t="shared" si="52"/>
        <v>0</v>
      </c>
      <c r="T147" s="101">
        <f t="shared" si="52"/>
        <v>0</v>
      </c>
      <c r="U147" s="101">
        <f t="shared" si="52"/>
        <v>0</v>
      </c>
      <c r="V147" s="101">
        <f t="shared" si="52"/>
        <v>0</v>
      </c>
      <c r="W147" s="101">
        <f t="shared" si="52"/>
        <v>0</v>
      </c>
      <c r="X147" s="101">
        <f t="shared" si="52"/>
        <v>0</v>
      </c>
      <c r="Y147" s="101">
        <f t="shared" si="52"/>
        <v>0</v>
      </c>
    </row>
    <row r="148" spans="3:25" x14ac:dyDescent="0.2">
      <c r="C148" s="5">
        <v>2038</v>
      </c>
      <c r="D148" s="5">
        <f t="shared" si="50"/>
        <v>8</v>
      </c>
      <c r="E148" s="101">
        <f t="shared" si="51"/>
        <v>0.78374335943769602</v>
      </c>
      <c r="F148" s="101">
        <f t="shared" si="51"/>
        <v>0.19391588274747118</v>
      </c>
      <c r="G148" s="101">
        <f t="shared" si="51"/>
        <v>2.0990894524210799E-2</v>
      </c>
      <c r="H148" s="101">
        <f t="shared" si="51"/>
        <v>1.2984058468583997E-3</v>
      </c>
      <c r="I148" s="101">
        <f t="shared" si="51"/>
        <v>5.0196102326999994E-5</v>
      </c>
      <c r="J148" s="101">
        <f t="shared" si="51"/>
        <v>1.2419654183999999E-6</v>
      </c>
      <c r="K148" s="101">
        <f t="shared" si="51"/>
        <v>1.9205650799999998E-8</v>
      </c>
      <c r="L148" s="101">
        <f t="shared" si="51"/>
        <v>1.6971119999999997E-10</v>
      </c>
      <c r="M148" s="101">
        <f t="shared" si="51"/>
        <v>6.561E-13</v>
      </c>
      <c r="N148" s="101">
        <f t="shared" si="51"/>
        <v>0</v>
      </c>
      <c r="O148" s="101">
        <f t="shared" si="52"/>
        <v>0</v>
      </c>
      <c r="P148" s="101">
        <f t="shared" si="52"/>
        <v>0</v>
      </c>
      <c r="Q148" s="101">
        <f t="shared" si="52"/>
        <v>0</v>
      </c>
      <c r="R148" s="101">
        <f t="shared" si="52"/>
        <v>0</v>
      </c>
      <c r="S148" s="101">
        <f t="shared" si="52"/>
        <v>0</v>
      </c>
      <c r="T148" s="101">
        <f t="shared" si="52"/>
        <v>0</v>
      </c>
      <c r="U148" s="101">
        <f t="shared" si="52"/>
        <v>0</v>
      </c>
      <c r="V148" s="101">
        <f t="shared" si="52"/>
        <v>0</v>
      </c>
      <c r="W148" s="101">
        <f t="shared" si="52"/>
        <v>0</v>
      </c>
      <c r="X148" s="101">
        <f t="shared" si="52"/>
        <v>0</v>
      </c>
      <c r="Y148" s="101">
        <f t="shared" si="52"/>
        <v>0</v>
      </c>
    </row>
    <row r="149" spans="3:25" x14ac:dyDescent="0.2">
      <c r="C149" s="5">
        <v>2039</v>
      </c>
      <c r="D149" s="5">
        <f t="shared" si="50"/>
        <v>9</v>
      </c>
      <c r="E149" s="101">
        <f t="shared" si="51"/>
        <v>0.76023105865456508</v>
      </c>
      <c r="F149" s="101">
        <f t="shared" si="51"/>
        <v>0.21161070704817794</v>
      </c>
      <c r="G149" s="101">
        <f t="shared" si="51"/>
        <v>2.6178644170908608E-2</v>
      </c>
      <c r="H149" s="101">
        <f t="shared" si="51"/>
        <v>1.8891805071789714E-3</v>
      </c>
      <c r="I149" s="101">
        <f t="shared" si="51"/>
        <v>8.7642394662941988E-5</v>
      </c>
      <c r="J149" s="101">
        <f t="shared" si="51"/>
        <v>2.7105895256579997E-6</v>
      </c>
      <c r="K149" s="101">
        <f t="shared" si="51"/>
        <v>5.5888443827999981E-8</v>
      </c>
      <c r="L149" s="101">
        <f t="shared" si="51"/>
        <v>7.4078938799999986E-10</v>
      </c>
      <c r="M149" s="101">
        <f t="shared" si="51"/>
        <v>5.7277530000000002E-12</v>
      </c>
      <c r="N149" s="101">
        <f t="shared" si="51"/>
        <v>1.9683000000000001E-14</v>
      </c>
      <c r="O149" s="101">
        <f t="shared" si="52"/>
        <v>0</v>
      </c>
      <c r="P149" s="101">
        <f t="shared" si="52"/>
        <v>0</v>
      </c>
      <c r="Q149" s="101">
        <f t="shared" si="52"/>
        <v>0</v>
      </c>
      <c r="R149" s="101">
        <f t="shared" si="52"/>
        <v>0</v>
      </c>
      <c r="S149" s="101">
        <f t="shared" si="52"/>
        <v>0</v>
      </c>
      <c r="T149" s="101">
        <f t="shared" si="52"/>
        <v>0</v>
      </c>
      <c r="U149" s="101">
        <f t="shared" si="52"/>
        <v>0</v>
      </c>
      <c r="V149" s="101">
        <f t="shared" si="52"/>
        <v>0</v>
      </c>
      <c r="W149" s="101">
        <f t="shared" si="52"/>
        <v>0</v>
      </c>
      <c r="X149" s="101">
        <f t="shared" si="52"/>
        <v>0</v>
      </c>
      <c r="Y149" s="101">
        <f t="shared" si="52"/>
        <v>0</v>
      </c>
    </row>
    <row r="150" spans="3:25" x14ac:dyDescent="0.2">
      <c r="C150" s="5">
        <v>2040</v>
      </c>
      <c r="D150" s="5">
        <f t="shared" si="50"/>
        <v>10</v>
      </c>
      <c r="E150" s="101">
        <f t="shared" ref="E150:N160" si="53">IF(E$139&gt;$D150,0,IF(p_star=0,IF(E$139=0,1,0),IF(p_star=1,IF(E$139=$D150,1,0),COMBIN($D150,E$139)*p_star^E$139*(1-p_star)^($D150-E$139))))</f>
        <v>0.7374241268949282</v>
      </c>
      <c r="F150" s="101">
        <f t="shared" si="53"/>
        <v>0.2280693175963695</v>
      </c>
      <c r="G150" s="101">
        <f t="shared" si="53"/>
        <v>3.1741606057226687E-2</v>
      </c>
      <c r="H150" s="101">
        <f t="shared" si="53"/>
        <v>2.6178644170908607E-3</v>
      </c>
      <c r="I150" s="101">
        <f t="shared" si="53"/>
        <v>1.4168853803842285E-4</v>
      </c>
      <c r="J150" s="101">
        <f t="shared" si="53"/>
        <v>5.2585436797765194E-6</v>
      </c>
      <c r="K150" s="101">
        <f t="shared" si="53"/>
        <v>1.3552947628289998E-7</v>
      </c>
      <c r="L150" s="101">
        <f t="shared" si="53"/>
        <v>2.3952190211999997E-9</v>
      </c>
      <c r="M150" s="101">
        <f t="shared" si="53"/>
        <v>2.7779602049999998E-11</v>
      </c>
      <c r="N150" s="101">
        <f t="shared" si="53"/>
        <v>1.909251E-13</v>
      </c>
      <c r="O150" s="101">
        <f t="shared" ref="O150:Y160" si="54">IF(O$139&gt;$D150,0,IF(p_star=0,IF(O$139=0,1,0),IF(p_star=1,IF(O$139=$D150,1,0),COMBIN($D150,O$139)*p_star^O$139*(1-p_star)^($D150-O$139))))</f>
        <v>5.9048999999999996E-16</v>
      </c>
      <c r="P150" s="101">
        <f t="shared" si="54"/>
        <v>0</v>
      </c>
      <c r="Q150" s="101">
        <f t="shared" si="54"/>
        <v>0</v>
      </c>
      <c r="R150" s="101">
        <f t="shared" si="54"/>
        <v>0</v>
      </c>
      <c r="S150" s="101">
        <f t="shared" si="54"/>
        <v>0</v>
      </c>
      <c r="T150" s="101">
        <f t="shared" si="54"/>
        <v>0</v>
      </c>
      <c r="U150" s="101">
        <f t="shared" si="54"/>
        <v>0</v>
      </c>
      <c r="V150" s="101">
        <f t="shared" si="54"/>
        <v>0</v>
      </c>
      <c r="W150" s="101">
        <f t="shared" si="54"/>
        <v>0</v>
      </c>
      <c r="X150" s="101">
        <f t="shared" si="54"/>
        <v>0</v>
      </c>
      <c r="Y150" s="101">
        <f t="shared" si="54"/>
        <v>0</v>
      </c>
    </row>
    <row r="151" spans="3:25" x14ac:dyDescent="0.2">
      <c r="C151" s="5">
        <v>2041</v>
      </c>
      <c r="D151" s="5">
        <f t="shared" si="50"/>
        <v>11</v>
      </c>
      <c r="E151" s="101">
        <f t="shared" si="53"/>
        <v>0.71530140308808032</v>
      </c>
      <c r="F151" s="101">
        <f t="shared" si="53"/>
        <v>0.24334996187532629</v>
      </c>
      <c r="G151" s="101">
        <f t="shared" si="53"/>
        <v>3.7631437403400969E-2</v>
      </c>
      <c r="H151" s="101">
        <f t="shared" si="53"/>
        <v>3.4915766662949356E-3</v>
      </c>
      <c r="I151" s="101">
        <f t="shared" si="53"/>
        <v>2.1597381440999601E-4</v>
      </c>
      <c r="J151" s="101">
        <f t="shared" si="53"/>
        <v>9.3514435105359097E-6</v>
      </c>
      <c r="K151" s="101">
        <f t="shared" si="53"/>
        <v>2.8921990238770853E-7</v>
      </c>
      <c r="L151" s="101">
        <f t="shared" si="53"/>
        <v>6.3892467390509984E-9</v>
      </c>
      <c r="M151" s="101">
        <f t="shared" si="53"/>
        <v>9.88027846245E-11</v>
      </c>
      <c r="N151" s="101">
        <f t="shared" si="53"/>
        <v>1.0185854084999999E-12</v>
      </c>
      <c r="O151" s="101">
        <f t="shared" si="54"/>
        <v>6.3005282999999994E-15</v>
      </c>
      <c r="P151" s="101">
        <f t="shared" si="54"/>
        <v>1.77147E-17</v>
      </c>
      <c r="Q151" s="101">
        <f t="shared" si="54"/>
        <v>0</v>
      </c>
      <c r="R151" s="101">
        <f t="shared" si="54"/>
        <v>0</v>
      </c>
      <c r="S151" s="101">
        <f t="shared" si="54"/>
        <v>0</v>
      </c>
      <c r="T151" s="101">
        <f t="shared" si="54"/>
        <v>0</v>
      </c>
      <c r="U151" s="101">
        <f t="shared" si="54"/>
        <v>0</v>
      </c>
      <c r="V151" s="101">
        <f t="shared" si="54"/>
        <v>0</v>
      </c>
      <c r="W151" s="101">
        <f t="shared" si="54"/>
        <v>0</v>
      </c>
      <c r="X151" s="101">
        <f t="shared" si="54"/>
        <v>0</v>
      </c>
      <c r="Y151" s="101">
        <f t="shared" si="54"/>
        <v>0</v>
      </c>
    </row>
    <row r="152" spans="3:25" x14ac:dyDescent="0.2">
      <c r="C152" s="5">
        <v>2042</v>
      </c>
      <c r="D152" s="5">
        <f t="shared" si="50"/>
        <v>12</v>
      </c>
      <c r="E152" s="101">
        <f t="shared" si="53"/>
        <v>0.69384236099543783</v>
      </c>
      <c r="F152" s="101">
        <f t="shared" si="53"/>
        <v>0.25750850511170892</v>
      </c>
      <c r="G152" s="101">
        <f t="shared" si="53"/>
        <v>4.3802993137558734E-2</v>
      </c>
      <c r="H152" s="101">
        <f t="shared" si="53"/>
        <v>4.5157724884081164E-3</v>
      </c>
      <c r="I152" s="101">
        <f t="shared" si="53"/>
        <v>3.142418999665442E-4</v>
      </c>
      <c r="J152" s="101">
        <f t="shared" si="53"/>
        <v>1.5550114637519714E-5</v>
      </c>
      <c r="K152" s="101">
        <f t="shared" si="53"/>
        <v>5.6108661063215449E-7</v>
      </c>
      <c r="L152" s="101">
        <f t="shared" si="53"/>
        <v>1.4874166408510725E-8</v>
      </c>
      <c r="M152" s="101">
        <f t="shared" si="53"/>
        <v>2.8751610325729498E-10</v>
      </c>
      <c r="N152" s="101">
        <f t="shared" si="53"/>
        <v>3.9521113849800001E-12</v>
      </c>
      <c r="O152" s="101">
        <f t="shared" si="54"/>
        <v>3.6669074705999996E-14</v>
      </c>
      <c r="P152" s="101">
        <f t="shared" si="54"/>
        <v>2.06199108E-16</v>
      </c>
      <c r="Q152" s="101">
        <f t="shared" si="54"/>
        <v>5.3144099999999994E-19</v>
      </c>
      <c r="R152" s="101">
        <f t="shared" si="54"/>
        <v>0</v>
      </c>
      <c r="S152" s="101">
        <f t="shared" si="54"/>
        <v>0</v>
      </c>
      <c r="T152" s="101">
        <f t="shared" si="54"/>
        <v>0</v>
      </c>
      <c r="U152" s="101">
        <f t="shared" si="54"/>
        <v>0</v>
      </c>
      <c r="V152" s="101">
        <f t="shared" si="54"/>
        <v>0</v>
      </c>
      <c r="W152" s="101">
        <f t="shared" si="54"/>
        <v>0</v>
      </c>
      <c r="X152" s="101">
        <f t="shared" si="54"/>
        <v>0</v>
      </c>
      <c r="Y152" s="101">
        <f t="shared" si="54"/>
        <v>0</v>
      </c>
    </row>
    <row r="153" spans="3:25" x14ac:dyDescent="0.2">
      <c r="C153" s="5">
        <v>2043</v>
      </c>
      <c r="D153" s="5">
        <f t="shared" si="50"/>
        <v>13</v>
      </c>
      <c r="E153" s="101">
        <f t="shared" si="53"/>
        <v>0.67302709016557472</v>
      </c>
      <c r="F153" s="101">
        <f t="shared" si="53"/>
        <v>0.27059852078822078</v>
      </c>
      <c r="G153" s="101">
        <f t="shared" si="53"/>
        <v>5.0214158496783234E-2</v>
      </c>
      <c r="H153" s="101">
        <f t="shared" si="53"/>
        <v>5.6943891078826353E-3</v>
      </c>
      <c r="I153" s="101">
        <f t="shared" si="53"/>
        <v>4.4028781761979135E-4</v>
      </c>
      <c r="J153" s="101">
        <f t="shared" si="53"/>
        <v>2.4510868197390449E-5</v>
      </c>
      <c r="K153" s="101">
        <f t="shared" si="53"/>
        <v>1.0107574514387813E-6</v>
      </c>
      <c r="L153" s="101">
        <f t="shared" si="53"/>
        <v>3.1260539735220045E-8</v>
      </c>
      <c r="M153" s="101">
        <f t="shared" si="53"/>
        <v>7.2511561241489792E-10</v>
      </c>
      <c r="N153" s="101">
        <f t="shared" si="53"/>
        <v>1.245903114114945E-11</v>
      </c>
      <c r="O153" s="101">
        <f t="shared" si="54"/>
        <v>1.5413234401421997E-13</v>
      </c>
      <c r="P153" s="101">
        <f t="shared" si="54"/>
        <v>1.30008537594E-15</v>
      </c>
      <c r="Q153" s="101">
        <f t="shared" si="54"/>
        <v>6.7014710099999995E-18</v>
      </c>
      <c r="R153" s="101">
        <f t="shared" si="54"/>
        <v>1.594323E-20</v>
      </c>
      <c r="S153" s="101">
        <f t="shared" si="54"/>
        <v>0</v>
      </c>
      <c r="T153" s="101">
        <f t="shared" si="54"/>
        <v>0</v>
      </c>
      <c r="U153" s="101">
        <f t="shared" si="54"/>
        <v>0</v>
      </c>
      <c r="V153" s="101">
        <f t="shared" si="54"/>
        <v>0</v>
      </c>
      <c r="W153" s="101">
        <f t="shared" si="54"/>
        <v>0</v>
      </c>
      <c r="X153" s="101">
        <f t="shared" si="54"/>
        <v>0</v>
      </c>
      <c r="Y153" s="101">
        <f t="shared" si="54"/>
        <v>0</v>
      </c>
    </row>
    <row r="154" spans="3:25" x14ac:dyDescent="0.2">
      <c r="C154" s="5">
        <v>2044</v>
      </c>
      <c r="D154" s="5">
        <f t="shared" si="50"/>
        <v>14</v>
      </c>
      <c r="E154" s="101">
        <f t="shared" si="53"/>
        <v>0.65283627746060746</v>
      </c>
      <c r="F154" s="101">
        <f t="shared" si="53"/>
        <v>0.28267137786954138</v>
      </c>
      <c r="G154" s="101">
        <f t="shared" si="53"/>
        <v>5.6825689365526358E-2</v>
      </c>
      <c r="H154" s="101">
        <f t="shared" si="53"/>
        <v>7.0299821895496535E-3</v>
      </c>
      <c r="I154" s="101">
        <f t="shared" si="53"/>
        <v>5.9791085632767674E-4</v>
      </c>
      <c r="J154" s="101">
        <f t="shared" si="53"/>
        <v>3.6984176680062477E-5</v>
      </c>
      <c r="K154" s="101">
        <f t="shared" si="53"/>
        <v>1.7157607738173312E-6</v>
      </c>
      <c r="L154" s="101">
        <f t="shared" si="53"/>
        <v>6.0645447086326877E-8</v>
      </c>
      <c r="M154" s="101">
        <f t="shared" si="53"/>
        <v>1.641178336099052E-9</v>
      </c>
      <c r="N154" s="101">
        <f t="shared" si="53"/>
        <v>3.3838728579361907E-11</v>
      </c>
      <c r="O154" s="101">
        <f t="shared" si="54"/>
        <v>5.2327930792827683E-13</v>
      </c>
      <c r="P154" s="101">
        <f t="shared" si="54"/>
        <v>5.8850531350883996E-15</v>
      </c>
      <c r="Q154" s="101">
        <f t="shared" si="54"/>
        <v>4.5502988157899991E-17</v>
      </c>
      <c r="R154" s="101">
        <f t="shared" si="54"/>
        <v>2.1650906339999999E-19</v>
      </c>
      <c r="S154" s="101">
        <f t="shared" si="54"/>
        <v>4.7829689999999994E-22</v>
      </c>
      <c r="T154" s="101">
        <f t="shared" si="54"/>
        <v>0</v>
      </c>
      <c r="U154" s="101">
        <f t="shared" si="54"/>
        <v>0</v>
      </c>
      <c r="V154" s="101">
        <f t="shared" si="54"/>
        <v>0</v>
      </c>
      <c r="W154" s="101">
        <f t="shared" si="54"/>
        <v>0</v>
      </c>
      <c r="X154" s="101">
        <f t="shared" si="54"/>
        <v>0</v>
      </c>
      <c r="Y154" s="101">
        <f t="shared" si="54"/>
        <v>0</v>
      </c>
    </row>
    <row r="155" spans="3:25" x14ac:dyDescent="0.2">
      <c r="C155" s="5">
        <v>2045</v>
      </c>
      <c r="D155" s="5">
        <f t="shared" si="50"/>
        <v>15</v>
      </c>
      <c r="E155" s="101">
        <f t="shared" si="53"/>
        <v>0.63325118913678924</v>
      </c>
      <c r="F155" s="101">
        <f t="shared" si="53"/>
        <v>0.29377632485727334</v>
      </c>
      <c r="G155" s="101">
        <f t="shared" si="53"/>
        <v>6.3601060020646805E-2</v>
      </c>
      <c r="H155" s="101">
        <f t="shared" si="53"/>
        <v>8.5238534048289547E-3</v>
      </c>
      <c r="I155" s="101">
        <f t="shared" si="53"/>
        <v>7.9087299632433594E-4</v>
      </c>
      <c r="J155" s="101">
        <f t="shared" si="53"/>
        <v>5.3811977069490904E-5</v>
      </c>
      <c r="K155" s="101">
        <f t="shared" si="53"/>
        <v>2.7738132510046857E-6</v>
      </c>
      <c r="L155" s="101">
        <f t="shared" si="53"/>
        <v>1.1029890688825699E-7</v>
      </c>
      <c r="M155" s="101">
        <f t="shared" si="53"/>
        <v>3.4113063986058867E-9</v>
      </c>
      <c r="N155" s="101">
        <f t="shared" si="53"/>
        <v>8.2058916804952622E-11</v>
      </c>
      <c r="O155" s="101">
        <f t="shared" si="54"/>
        <v>1.5227427860712854E-12</v>
      </c>
      <c r="P155" s="101">
        <f t="shared" si="54"/>
        <v>2.1406880778884052E-14</v>
      </c>
      <c r="Q155" s="101">
        <f t="shared" si="54"/>
        <v>2.2068949256581502E-16</v>
      </c>
      <c r="R155" s="101">
        <f t="shared" si="54"/>
        <v>1.5751034362349999E-18</v>
      </c>
      <c r="S155" s="101">
        <f t="shared" si="54"/>
        <v>6.9592198949999995E-21</v>
      </c>
      <c r="T155" s="101">
        <f t="shared" si="54"/>
        <v>1.4348906999999999E-23</v>
      </c>
      <c r="U155" s="101">
        <f t="shared" si="54"/>
        <v>0</v>
      </c>
      <c r="V155" s="101">
        <f t="shared" si="54"/>
        <v>0</v>
      </c>
      <c r="W155" s="101">
        <f t="shared" si="54"/>
        <v>0</v>
      </c>
      <c r="X155" s="101">
        <f t="shared" si="54"/>
        <v>0</v>
      </c>
      <c r="Y155" s="101">
        <f t="shared" si="54"/>
        <v>0</v>
      </c>
    </row>
    <row r="156" spans="3:25" x14ac:dyDescent="0.2">
      <c r="C156" s="5">
        <v>2046</v>
      </c>
      <c r="D156" s="5">
        <f t="shared" si="50"/>
        <v>16</v>
      </c>
      <c r="E156" s="101">
        <f t="shared" si="53"/>
        <v>0.61425365346268557</v>
      </c>
      <c r="F156" s="101">
        <f t="shared" si="53"/>
        <v>0.3039605707856588</v>
      </c>
      <c r="G156" s="101">
        <f t="shared" si="53"/>
        <v>7.0506317965745607E-2</v>
      </c>
      <c r="H156" s="101">
        <f t="shared" si="53"/>
        <v>1.0176169603303489E-2</v>
      </c>
      <c r="I156" s="101">
        <f t="shared" si="53"/>
        <v>1.0228624085794745E-3</v>
      </c>
      <c r="J156" s="101">
        <f t="shared" si="53"/>
        <v>7.5923807647136261E-5</v>
      </c>
      <c r="K156" s="101">
        <f t="shared" si="53"/>
        <v>4.3049581655592722E-6</v>
      </c>
      <c r="L156" s="101">
        <f t="shared" si="53"/>
        <v>1.9020433721174985E-7</v>
      </c>
      <c r="M156" s="101">
        <f t="shared" si="53"/>
        <v>6.6179344132954203E-9</v>
      </c>
      <c r="N156" s="101">
        <f t="shared" si="53"/>
        <v>1.8193634125898065E-10</v>
      </c>
      <c r="O156" s="101">
        <f t="shared" si="54"/>
        <v>3.9388280066377255E-12</v>
      </c>
      <c r="P156" s="101">
        <f t="shared" si="54"/>
        <v>6.6446957937656097E-14</v>
      </c>
      <c r="Q156" s="101">
        <f t="shared" si="54"/>
        <v>8.5627523115536218E-16</v>
      </c>
      <c r="R156" s="101">
        <f t="shared" si="54"/>
        <v>8.1485351101223994E-18</v>
      </c>
      <c r="S156" s="101">
        <f t="shared" si="54"/>
        <v>5.4003546385199995E-20</v>
      </c>
      <c r="T156" s="101">
        <f t="shared" si="54"/>
        <v>2.2269503663999997E-22</v>
      </c>
      <c r="U156" s="101">
        <f t="shared" si="54"/>
        <v>4.3046720999999996E-25</v>
      </c>
      <c r="V156" s="101">
        <f t="shared" si="54"/>
        <v>0</v>
      </c>
      <c r="W156" s="101">
        <f t="shared" si="54"/>
        <v>0</v>
      </c>
      <c r="X156" s="101">
        <f t="shared" si="54"/>
        <v>0</v>
      </c>
      <c r="Y156" s="101">
        <f t="shared" si="54"/>
        <v>0</v>
      </c>
    </row>
    <row r="157" spans="3:25" x14ac:dyDescent="0.2">
      <c r="C157" s="5">
        <v>2047</v>
      </c>
      <c r="D157" s="5">
        <f t="shared" si="50"/>
        <v>17</v>
      </c>
      <c r="E157" s="101">
        <f t="shared" si="53"/>
        <v>0.595826043858805</v>
      </c>
      <c r="F157" s="101">
        <f t="shared" si="53"/>
        <v>0.31326936326596966</v>
      </c>
      <c r="G157" s="101">
        <f t="shared" si="53"/>
        <v>7.7509945550343004E-2</v>
      </c>
      <c r="H157" s="101">
        <f t="shared" si="53"/>
        <v>1.1986074054176751E-2</v>
      </c>
      <c r="I157" s="101">
        <f t="shared" si="53"/>
        <v>1.2974616244211948E-3</v>
      </c>
      <c r="J157" s="101">
        <f t="shared" si="53"/>
        <v>1.0433196567510639E-4</v>
      </c>
      <c r="K157" s="101">
        <f t="shared" si="53"/>
        <v>6.4535236500065808E-6</v>
      </c>
      <c r="L157" s="101">
        <f t="shared" si="53"/>
        <v>3.1364695206217557E-7</v>
      </c>
      <c r="M157" s="101">
        <f t="shared" si="53"/>
        <v>1.2125526497249054E-8</v>
      </c>
      <c r="N157" s="101">
        <f t="shared" si="53"/>
        <v>3.7501628342007392E-10</v>
      </c>
      <c r="O157" s="101">
        <f t="shared" si="54"/>
        <v>9.2787534042080117E-12</v>
      </c>
      <c r="P157" s="101">
        <f t="shared" si="54"/>
        <v>1.8261838939865818E-13</v>
      </c>
      <c r="Q157" s="101">
        <f t="shared" si="54"/>
        <v>2.8239957123503844E-15</v>
      </c>
      <c r="R157" s="101">
        <f t="shared" si="54"/>
        <v>3.3592335991479588E-17</v>
      </c>
      <c r="S157" s="101">
        <f t="shared" si="54"/>
        <v>2.9683949329731597E-19</v>
      </c>
      <c r="T157" s="101">
        <f t="shared" si="54"/>
        <v>1.8361205770967996E-21</v>
      </c>
      <c r="U157" s="101">
        <f t="shared" si="54"/>
        <v>7.0984042928999984E-24</v>
      </c>
      <c r="V157" s="101">
        <f t="shared" si="54"/>
        <v>1.2914016299999998E-26</v>
      </c>
      <c r="W157" s="101">
        <f t="shared" si="54"/>
        <v>0</v>
      </c>
      <c r="X157" s="101">
        <f t="shared" si="54"/>
        <v>0</v>
      </c>
      <c r="Y157" s="101">
        <f t="shared" si="54"/>
        <v>0</v>
      </c>
    </row>
    <row r="158" spans="3:25" x14ac:dyDescent="0.2">
      <c r="C158" s="5">
        <v>2048</v>
      </c>
      <c r="D158" s="5">
        <f t="shared" si="50"/>
        <v>18</v>
      </c>
      <c r="E158" s="101">
        <f t="shared" si="53"/>
        <v>0.57795126254304086</v>
      </c>
      <c r="F158" s="101">
        <f t="shared" si="53"/>
        <v>0.32174606368375475</v>
      </c>
      <c r="G158" s="101">
        <f t="shared" si="53"/>
        <v>8.4582728081811789E-2</v>
      </c>
      <c r="H158" s="101">
        <f t="shared" si="53"/>
        <v>1.395179019906174E-2</v>
      </c>
      <c r="I158" s="101">
        <f t="shared" si="53"/>
        <v>1.6181199973138616E-3</v>
      </c>
      <c r="J158" s="101">
        <f t="shared" si="53"/>
        <v>1.4012585543748905E-4</v>
      </c>
      <c r="K158" s="101">
        <f t="shared" si="53"/>
        <v>9.3898769107595768E-6</v>
      </c>
      <c r="L158" s="101">
        <f t="shared" si="53"/>
        <v>4.978432530005076E-7</v>
      </c>
      <c r="M158" s="101">
        <f t="shared" si="53"/>
        <v>2.1171169264196851E-8</v>
      </c>
      <c r="N158" s="101">
        <f t="shared" si="53"/>
        <v>7.2753158983494316E-10</v>
      </c>
      <c r="O158" s="101">
        <f t="shared" si="54"/>
        <v>2.0250879304683986E-11</v>
      </c>
      <c r="P158" s="101">
        <f t="shared" si="54"/>
        <v>4.5550243984293882E-13</v>
      </c>
      <c r="Q158" s="101">
        <f t="shared" si="54"/>
        <v>8.2178275229396193E-15</v>
      </c>
      <c r="R158" s="101">
        <f t="shared" si="54"/>
        <v>1.1730443728224672E-16</v>
      </c>
      <c r="S158" s="101">
        <f t="shared" si="54"/>
        <v>1.2957043882427842E-18</v>
      </c>
      <c r="T158" s="101">
        <f t="shared" si="54"/>
        <v>1.0686221758703375E-20</v>
      </c>
      <c r="U158" s="101">
        <f t="shared" si="54"/>
        <v>6.1969069477016991E-23</v>
      </c>
      <c r="V158" s="101">
        <f t="shared" si="54"/>
        <v>2.2547872459799997E-25</v>
      </c>
      <c r="W158" s="101">
        <f t="shared" si="54"/>
        <v>3.8742048899999995E-28</v>
      </c>
      <c r="X158" s="101">
        <f t="shared" si="54"/>
        <v>0</v>
      </c>
      <c r="Y158" s="101">
        <f t="shared" si="54"/>
        <v>0</v>
      </c>
    </row>
    <row r="159" spans="3:25" x14ac:dyDescent="0.2">
      <c r="C159" s="5">
        <v>2049</v>
      </c>
      <c r="D159" s="5">
        <f t="shared" si="50"/>
        <v>19</v>
      </c>
      <c r="E159" s="101">
        <f t="shared" si="53"/>
        <v>0.56061272466674961</v>
      </c>
      <c r="F159" s="101">
        <f t="shared" si="53"/>
        <v>0.32943221964953329</v>
      </c>
      <c r="G159" s="101">
        <f t="shared" si="53"/>
        <v>9.1697628149870092E-2</v>
      </c>
      <c r="H159" s="101">
        <f t="shared" si="53"/>
        <v>1.6070718335544243E-2</v>
      </c>
      <c r="I159" s="101">
        <f t="shared" si="53"/>
        <v>1.988130103366298E-3</v>
      </c>
      <c r="J159" s="101">
        <f t="shared" si="53"/>
        <v>1.8446567969378021E-4</v>
      </c>
      <c r="K159" s="101">
        <f t="shared" si="53"/>
        <v>1.3311956266561458E-5</v>
      </c>
      <c r="L159" s="101">
        <f t="shared" si="53"/>
        <v>7.6460426273327976E-7</v>
      </c>
      <c r="M159" s="101">
        <f t="shared" si="53"/>
        <v>3.5471331776286171E-8</v>
      </c>
      <c r="N159" s="101">
        <f t="shared" si="53"/>
        <v>1.3408407200658006E-9</v>
      </c>
      <c r="O159" s="101">
        <f t="shared" si="54"/>
        <v>4.146930062059176E-11</v>
      </c>
      <c r="P159" s="101">
        <f t="shared" si="54"/>
        <v>1.0493637457881702E-12</v>
      </c>
      <c r="Q159" s="101">
        <f t="shared" si="54"/>
        <v>2.1636365892539595E-14</v>
      </c>
      <c r="R159" s="101">
        <f t="shared" si="54"/>
        <v>3.6032012985196787E-16</v>
      </c>
      <c r="S159" s="101">
        <f t="shared" si="54"/>
        <v>4.7759663750629023E-18</v>
      </c>
      <c r="T159" s="101">
        <f t="shared" si="54"/>
        <v>4.923676675322579E-20</v>
      </c>
      <c r="U159" s="101">
        <f t="shared" si="54"/>
        <v>3.8069665015380768E-22</v>
      </c>
      <c r="V159" s="101">
        <f t="shared" si="54"/>
        <v>2.0777864471705696E-24</v>
      </c>
      <c r="W159" s="101">
        <f t="shared" si="54"/>
        <v>7.1401596122699986E-27</v>
      </c>
      <c r="X159" s="101">
        <f t="shared" si="54"/>
        <v>1.1622614669999999E-29</v>
      </c>
      <c r="Y159" s="101">
        <f t="shared" si="54"/>
        <v>0</v>
      </c>
    </row>
    <row r="160" spans="3:25" x14ac:dyDescent="0.2">
      <c r="C160" s="5">
        <v>2050</v>
      </c>
      <c r="D160" s="5">
        <f t="shared" si="50"/>
        <v>20</v>
      </c>
      <c r="E160" s="101">
        <f t="shared" si="53"/>
        <v>0.54379434292674711</v>
      </c>
      <c r="F160" s="101">
        <f t="shared" si="53"/>
        <v>0.33636763480004978</v>
      </c>
      <c r="G160" s="101">
        <f t="shared" si="53"/>
        <v>9.8829665894859975E-2</v>
      </c>
      <c r="H160" s="101">
        <f t="shared" si="53"/>
        <v>1.8339525629974016E-2</v>
      </c>
      <c r="I160" s="101">
        <f t="shared" si="53"/>
        <v>2.4106077503316362E-3</v>
      </c>
      <c r="J160" s="101">
        <f t="shared" si="53"/>
        <v>2.3857561240395571E-4</v>
      </c>
      <c r="K160" s="101">
        <f t="shared" si="53"/>
        <v>1.8446567969378021E-5</v>
      </c>
      <c r="L160" s="101">
        <f t="shared" si="53"/>
        <v>1.141024822848125E-6</v>
      </c>
      <c r="M160" s="101">
        <f t="shared" si="53"/>
        <v>5.7345319704995985E-8</v>
      </c>
      <c r="N160" s="101">
        <f t="shared" si="53"/>
        <v>2.3647554517524117E-9</v>
      </c>
      <c r="O160" s="101">
        <f t="shared" si="54"/>
        <v>8.0450443203948018E-11</v>
      </c>
      <c r="P160" s="101">
        <f t="shared" si="54"/>
        <v>2.2619618520322782E-12</v>
      </c>
      <c r="Q160" s="101">
        <f t="shared" si="54"/>
        <v>5.2468187289408518E-14</v>
      </c>
      <c r="R160" s="101">
        <f t="shared" si="54"/>
        <v>9.9860150273259665E-16</v>
      </c>
      <c r="S160" s="101">
        <f t="shared" si="54"/>
        <v>1.5442291279370048E-17</v>
      </c>
      <c r="T160" s="101">
        <f t="shared" si="54"/>
        <v>1.9103865500251606E-19</v>
      </c>
      <c r="U160" s="101">
        <f t="shared" si="54"/>
        <v>1.8463787532459674E-21</v>
      </c>
      <c r="V160" s="101">
        <f t="shared" si="54"/>
        <v>1.3436352358369685E-23</v>
      </c>
      <c r="W160" s="101">
        <f t="shared" si="54"/>
        <v>6.9259548239018989E-26</v>
      </c>
      <c r="X160" s="101">
        <f t="shared" si="54"/>
        <v>2.2547872459799995E-28</v>
      </c>
      <c r="Y160" s="101">
        <f t="shared" si="54"/>
        <v>3.4867844009999996E-31</v>
      </c>
    </row>
    <row r="164" spans="3:25" x14ac:dyDescent="0.2">
      <c r="C164" s="99" t="s">
        <v>250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</row>
    <row r="166" spans="3:25" ht="17" x14ac:dyDescent="0.3">
      <c r="C166" s="46" t="s">
        <v>251</v>
      </c>
      <c r="E166" s="126">
        <v>0</v>
      </c>
      <c r="F166" s="126">
        <v>1</v>
      </c>
      <c r="G166" s="126">
        <v>2</v>
      </c>
      <c r="H166" s="126">
        <v>3</v>
      </c>
      <c r="I166" s="126">
        <v>4</v>
      </c>
      <c r="J166" s="126">
        <v>5</v>
      </c>
      <c r="K166" s="126">
        <v>6</v>
      </c>
      <c r="L166" s="126">
        <v>7</v>
      </c>
      <c r="M166" s="126">
        <v>8</v>
      </c>
      <c r="N166" s="126">
        <v>9</v>
      </c>
      <c r="O166" s="126">
        <v>10</v>
      </c>
      <c r="P166" s="126">
        <v>11</v>
      </c>
      <c r="Q166" s="126">
        <v>12</v>
      </c>
      <c r="R166" s="126">
        <v>13</v>
      </c>
      <c r="S166" s="126">
        <v>14</v>
      </c>
      <c r="T166" s="126">
        <v>15</v>
      </c>
      <c r="U166" s="126">
        <v>16</v>
      </c>
      <c r="V166" s="126">
        <v>17</v>
      </c>
      <c r="W166" s="126">
        <v>18</v>
      </c>
      <c r="X166" s="126">
        <v>19</v>
      </c>
      <c r="Y166" s="126">
        <v>20</v>
      </c>
    </row>
    <row r="167" spans="3:25" x14ac:dyDescent="0.2">
      <c r="C167" s="13" t="s">
        <v>144</v>
      </c>
      <c r="E167" s="33">
        <f t="shared" ref="E167:Y167" si="55">Ya0*exp_xi^(1+E$166)*(1+p_star*(exp_xi^(1-alpha)-1))^(alpha/(1-alpha))</f>
        <v>2705.9604149738766</v>
      </c>
      <c r="F167" s="33">
        <f t="shared" si="55"/>
        <v>9412.8917815689183</v>
      </c>
      <c r="G167" s="33">
        <f t="shared" si="55"/>
        <v>32743.469269258701</v>
      </c>
      <c r="H167" s="33">
        <f t="shared" si="55"/>
        <v>113900.68054178651</v>
      </c>
      <c r="I167" s="33">
        <f t="shared" si="55"/>
        <v>396212.29263150145</v>
      </c>
      <c r="J167" s="33">
        <f t="shared" si="55"/>
        <v>1378254.9857085191</v>
      </c>
      <c r="K167" s="33">
        <f t="shared" si="55"/>
        <v>4794366.1540988758</v>
      </c>
      <c r="L167" s="33">
        <f t="shared" si="55"/>
        <v>16677572.044299528</v>
      </c>
      <c r="M167" s="33">
        <f t="shared" si="55"/>
        <v>58014219.26337605</v>
      </c>
      <c r="N167" s="33">
        <f t="shared" si="55"/>
        <v>201806931.35662204</v>
      </c>
      <c r="O167" s="33">
        <f t="shared" si="55"/>
        <v>702000958.74230611</v>
      </c>
      <c r="P167" s="33">
        <f t="shared" si="55"/>
        <v>2441964419.9646373</v>
      </c>
      <c r="Q167" s="33">
        <f t="shared" si="55"/>
        <v>8494561373.6151962</v>
      </c>
      <c r="R167" s="33">
        <f t="shared" si="55"/>
        <v>29548986193.320633</v>
      </c>
      <c r="S167" s="33">
        <f t="shared" si="55"/>
        <v>102788425046.30148</v>
      </c>
      <c r="T167" s="33">
        <f t="shared" si="55"/>
        <v>357557455757.56476</v>
      </c>
      <c r="U167" s="33">
        <f t="shared" si="55"/>
        <v>1243791157518.3059</v>
      </c>
      <c r="V167" s="33">
        <f t="shared" si="55"/>
        <v>4326623368104.6567</v>
      </c>
      <c r="W167" s="33">
        <f t="shared" si="55"/>
        <v>15050492726431.666</v>
      </c>
      <c r="X167" s="33">
        <f t="shared" si="55"/>
        <v>52354298499432.805</v>
      </c>
      <c r="Y167" s="33">
        <f t="shared" si="55"/>
        <v>182118460916167.66</v>
      </c>
    </row>
    <row r="168" spans="3:25" x14ac:dyDescent="0.2">
      <c r="C168" s="13" t="s">
        <v>203</v>
      </c>
      <c r="E168" s="33">
        <f t="shared" ref="E168:Y168" si="56">Ya0*exp_xi^(2+E$166)*(1+p_star*(exp_xi^(1-alpha)-1))^(alpha/(1-alpha))</f>
        <v>9412.8917815689183</v>
      </c>
      <c r="F168" s="33">
        <f t="shared" si="56"/>
        <v>32743.469269258701</v>
      </c>
      <c r="G168" s="33">
        <f t="shared" si="56"/>
        <v>113900.68054178651</v>
      </c>
      <c r="H168" s="33">
        <f t="shared" si="56"/>
        <v>396212.29263150145</v>
      </c>
      <c r="I168" s="33">
        <f t="shared" si="56"/>
        <v>1378254.9857085191</v>
      </c>
      <c r="J168" s="33">
        <f t="shared" si="56"/>
        <v>4794366.1540988758</v>
      </c>
      <c r="K168" s="33">
        <f t="shared" si="56"/>
        <v>16677572.044299528</v>
      </c>
      <c r="L168" s="33">
        <f t="shared" si="56"/>
        <v>58014219.26337605</v>
      </c>
      <c r="M168" s="33">
        <f t="shared" si="56"/>
        <v>201806931.35662204</v>
      </c>
      <c r="N168" s="33">
        <f t="shared" si="56"/>
        <v>702000958.74230611</v>
      </c>
      <c r="O168" s="33">
        <f t="shared" si="56"/>
        <v>2441964419.9646373</v>
      </c>
      <c r="P168" s="33">
        <f t="shared" si="56"/>
        <v>8494561373.6151962</v>
      </c>
      <c r="Q168" s="33">
        <f t="shared" si="56"/>
        <v>29548986193.320633</v>
      </c>
      <c r="R168" s="33">
        <f t="shared" si="56"/>
        <v>102788425046.30148</v>
      </c>
      <c r="S168" s="33">
        <f t="shared" si="56"/>
        <v>357557455757.56476</v>
      </c>
      <c r="T168" s="33">
        <f t="shared" si="56"/>
        <v>1243791157518.3059</v>
      </c>
      <c r="U168" s="33">
        <f t="shared" si="56"/>
        <v>4326623368104.6567</v>
      </c>
      <c r="V168" s="33">
        <f t="shared" si="56"/>
        <v>15050492726431.666</v>
      </c>
      <c r="W168" s="33">
        <f t="shared" si="56"/>
        <v>52354298499432.805</v>
      </c>
      <c r="X168" s="33">
        <f t="shared" si="56"/>
        <v>182118460916167.66</v>
      </c>
      <c r="Y168" s="33">
        <f t="shared" si="56"/>
        <v>633513097436173.88</v>
      </c>
    </row>
    <row r="169" spans="3:25" x14ac:dyDescent="0.2">
      <c r="C169" s="13" t="s">
        <v>147</v>
      </c>
      <c r="E169" s="33">
        <f t="shared" ref="E169:Y169" si="57">Ya0*exp_xi^(3+E$166)*(1+p_star*(exp_xi^(1-alpha)-1))^(alpha/(1-alpha))</f>
        <v>32743.469269258701</v>
      </c>
      <c r="F169" s="33">
        <f t="shared" si="57"/>
        <v>113900.68054178651</v>
      </c>
      <c r="G169" s="33">
        <f t="shared" si="57"/>
        <v>396212.29263150145</v>
      </c>
      <c r="H169" s="33">
        <f t="shared" si="57"/>
        <v>1378254.9857085191</v>
      </c>
      <c r="I169" s="33">
        <f t="shared" si="57"/>
        <v>4794366.1540988758</v>
      </c>
      <c r="J169" s="33">
        <f t="shared" si="57"/>
        <v>16677572.044299528</v>
      </c>
      <c r="K169" s="33">
        <f t="shared" si="57"/>
        <v>58014219.26337605</v>
      </c>
      <c r="L169" s="33">
        <f t="shared" si="57"/>
        <v>201806931.35662204</v>
      </c>
      <c r="M169" s="33">
        <f t="shared" si="57"/>
        <v>702000958.74230611</v>
      </c>
      <c r="N169" s="33">
        <f t="shared" si="57"/>
        <v>2441964419.9646373</v>
      </c>
      <c r="O169" s="33">
        <f t="shared" si="57"/>
        <v>8494561373.6151962</v>
      </c>
      <c r="P169" s="33">
        <f t="shared" si="57"/>
        <v>29548986193.320633</v>
      </c>
      <c r="Q169" s="33">
        <f t="shared" si="57"/>
        <v>102788425046.30148</v>
      </c>
      <c r="R169" s="33">
        <f t="shared" si="57"/>
        <v>357557455757.56476</v>
      </c>
      <c r="S169" s="33">
        <f t="shared" si="57"/>
        <v>1243791157518.3059</v>
      </c>
      <c r="T169" s="33">
        <f t="shared" si="57"/>
        <v>4326623368104.6567</v>
      </c>
      <c r="U169" s="33">
        <f t="shared" si="57"/>
        <v>15050492726431.666</v>
      </c>
      <c r="V169" s="33">
        <f t="shared" si="57"/>
        <v>52354298499432.805</v>
      </c>
      <c r="W169" s="33">
        <f t="shared" si="57"/>
        <v>182118460916167.66</v>
      </c>
      <c r="X169" s="33">
        <f t="shared" si="57"/>
        <v>633513097436173.88</v>
      </c>
      <c r="Y169" s="33">
        <f t="shared" si="57"/>
        <v>2203724117830746.8</v>
      </c>
    </row>
    <row r="172" spans="3:25" x14ac:dyDescent="0.2">
      <c r="C172" s="99" t="s">
        <v>252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</row>
    <row r="173" spans="3:25" x14ac:dyDescent="0.2">
      <c r="C173" s="13" t="s">
        <v>253</v>
      </c>
      <c r="E173" s="55">
        <f t="shared" ref="E173:Y173" si="58">E167/(E167+Yn0)</f>
        <v>0.10383707571385838</v>
      </c>
      <c r="F173" s="55">
        <f t="shared" si="58"/>
        <v>0.28727088067163298</v>
      </c>
      <c r="G173" s="55">
        <f t="shared" si="58"/>
        <v>0.58369185749176544</v>
      </c>
      <c r="H173" s="55">
        <f t="shared" si="58"/>
        <v>0.82985088153231901</v>
      </c>
      <c r="I173" s="55">
        <f t="shared" si="58"/>
        <v>0.94433840229977883</v>
      </c>
      <c r="J173" s="55">
        <f t="shared" si="58"/>
        <v>0.98333792142856247</v>
      </c>
      <c r="K173" s="55">
        <f t="shared" si="58"/>
        <v>0.99515253793833691</v>
      </c>
      <c r="L173" s="55">
        <f t="shared" si="58"/>
        <v>0.99860165151182056</v>
      </c>
      <c r="M173" s="55">
        <f t="shared" si="58"/>
        <v>0.99959761042566841</v>
      </c>
      <c r="N173" s="55">
        <f t="shared" si="58"/>
        <v>0.99988429033691606</v>
      </c>
      <c r="O173" s="55">
        <f t="shared" si="58"/>
        <v>0.99996673375284684</v>
      </c>
      <c r="P173" s="55">
        <f t="shared" si="58"/>
        <v>0.99999043659655562</v>
      </c>
      <c r="Q173" s="55">
        <f t="shared" si="58"/>
        <v>0.9999972507526812</v>
      </c>
      <c r="R173" s="55">
        <f t="shared" si="58"/>
        <v>0.99999920966168931</v>
      </c>
      <c r="S173" s="55">
        <f t="shared" si="58"/>
        <v>0.99999977279826047</v>
      </c>
      <c r="T173" s="55">
        <f t="shared" si="58"/>
        <v>0.99999993468542636</v>
      </c>
      <c r="U173" s="55">
        <f t="shared" si="58"/>
        <v>0.99999998122376588</v>
      </c>
      <c r="V173" s="55">
        <f t="shared" si="58"/>
        <v>0.99999999460232325</v>
      </c>
      <c r="W173" s="55">
        <f t="shared" si="58"/>
        <v>0.999999998448309</v>
      </c>
      <c r="X173" s="55">
        <f t="shared" si="58"/>
        <v>0.99999999955392949</v>
      </c>
      <c r="Y173" s="55">
        <f t="shared" si="58"/>
        <v>0.99999999987176635</v>
      </c>
    </row>
    <row r="174" spans="3:25" x14ac:dyDescent="0.2">
      <c r="C174" s="13" t="s">
        <v>254</v>
      </c>
      <c r="E174" s="55">
        <f t="shared" ref="E174:Y174" si="59">E168/(E168+Yn0)</f>
        <v>0.28727088067163298</v>
      </c>
      <c r="F174" s="55">
        <f t="shared" si="59"/>
        <v>0.58369185749176544</v>
      </c>
      <c r="G174" s="55">
        <f t="shared" si="59"/>
        <v>0.82985088153231901</v>
      </c>
      <c r="H174" s="55">
        <f t="shared" si="59"/>
        <v>0.94433840229977883</v>
      </c>
      <c r="I174" s="55">
        <f t="shared" si="59"/>
        <v>0.98333792142856247</v>
      </c>
      <c r="J174" s="55">
        <f t="shared" si="59"/>
        <v>0.99515253793833691</v>
      </c>
      <c r="K174" s="55">
        <f t="shared" si="59"/>
        <v>0.99860165151182056</v>
      </c>
      <c r="L174" s="55">
        <f t="shared" si="59"/>
        <v>0.99959761042566841</v>
      </c>
      <c r="M174" s="55">
        <f t="shared" si="59"/>
        <v>0.99988429033691606</v>
      </c>
      <c r="N174" s="55">
        <f t="shared" si="59"/>
        <v>0.99996673375284684</v>
      </c>
      <c r="O174" s="55">
        <f t="shared" si="59"/>
        <v>0.99999043659655562</v>
      </c>
      <c r="P174" s="55">
        <f t="shared" si="59"/>
        <v>0.9999972507526812</v>
      </c>
      <c r="Q174" s="55">
        <f t="shared" si="59"/>
        <v>0.99999920966168931</v>
      </c>
      <c r="R174" s="55">
        <f t="shared" si="59"/>
        <v>0.99999977279826047</v>
      </c>
      <c r="S174" s="55">
        <f t="shared" si="59"/>
        <v>0.99999993468542636</v>
      </c>
      <c r="T174" s="55">
        <f t="shared" si="59"/>
        <v>0.99999998122376588</v>
      </c>
      <c r="U174" s="55">
        <f t="shared" si="59"/>
        <v>0.99999999460232325</v>
      </c>
      <c r="V174" s="55">
        <f t="shared" si="59"/>
        <v>0.999999998448309</v>
      </c>
      <c r="W174" s="55">
        <f t="shared" si="59"/>
        <v>0.99999999955392949</v>
      </c>
      <c r="X174" s="55">
        <f t="shared" si="59"/>
        <v>0.99999999987176635</v>
      </c>
      <c r="Y174" s="55">
        <f t="shared" si="59"/>
        <v>0.99999999996313615</v>
      </c>
    </row>
    <row r="175" spans="3:25" x14ac:dyDescent="0.2">
      <c r="C175" s="13" t="s">
        <v>255</v>
      </c>
      <c r="E175" s="55">
        <f t="shared" ref="E175:Y175" si="60">E169/(E169+Yn0)</f>
        <v>0.58369185749176544</v>
      </c>
      <c r="F175" s="55">
        <f t="shared" si="60"/>
        <v>0.82985088153231901</v>
      </c>
      <c r="G175" s="55">
        <f t="shared" si="60"/>
        <v>0.94433840229977883</v>
      </c>
      <c r="H175" s="55">
        <f t="shared" si="60"/>
        <v>0.98333792142856247</v>
      </c>
      <c r="I175" s="55">
        <f t="shared" si="60"/>
        <v>0.99515253793833691</v>
      </c>
      <c r="J175" s="55">
        <f t="shared" si="60"/>
        <v>0.99860165151182056</v>
      </c>
      <c r="K175" s="55">
        <f t="shared" si="60"/>
        <v>0.99959761042566841</v>
      </c>
      <c r="L175" s="55">
        <f t="shared" si="60"/>
        <v>0.99988429033691606</v>
      </c>
      <c r="M175" s="55">
        <f t="shared" si="60"/>
        <v>0.99996673375284684</v>
      </c>
      <c r="N175" s="55">
        <f t="shared" si="60"/>
        <v>0.99999043659655562</v>
      </c>
      <c r="O175" s="55">
        <f t="shared" si="60"/>
        <v>0.9999972507526812</v>
      </c>
      <c r="P175" s="55">
        <f t="shared" si="60"/>
        <v>0.99999920966168931</v>
      </c>
      <c r="Q175" s="55">
        <f t="shared" si="60"/>
        <v>0.99999977279826047</v>
      </c>
      <c r="R175" s="55">
        <f t="shared" si="60"/>
        <v>0.99999993468542636</v>
      </c>
      <c r="S175" s="55">
        <f t="shared" si="60"/>
        <v>0.99999998122376588</v>
      </c>
      <c r="T175" s="55">
        <f t="shared" si="60"/>
        <v>0.99999999460232325</v>
      </c>
      <c r="U175" s="55">
        <f t="shared" si="60"/>
        <v>0.999999998448309</v>
      </c>
      <c r="V175" s="55">
        <f t="shared" si="60"/>
        <v>0.99999999955392949</v>
      </c>
      <c r="W175" s="55">
        <f t="shared" si="60"/>
        <v>0.99999999987176635</v>
      </c>
      <c r="X175" s="55">
        <f t="shared" si="60"/>
        <v>0.99999999996313615</v>
      </c>
      <c r="Y175" s="55">
        <f t="shared" si="60"/>
        <v>0.99999999998940259</v>
      </c>
    </row>
    <row r="179" spans="3:7" x14ac:dyDescent="0.2">
      <c r="C179" s="99" t="s">
        <v>256</v>
      </c>
      <c r="D179" s="14"/>
      <c r="E179" s="14"/>
      <c r="F179" s="14"/>
      <c r="G179" s="14"/>
    </row>
    <row r="180" spans="3:7" ht="17" x14ac:dyDescent="0.3">
      <c r="C180" s="46" t="s">
        <v>95</v>
      </c>
      <c r="D180" s="100">
        <v>0.1</v>
      </c>
      <c r="E180" s="100">
        <v>0.25</v>
      </c>
      <c r="F180" s="100">
        <v>0.75</v>
      </c>
      <c r="G180" s="100">
        <v>0.9</v>
      </c>
    </row>
    <row r="181" spans="3:7" x14ac:dyDescent="0.2">
      <c r="C181" s="5">
        <v>2030</v>
      </c>
      <c r="D181" s="5">
        <f t="shared" ref="D181:D201" si="61">IF(C181=2030,0,CRITBINOM(C181-2030,p_star,D$180))</f>
        <v>0</v>
      </c>
      <c r="E181" s="5">
        <f t="shared" ref="E181:E201" si="62">IF(C181=2030,0,CRITBINOM(C181-2030,p_star,E$180))</f>
        <v>0</v>
      </c>
      <c r="F181" s="5">
        <f t="shared" ref="F181:F201" si="63">IF(C181=2030,0,CRITBINOM(C181-2030,p_star,F$180))</f>
        <v>0</v>
      </c>
      <c r="G181" s="5">
        <f t="shared" ref="G181:G201" si="64">IF(C181=2030,0,CRITBINOM(C181-2030,p_star,G$180))</f>
        <v>0</v>
      </c>
    </row>
    <row r="182" spans="3:7" x14ac:dyDescent="0.2">
      <c r="C182" s="5">
        <v>2031</v>
      </c>
      <c r="D182" s="5">
        <f t="shared" si="61"/>
        <v>0</v>
      </c>
      <c r="E182" s="5">
        <f t="shared" si="62"/>
        <v>0</v>
      </c>
      <c r="F182" s="5">
        <f t="shared" si="63"/>
        <v>0</v>
      </c>
      <c r="G182" s="5">
        <f t="shared" si="64"/>
        <v>0</v>
      </c>
    </row>
    <row r="183" spans="3:7" x14ac:dyDescent="0.2">
      <c r="C183" s="5">
        <v>2032</v>
      </c>
      <c r="D183" s="5">
        <f t="shared" si="61"/>
        <v>0</v>
      </c>
      <c r="E183" s="5">
        <f t="shared" si="62"/>
        <v>0</v>
      </c>
      <c r="F183" s="5">
        <f t="shared" si="63"/>
        <v>0</v>
      </c>
      <c r="G183" s="5">
        <f t="shared" si="64"/>
        <v>0</v>
      </c>
    </row>
    <row r="184" spans="3:7" x14ac:dyDescent="0.2">
      <c r="C184" s="5">
        <v>2033</v>
      </c>
      <c r="D184" s="5">
        <f t="shared" si="61"/>
        <v>0</v>
      </c>
      <c r="E184" s="5">
        <f t="shared" si="62"/>
        <v>0</v>
      </c>
      <c r="F184" s="5">
        <f t="shared" si="63"/>
        <v>0</v>
      </c>
      <c r="G184" s="5">
        <f t="shared" si="64"/>
        <v>0</v>
      </c>
    </row>
    <row r="185" spans="3:7" x14ac:dyDescent="0.2">
      <c r="C185" s="5">
        <v>2034</v>
      </c>
      <c r="D185" s="5">
        <f t="shared" si="61"/>
        <v>0</v>
      </c>
      <c r="E185" s="5">
        <f t="shared" si="62"/>
        <v>0</v>
      </c>
      <c r="F185" s="5">
        <f t="shared" si="63"/>
        <v>0</v>
      </c>
      <c r="G185" s="5">
        <f t="shared" si="64"/>
        <v>1</v>
      </c>
    </row>
    <row r="186" spans="3:7" x14ac:dyDescent="0.2">
      <c r="C186" s="5">
        <v>2035</v>
      </c>
      <c r="D186" s="5">
        <f t="shared" si="61"/>
        <v>0</v>
      </c>
      <c r="E186" s="5">
        <f t="shared" si="62"/>
        <v>0</v>
      </c>
      <c r="F186" s="5">
        <f t="shared" si="63"/>
        <v>0</v>
      </c>
      <c r="G186" s="5">
        <f t="shared" si="64"/>
        <v>1</v>
      </c>
    </row>
    <row r="187" spans="3:7" x14ac:dyDescent="0.2">
      <c r="C187" s="5">
        <v>2036</v>
      </c>
      <c r="D187" s="5">
        <f t="shared" si="61"/>
        <v>0</v>
      </c>
      <c r="E187" s="5">
        <f t="shared" si="62"/>
        <v>0</v>
      </c>
      <c r="F187" s="5">
        <f t="shared" si="63"/>
        <v>0</v>
      </c>
      <c r="G187" s="5">
        <f t="shared" si="64"/>
        <v>1</v>
      </c>
    </row>
    <row r="188" spans="3:7" x14ac:dyDescent="0.2">
      <c r="C188" s="5">
        <v>2037</v>
      </c>
      <c r="D188" s="5">
        <f t="shared" si="61"/>
        <v>0</v>
      </c>
      <c r="E188" s="5">
        <f t="shared" si="62"/>
        <v>0</v>
      </c>
      <c r="F188" s="5">
        <f t="shared" si="63"/>
        <v>0</v>
      </c>
      <c r="G188" s="5">
        <f t="shared" si="64"/>
        <v>1</v>
      </c>
    </row>
    <row r="189" spans="3:7" x14ac:dyDescent="0.2">
      <c r="C189" s="5">
        <v>2038</v>
      </c>
      <c r="D189" s="5">
        <f t="shared" si="61"/>
        <v>0</v>
      </c>
      <c r="E189" s="5">
        <f t="shared" si="62"/>
        <v>0</v>
      </c>
      <c r="F189" s="5">
        <f t="shared" si="63"/>
        <v>0</v>
      </c>
      <c r="G189" s="5">
        <f t="shared" si="64"/>
        <v>1</v>
      </c>
    </row>
    <row r="190" spans="3:7" x14ac:dyDescent="0.2">
      <c r="C190" s="5">
        <v>2039</v>
      </c>
      <c r="D190" s="5">
        <f t="shared" si="61"/>
        <v>0</v>
      </c>
      <c r="E190" s="5">
        <f t="shared" si="62"/>
        <v>0</v>
      </c>
      <c r="F190" s="5">
        <f t="shared" si="63"/>
        <v>0</v>
      </c>
      <c r="G190" s="5">
        <f t="shared" si="64"/>
        <v>1</v>
      </c>
    </row>
    <row r="191" spans="3:7" x14ac:dyDescent="0.2">
      <c r="C191" s="5">
        <v>2040</v>
      </c>
      <c r="D191" s="5">
        <f t="shared" si="61"/>
        <v>0</v>
      </c>
      <c r="E191" s="5">
        <f t="shared" si="62"/>
        <v>0</v>
      </c>
      <c r="F191" s="5">
        <f t="shared" si="63"/>
        <v>1</v>
      </c>
      <c r="G191" s="5">
        <f t="shared" si="64"/>
        <v>1</v>
      </c>
    </row>
    <row r="192" spans="3:7" x14ac:dyDescent="0.2">
      <c r="C192" s="5">
        <v>2041</v>
      </c>
      <c r="D192" s="5">
        <f t="shared" si="61"/>
        <v>0</v>
      </c>
      <c r="E192" s="5">
        <f t="shared" si="62"/>
        <v>0</v>
      </c>
      <c r="F192" s="5">
        <f t="shared" si="63"/>
        <v>1</v>
      </c>
      <c r="G192" s="5">
        <f t="shared" si="64"/>
        <v>1</v>
      </c>
    </row>
    <row r="193" spans="3:7" x14ac:dyDescent="0.2">
      <c r="C193" s="5">
        <v>2042</v>
      </c>
      <c r="D193" s="5">
        <f t="shared" si="61"/>
        <v>0</v>
      </c>
      <c r="E193" s="5">
        <f t="shared" si="62"/>
        <v>0</v>
      </c>
      <c r="F193" s="5">
        <f t="shared" si="63"/>
        <v>1</v>
      </c>
      <c r="G193" s="5">
        <f t="shared" si="64"/>
        <v>1</v>
      </c>
    </row>
    <row r="194" spans="3:7" x14ac:dyDescent="0.2">
      <c r="C194" s="5">
        <v>2043</v>
      </c>
      <c r="D194" s="5">
        <f t="shared" si="61"/>
        <v>0</v>
      </c>
      <c r="E194" s="5">
        <f t="shared" si="62"/>
        <v>0</v>
      </c>
      <c r="F194" s="5">
        <f t="shared" si="63"/>
        <v>1</v>
      </c>
      <c r="G194" s="5">
        <f t="shared" si="64"/>
        <v>1</v>
      </c>
    </row>
    <row r="195" spans="3:7" x14ac:dyDescent="0.2">
      <c r="C195" s="5">
        <v>2044</v>
      </c>
      <c r="D195" s="5">
        <f t="shared" si="61"/>
        <v>0</v>
      </c>
      <c r="E195" s="5">
        <f t="shared" si="62"/>
        <v>0</v>
      </c>
      <c r="F195" s="5">
        <f t="shared" si="63"/>
        <v>1</v>
      </c>
      <c r="G195" s="5">
        <f t="shared" si="64"/>
        <v>1</v>
      </c>
    </row>
    <row r="196" spans="3:7" x14ac:dyDescent="0.2">
      <c r="C196" s="5">
        <v>2045</v>
      </c>
      <c r="D196" s="5">
        <f t="shared" si="61"/>
        <v>0</v>
      </c>
      <c r="E196" s="5">
        <f t="shared" si="62"/>
        <v>0</v>
      </c>
      <c r="F196" s="5">
        <f t="shared" si="63"/>
        <v>1</v>
      </c>
      <c r="G196" s="5">
        <f t="shared" si="64"/>
        <v>1</v>
      </c>
    </row>
    <row r="197" spans="3:7" x14ac:dyDescent="0.2">
      <c r="C197" s="5">
        <v>2046</v>
      </c>
      <c r="D197" s="5">
        <f t="shared" si="61"/>
        <v>0</v>
      </c>
      <c r="E197" s="5">
        <f t="shared" si="62"/>
        <v>0</v>
      </c>
      <c r="F197" s="5">
        <f t="shared" si="63"/>
        <v>1</v>
      </c>
      <c r="G197" s="5">
        <f t="shared" si="64"/>
        <v>1</v>
      </c>
    </row>
    <row r="198" spans="3:7" x14ac:dyDescent="0.2">
      <c r="C198" s="5">
        <v>2047</v>
      </c>
      <c r="D198" s="5">
        <f t="shared" si="61"/>
        <v>0</v>
      </c>
      <c r="E198" s="5">
        <f t="shared" si="62"/>
        <v>0</v>
      </c>
      <c r="F198" s="5">
        <f t="shared" si="63"/>
        <v>1</v>
      </c>
      <c r="G198" s="5">
        <f t="shared" si="64"/>
        <v>1</v>
      </c>
    </row>
    <row r="199" spans="3:7" x14ac:dyDescent="0.2">
      <c r="C199" s="5">
        <v>2048</v>
      </c>
      <c r="D199" s="5">
        <f t="shared" si="61"/>
        <v>0</v>
      </c>
      <c r="E199" s="5">
        <f t="shared" si="62"/>
        <v>0</v>
      </c>
      <c r="F199" s="5">
        <f t="shared" si="63"/>
        <v>1</v>
      </c>
      <c r="G199" s="5">
        <f t="shared" si="64"/>
        <v>2</v>
      </c>
    </row>
    <row r="200" spans="3:7" x14ac:dyDescent="0.2">
      <c r="C200" s="5">
        <v>2049</v>
      </c>
      <c r="D200" s="5">
        <f t="shared" si="61"/>
        <v>0</v>
      </c>
      <c r="E200" s="5">
        <f t="shared" si="62"/>
        <v>0</v>
      </c>
      <c r="F200" s="5">
        <f t="shared" si="63"/>
        <v>1</v>
      </c>
      <c r="G200" s="5">
        <f t="shared" si="64"/>
        <v>2</v>
      </c>
    </row>
    <row r="201" spans="3:7" x14ac:dyDescent="0.2">
      <c r="C201" s="5">
        <v>2050</v>
      </c>
      <c r="D201" s="5">
        <f t="shared" si="61"/>
        <v>0</v>
      </c>
      <c r="E201" s="5">
        <f t="shared" si="62"/>
        <v>0</v>
      </c>
      <c r="F201" s="5">
        <f t="shared" si="63"/>
        <v>1</v>
      </c>
      <c r="G201" s="5">
        <f t="shared" si="64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Cover</vt:lpstr>
      <vt:lpstr>Summary Dashboard</vt:lpstr>
      <vt:lpstr>Parameters</vt:lpstr>
      <vt:lpstr>Capex Build</vt:lpstr>
      <vt:lpstr>Model 1 - Calibration</vt:lpstr>
      <vt:lpstr>Model 1 - Inv &amp; GDP Paths</vt:lpstr>
      <vt:lpstr>Model 2 - Riskfree and ERP</vt:lpstr>
      <vt:lpstr>Scenario Calculations</vt:lpstr>
      <vt:lpstr>_z1</vt:lpstr>
      <vt:lpstr>alpha</vt:lpstr>
      <vt:lpstr>beta_ap</vt:lpstr>
      <vt:lpstr>delta_a</vt:lpstr>
      <vt:lpstr>delta_n</vt:lpstr>
      <vt:lpstr>exp_xi</vt:lpstr>
      <vt:lpstr>GDP_0</vt:lpstr>
      <vt:lpstr>GDP0</vt:lpstr>
      <vt:lpstr>I_bar</vt:lpstr>
      <vt:lpstr>I_pre</vt:lpstr>
      <vt:lpstr>I_total_pre</vt:lpstr>
      <vt:lpstr>K0</vt:lpstr>
      <vt:lpstr>Kn0</vt:lpstr>
      <vt:lpstr>mu_c</vt:lpstr>
      <vt:lpstr>p_d</vt:lpstr>
      <vt:lpstr>p_max</vt:lpstr>
      <vt:lpstr>p_star</vt:lpstr>
      <vt:lpstr>r_a</vt:lpstr>
      <vt:lpstr>r_n</vt:lpstr>
      <vt:lpstr>rho</vt:lpstr>
      <vt:lpstr>sigma_c</vt:lpstr>
      <vt:lpstr>theta_a</vt:lpstr>
      <vt:lpstr>xi</vt:lpstr>
      <vt:lpstr>xi_d</vt:lpstr>
      <vt:lpstr>Ya0</vt:lpstr>
      <vt:lpstr>Ya0_share</vt:lpstr>
      <vt:lpstr>Yn0</vt:lpstr>
      <vt:lpstr>z_1</vt:lpstr>
      <vt:lpstr>z0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Ma, Frank</cp:lastModifiedBy>
  <cp:revision>8</cp:revision>
  <dcterms:created xsi:type="dcterms:W3CDTF">2026-05-20T02:53:32Z</dcterms:created>
  <dcterms:modified xsi:type="dcterms:W3CDTF">2026-10-05T13:17:26Z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{54496FA5-9C2C-499C-AAE2-CCFD7F9D6BC7}</vt:lpwstr>
  </property>
</Properties>
</file>