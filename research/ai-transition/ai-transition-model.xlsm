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anghema/dev/rare-ai-growth/"/>
    </mc:Choice>
  </mc:AlternateContent>
  <xr:revisionPtr revIDLastSave="0" documentId="13_ncr:1_{4F549816-BED4-E940-8534-C0D81D820100}" xr6:coauthVersionLast="47" xr6:coauthVersionMax="47" xr10:uidLastSave="{00000000-0000-0000-0000-000000000000}"/>
  <bookViews>
    <workbookView xWindow="0" yWindow="700" windowWidth="27040" windowHeight="16860" tabRatio="500" xr2:uid="{00000000-000D-0000-FFFF-FFFF00000000}"/>
  </bookViews>
  <sheets>
    <sheet name="Cover" sheetId="1" r:id="rId1"/>
    <sheet name="Summary Dashboard" sheetId="9" r:id="rId2"/>
    <sheet name="Parameters" sheetId="2" r:id="rId3"/>
    <sheet name="Capex Build" sheetId="3" r:id="rId4"/>
    <sheet name="Capital Schedule" sheetId="14" r:id="rId5"/>
    <sheet name="Model 1 - Calibration" sheetId="4" r:id="rId6"/>
    <sheet name="Model 1 - Inv &amp; GDP Paths" sheetId="5" r:id="rId7"/>
    <sheet name="Model 2 - Riskfree and ERP" sheetId="8" r:id="rId8"/>
    <sheet name="Scenario Calculations" sheetId="12" r:id="rId9"/>
  </sheets>
  <definedNames>
    <definedName name="_xlnm._FilterDatabase" localSheetId="2" hidden="1">Parameters!$C$7:$E$17</definedName>
    <definedName name="_z1">Parameters!$D$29</definedName>
    <definedName name="alpha">Parameters!$D$8</definedName>
    <definedName name="cost_per_GW">Parameters!$D$17</definedName>
    <definedName name="delta_a">Parameters!$D$9</definedName>
    <definedName name="delta_n">Parameters!$D$10</definedName>
    <definedName name="exp_xi">Parameters!$D$26</definedName>
    <definedName name="GDP_0">Parameters!$D$32</definedName>
    <definedName name="gdp_2022">Parameters!$D$16</definedName>
    <definedName name="I_bar">Parameters!$D$24</definedName>
    <definedName name="I_pre">Parameters!$D$23</definedName>
    <definedName name="I_total_pre">Parameters!$D$15</definedName>
    <definedName name="K0">Parameters!$D$25</definedName>
    <definedName name="Kn0">Parameters!$D$33</definedName>
    <definedName name="mu_c">Parameters!$D$43</definedName>
    <definedName name="p_d">Parameters!$D$40</definedName>
    <definedName name="p_max">Parameters!$D$13</definedName>
    <definedName name="p_star">Parameters!$D$34</definedName>
    <definedName name="p_star_bound">Parameters!$D$50</definedName>
    <definedName name="r_a">Parameters!$D$11</definedName>
    <definedName name="r_n">Parameters!$D$12</definedName>
    <definedName name="rho">Parameters!$D$42</definedName>
    <definedName name="sigma_c">Parameters!$D$44</definedName>
    <definedName name="theta_a">Parameters!$D$14</definedName>
    <definedName name="xi">Parameters!$D$27</definedName>
    <definedName name="xi_d">Parameters!$D$41</definedName>
    <definedName name="Ya0">Parameters!$D$30</definedName>
    <definedName name="Ya0_share">Parameters!$D$35</definedName>
    <definedName name="Yn0">Parameters!$D$31</definedName>
    <definedName name="z0">Parameters!$D$28</definedName>
  </definedNames>
  <calcPr calcId="191029" iterateCount="1000" iterateDelta="1E-1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01" i="12" l="1"/>
  <c r="F201" i="12"/>
  <c r="E201" i="12"/>
  <c r="D201" i="12"/>
  <c r="G200" i="12"/>
  <c r="F200" i="12"/>
  <c r="E200" i="12"/>
  <c r="D200" i="12"/>
  <c r="G199" i="12"/>
  <c r="F199" i="12"/>
  <c r="E199" i="12"/>
  <c r="D199" i="12"/>
  <c r="G198" i="12"/>
  <c r="F198" i="12"/>
  <c r="E198" i="12"/>
  <c r="D198" i="12"/>
  <c r="G197" i="12"/>
  <c r="F197" i="12"/>
  <c r="E197" i="12"/>
  <c r="D197" i="12"/>
  <c r="G196" i="12"/>
  <c r="F196" i="12"/>
  <c r="E196" i="12"/>
  <c r="D196" i="12"/>
  <c r="G195" i="12"/>
  <c r="F195" i="12"/>
  <c r="E195" i="12"/>
  <c r="D195" i="12"/>
  <c r="G194" i="12"/>
  <c r="F194" i="12"/>
  <c r="E194" i="12"/>
  <c r="D194" i="12"/>
  <c r="G193" i="12"/>
  <c r="F193" i="12"/>
  <c r="E193" i="12"/>
  <c r="D193" i="12"/>
  <c r="G192" i="12"/>
  <c r="F192" i="12"/>
  <c r="E192" i="12"/>
  <c r="D192" i="12"/>
  <c r="G191" i="12"/>
  <c r="F191" i="12"/>
  <c r="E191" i="12"/>
  <c r="D191" i="12"/>
  <c r="G190" i="12"/>
  <c r="F190" i="12"/>
  <c r="E190" i="12"/>
  <c r="D190" i="12"/>
  <c r="G189" i="12"/>
  <c r="F189" i="12"/>
  <c r="E189" i="12"/>
  <c r="D189" i="12"/>
  <c r="G188" i="12"/>
  <c r="F188" i="12"/>
  <c r="E188" i="12"/>
  <c r="D188" i="12"/>
  <c r="G187" i="12"/>
  <c r="F187" i="12"/>
  <c r="E187" i="12"/>
  <c r="D187" i="12"/>
  <c r="G186" i="12"/>
  <c r="F186" i="12"/>
  <c r="E186" i="12"/>
  <c r="D186" i="12"/>
  <c r="G185" i="12"/>
  <c r="F185" i="12"/>
  <c r="E185" i="12"/>
  <c r="D185" i="12"/>
  <c r="G184" i="12"/>
  <c r="F184" i="12"/>
  <c r="E184" i="12"/>
  <c r="D184" i="12"/>
  <c r="G183" i="12"/>
  <c r="F183" i="12"/>
  <c r="E183" i="12"/>
  <c r="D183" i="12"/>
  <c r="G182" i="12"/>
  <c r="F182" i="12"/>
  <c r="E182" i="12"/>
  <c r="D182" i="12"/>
  <c r="G181" i="12"/>
  <c r="F181" i="12"/>
  <c r="E181" i="12"/>
  <c r="D181" i="12"/>
  <c r="D160" i="12"/>
  <c r="D159" i="12"/>
  <c r="L159" i="12" s="1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E130" i="12"/>
  <c r="E129" i="12"/>
  <c r="E128" i="12"/>
  <c r="E127" i="12"/>
  <c r="E126" i="12"/>
  <c r="E125" i="12"/>
  <c r="E124" i="12"/>
  <c r="E123" i="12"/>
  <c r="E122" i="12"/>
  <c r="E121" i="12"/>
  <c r="E120" i="12"/>
  <c r="E114" i="12"/>
  <c r="E113" i="12"/>
  <c r="E112" i="12"/>
  <c r="E111" i="12"/>
  <c r="E110" i="12"/>
  <c r="E109" i="12"/>
  <c r="E108" i="12"/>
  <c r="E107" i="12"/>
  <c r="E106" i="12"/>
  <c r="E105" i="12"/>
  <c r="E104" i="12"/>
  <c r="E98" i="12"/>
  <c r="E97" i="12"/>
  <c r="E96" i="12"/>
  <c r="E95" i="12"/>
  <c r="E94" i="12"/>
  <c r="E93" i="12"/>
  <c r="E92" i="12"/>
  <c r="E91" i="12"/>
  <c r="E90" i="12"/>
  <c r="E89" i="12"/>
  <c r="E88" i="12"/>
  <c r="E82" i="12"/>
  <c r="E81" i="12"/>
  <c r="E80" i="12"/>
  <c r="E79" i="12"/>
  <c r="E78" i="12"/>
  <c r="E77" i="12"/>
  <c r="E76" i="12"/>
  <c r="E75" i="12"/>
  <c r="E74" i="12"/>
  <c r="E73" i="12"/>
  <c r="E72" i="12"/>
  <c r="E66" i="12"/>
  <c r="E65" i="12"/>
  <c r="E64" i="12"/>
  <c r="E63" i="12"/>
  <c r="E62" i="12"/>
  <c r="E61" i="12"/>
  <c r="E60" i="12"/>
  <c r="E59" i="12"/>
  <c r="E58" i="12"/>
  <c r="E57" i="12"/>
  <c r="E56" i="12"/>
  <c r="E50" i="12"/>
  <c r="E49" i="12"/>
  <c r="E48" i="12"/>
  <c r="E47" i="12"/>
  <c r="E46" i="12"/>
  <c r="E45" i="12"/>
  <c r="E44" i="12"/>
  <c r="E43" i="12"/>
  <c r="E42" i="12"/>
  <c r="E41" i="12"/>
  <c r="E40" i="12"/>
  <c r="E34" i="12"/>
  <c r="E30" i="5" s="1"/>
  <c r="E33" i="12"/>
  <c r="E29" i="5" s="1"/>
  <c r="E32" i="12"/>
  <c r="E28" i="5" s="1"/>
  <c r="E31" i="12"/>
  <c r="E27" i="5" s="1"/>
  <c r="E30" i="12"/>
  <c r="E26" i="5" s="1"/>
  <c r="E29" i="12"/>
  <c r="E25" i="5" s="1"/>
  <c r="E28" i="12"/>
  <c r="E24" i="5" s="1"/>
  <c r="E27" i="12"/>
  <c r="E23" i="5" s="1"/>
  <c r="E26" i="12"/>
  <c r="E22" i="5" s="1"/>
  <c r="E25" i="12"/>
  <c r="E21" i="5" s="1"/>
  <c r="E24" i="12"/>
  <c r="E20" i="5" s="1"/>
  <c r="E18" i="12"/>
  <c r="E17" i="12"/>
  <c r="E16" i="12"/>
  <c r="E15" i="12"/>
  <c r="E14" i="12"/>
  <c r="E13" i="12"/>
  <c r="E12" i="12"/>
  <c r="E11" i="12"/>
  <c r="E10" i="12"/>
  <c r="E9" i="12"/>
  <c r="E8" i="12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D18" i="8"/>
  <c r="F12" i="8"/>
  <c r="F11" i="8"/>
  <c r="F10" i="8"/>
  <c r="D21" i="8" s="1"/>
  <c r="F9" i="8"/>
  <c r="L460" i="5"/>
  <c r="K460" i="5"/>
  <c r="J460" i="5"/>
  <c r="I460" i="5"/>
  <c r="H460" i="5"/>
  <c r="G460" i="5"/>
  <c r="F460" i="5"/>
  <c r="E460" i="5"/>
  <c r="D460" i="5"/>
  <c r="C460" i="5"/>
  <c r="L459" i="5"/>
  <c r="K459" i="5"/>
  <c r="J459" i="5"/>
  <c r="I459" i="5"/>
  <c r="H459" i="5"/>
  <c r="G459" i="5"/>
  <c r="F459" i="5"/>
  <c r="E459" i="5"/>
  <c r="D459" i="5"/>
  <c r="C459" i="5"/>
  <c r="L458" i="5"/>
  <c r="K458" i="5"/>
  <c r="J458" i="5"/>
  <c r="I458" i="5"/>
  <c r="H458" i="5"/>
  <c r="G458" i="5"/>
  <c r="F458" i="5"/>
  <c r="E458" i="5"/>
  <c r="D458" i="5"/>
  <c r="C458" i="5"/>
  <c r="L457" i="5"/>
  <c r="K457" i="5"/>
  <c r="J457" i="5"/>
  <c r="I457" i="5"/>
  <c r="H457" i="5"/>
  <c r="G457" i="5"/>
  <c r="F457" i="5"/>
  <c r="E457" i="5"/>
  <c r="D457" i="5"/>
  <c r="C457" i="5"/>
  <c r="L456" i="5"/>
  <c r="K456" i="5"/>
  <c r="J456" i="5"/>
  <c r="I456" i="5"/>
  <c r="H456" i="5"/>
  <c r="G456" i="5"/>
  <c r="F456" i="5"/>
  <c r="E456" i="5"/>
  <c r="D456" i="5"/>
  <c r="C456" i="5"/>
  <c r="L455" i="5"/>
  <c r="K455" i="5"/>
  <c r="J455" i="5"/>
  <c r="I455" i="5"/>
  <c r="H455" i="5"/>
  <c r="G455" i="5"/>
  <c r="F455" i="5"/>
  <c r="E455" i="5"/>
  <c r="D455" i="5"/>
  <c r="C455" i="5"/>
  <c r="L454" i="5"/>
  <c r="K454" i="5"/>
  <c r="J454" i="5"/>
  <c r="I454" i="5"/>
  <c r="H454" i="5"/>
  <c r="G454" i="5"/>
  <c r="F454" i="5"/>
  <c r="E454" i="5"/>
  <c r="D454" i="5"/>
  <c r="C454" i="5"/>
  <c r="L453" i="5"/>
  <c r="K453" i="5"/>
  <c r="J453" i="5"/>
  <c r="I453" i="5"/>
  <c r="H453" i="5"/>
  <c r="G453" i="5"/>
  <c r="F453" i="5"/>
  <c r="E453" i="5"/>
  <c r="D453" i="5"/>
  <c r="C453" i="5"/>
  <c r="L452" i="5"/>
  <c r="K452" i="5"/>
  <c r="J452" i="5"/>
  <c r="I452" i="5"/>
  <c r="H452" i="5"/>
  <c r="G452" i="5"/>
  <c r="F452" i="5"/>
  <c r="E452" i="5"/>
  <c r="D452" i="5"/>
  <c r="C452" i="5"/>
  <c r="L451" i="5"/>
  <c r="K451" i="5"/>
  <c r="J451" i="5"/>
  <c r="I451" i="5"/>
  <c r="H451" i="5"/>
  <c r="G451" i="5"/>
  <c r="F451" i="5"/>
  <c r="E451" i="5"/>
  <c r="D451" i="5"/>
  <c r="C451" i="5"/>
  <c r="L450" i="5"/>
  <c r="K450" i="5"/>
  <c r="J450" i="5"/>
  <c r="I450" i="5"/>
  <c r="H450" i="5"/>
  <c r="G450" i="5"/>
  <c r="F450" i="5"/>
  <c r="E450" i="5"/>
  <c r="D450" i="5"/>
  <c r="C450" i="5"/>
  <c r="L449" i="5"/>
  <c r="K449" i="5"/>
  <c r="J449" i="5"/>
  <c r="I449" i="5"/>
  <c r="H449" i="5"/>
  <c r="G449" i="5"/>
  <c r="F449" i="5"/>
  <c r="E449" i="5"/>
  <c r="D449" i="5"/>
  <c r="C449" i="5"/>
  <c r="L448" i="5"/>
  <c r="K448" i="5"/>
  <c r="J448" i="5"/>
  <c r="I448" i="5"/>
  <c r="H448" i="5"/>
  <c r="G448" i="5"/>
  <c r="F448" i="5"/>
  <c r="E448" i="5"/>
  <c r="D448" i="5"/>
  <c r="C448" i="5"/>
  <c r="L447" i="5"/>
  <c r="K447" i="5"/>
  <c r="J447" i="5"/>
  <c r="I447" i="5"/>
  <c r="H447" i="5"/>
  <c r="G447" i="5"/>
  <c r="F447" i="5"/>
  <c r="E447" i="5"/>
  <c r="D447" i="5"/>
  <c r="C447" i="5"/>
  <c r="L446" i="5"/>
  <c r="K446" i="5"/>
  <c r="J446" i="5"/>
  <c r="I446" i="5"/>
  <c r="H446" i="5"/>
  <c r="G446" i="5"/>
  <c r="F446" i="5"/>
  <c r="E446" i="5"/>
  <c r="D446" i="5"/>
  <c r="C446" i="5"/>
  <c r="L445" i="5"/>
  <c r="K445" i="5"/>
  <c r="J445" i="5"/>
  <c r="I445" i="5"/>
  <c r="H445" i="5"/>
  <c r="G445" i="5"/>
  <c r="F445" i="5"/>
  <c r="E445" i="5"/>
  <c r="D445" i="5"/>
  <c r="C445" i="5"/>
  <c r="L444" i="5"/>
  <c r="K444" i="5"/>
  <c r="J444" i="5"/>
  <c r="I444" i="5"/>
  <c r="H444" i="5"/>
  <c r="G444" i="5"/>
  <c r="F444" i="5"/>
  <c r="E444" i="5"/>
  <c r="D444" i="5"/>
  <c r="C444" i="5"/>
  <c r="L443" i="5"/>
  <c r="K443" i="5"/>
  <c r="J443" i="5"/>
  <c r="I443" i="5"/>
  <c r="H443" i="5"/>
  <c r="G443" i="5"/>
  <c r="F443" i="5"/>
  <c r="E443" i="5"/>
  <c r="D443" i="5"/>
  <c r="C443" i="5"/>
  <c r="L442" i="5"/>
  <c r="K442" i="5"/>
  <c r="J442" i="5"/>
  <c r="I442" i="5"/>
  <c r="H442" i="5"/>
  <c r="G442" i="5"/>
  <c r="F442" i="5"/>
  <c r="E442" i="5"/>
  <c r="D442" i="5"/>
  <c r="C442" i="5"/>
  <c r="L441" i="5"/>
  <c r="K441" i="5"/>
  <c r="J441" i="5"/>
  <c r="I441" i="5"/>
  <c r="H441" i="5"/>
  <c r="G441" i="5"/>
  <c r="F441" i="5"/>
  <c r="E441" i="5"/>
  <c r="D441" i="5"/>
  <c r="C441" i="5"/>
  <c r="L440" i="5"/>
  <c r="K440" i="5"/>
  <c r="J440" i="5"/>
  <c r="I440" i="5"/>
  <c r="H440" i="5"/>
  <c r="G440" i="5"/>
  <c r="F440" i="5"/>
  <c r="E440" i="5"/>
  <c r="D440" i="5"/>
  <c r="C440" i="5"/>
  <c r="K439" i="5"/>
  <c r="H439" i="5"/>
  <c r="E439" i="5"/>
  <c r="C439" i="5"/>
  <c r="K438" i="5"/>
  <c r="H438" i="5"/>
  <c r="E438" i="5"/>
  <c r="C438" i="5"/>
  <c r="K437" i="5"/>
  <c r="H437" i="5"/>
  <c r="E437" i="5"/>
  <c r="C437" i="5"/>
  <c r="K436" i="5"/>
  <c r="H436" i="5"/>
  <c r="E436" i="5"/>
  <c r="C436" i="5"/>
  <c r="K435" i="5"/>
  <c r="H435" i="5"/>
  <c r="E435" i="5"/>
  <c r="C435" i="5"/>
  <c r="K434" i="5"/>
  <c r="H434" i="5"/>
  <c r="E434" i="5"/>
  <c r="C434" i="5"/>
  <c r="K433" i="5"/>
  <c r="H433" i="5"/>
  <c r="E433" i="5"/>
  <c r="C433" i="5"/>
  <c r="F276" i="5"/>
  <c r="E276" i="5"/>
  <c r="D276" i="5"/>
  <c r="K247" i="5"/>
  <c r="H247" i="5"/>
  <c r="E247" i="5"/>
  <c r="K246" i="5"/>
  <c r="H246" i="5"/>
  <c r="E246" i="5"/>
  <c r="K245" i="5"/>
  <c r="H245" i="5"/>
  <c r="E245" i="5"/>
  <c r="K244" i="5"/>
  <c r="H244" i="5"/>
  <c r="E244" i="5"/>
  <c r="K243" i="5"/>
  <c r="H243" i="5"/>
  <c r="E243" i="5"/>
  <c r="K242" i="5"/>
  <c r="H242" i="5"/>
  <c r="E242" i="5"/>
  <c r="K241" i="5"/>
  <c r="H241" i="5"/>
  <c r="E241" i="5"/>
  <c r="D80" i="5"/>
  <c r="G15" i="5"/>
  <c r="F15" i="5"/>
  <c r="E15" i="5"/>
  <c r="D15" i="5"/>
  <c r="G14" i="5"/>
  <c r="F14" i="5"/>
  <c r="E14" i="5"/>
  <c r="D14" i="5"/>
  <c r="D10" i="5"/>
  <c r="U70" i="4"/>
  <c r="T70" i="4"/>
  <c r="S70" i="4"/>
  <c r="R70" i="4"/>
  <c r="Q70" i="4"/>
  <c r="P70" i="4"/>
  <c r="O70" i="4"/>
  <c r="U69" i="4"/>
  <c r="T69" i="4"/>
  <c r="S69" i="4"/>
  <c r="R69" i="4"/>
  <c r="Q69" i="4"/>
  <c r="P69" i="4"/>
  <c r="O69" i="4"/>
  <c r="U68" i="4"/>
  <c r="T68" i="4"/>
  <c r="S68" i="4"/>
  <c r="R68" i="4"/>
  <c r="Q68" i="4"/>
  <c r="P68" i="4"/>
  <c r="O68" i="4"/>
  <c r="U67" i="4"/>
  <c r="T67" i="4"/>
  <c r="S67" i="4"/>
  <c r="R67" i="4"/>
  <c r="Q67" i="4"/>
  <c r="P67" i="4"/>
  <c r="O67" i="4"/>
  <c r="U66" i="4"/>
  <c r="T66" i="4"/>
  <c r="S66" i="4"/>
  <c r="R66" i="4"/>
  <c r="Q66" i="4"/>
  <c r="P66" i="4"/>
  <c r="O66" i="4"/>
  <c r="U65" i="4"/>
  <c r="T65" i="4"/>
  <c r="S65" i="4"/>
  <c r="R65" i="4"/>
  <c r="Q65" i="4"/>
  <c r="P65" i="4"/>
  <c r="O65" i="4"/>
  <c r="N64" i="4"/>
  <c r="U59" i="4"/>
  <c r="T59" i="4"/>
  <c r="S59" i="4"/>
  <c r="R59" i="4"/>
  <c r="Q59" i="4"/>
  <c r="P59" i="4"/>
  <c r="O59" i="4"/>
  <c r="U58" i="4"/>
  <c r="T58" i="4"/>
  <c r="S58" i="4"/>
  <c r="R58" i="4"/>
  <c r="Q58" i="4"/>
  <c r="P58" i="4"/>
  <c r="O58" i="4"/>
  <c r="U57" i="4"/>
  <c r="T57" i="4"/>
  <c r="S57" i="4"/>
  <c r="R57" i="4"/>
  <c r="Q57" i="4"/>
  <c r="P57" i="4"/>
  <c r="O57" i="4"/>
  <c r="U56" i="4"/>
  <c r="T56" i="4"/>
  <c r="S56" i="4"/>
  <c r="R56" i="4"/>
  <c r="Q56" i="4"/>
  <c r="P56" i="4"/>
  <c r="O56" i="4"/>
  <c r="U55" i="4"/>
  <c r="T55" i="4"/>
  <c r="S55" i="4"/>
  <c r="R55" i="4"/>
  <c r="Q55" i="4"/>
  <c r="P55" i="4"/>
  <c r="O55" i="4"/>
  <c r="U54" i="4"/>
  <c r="T54" i="4"/>
  <c r="S54" i="4"/>
  <c r="R54" i="4"/>
  <c r="Q54" i="4"/>
  <c r="P54" i="4"/>
  <c r="O54" i="4"/>
  <c r="N53" i="4"/>
  <c r="D32" i="4"/>
  <c r="D31" i="4"/>
  <c r="D30" i="4"/>
  <c r="D29" i="4"/>
  <c r="D28" i="4"/>
  <c r="D10" i="4"/>
  <c r="H38" i="3"/>
  <c r="G38" i="3"/>
  <c r="F38" i="3"/>
  <c r="E38" i="3"/>
  <c r="D38" i="3"/>
  <c r="H19" i="3"/>
  <c r="G19" i="3"/>
  <c r="F19" i="3"/>
  <c r="E19" i="3"/>
  <c r="D19" i="3"/>
  <c r="H13" i="3"/>
  <c r="G13" i="3"/>
  <c r="F13" i="3"/>
  <c r="E13" i="3"/>
  <c r="D13" i="3"/>
  <c r="E20" i="3" l="1"/>
  <c r="H20" i="3"/>
  <c r="G20" i="3"/>
  <c r="F20" i="3"/>
  <c r="F29" i="4"/>
  <c r="F31" i="4"/>
  <c r="F28" i="4"/>
  <c r="F32" i="4"/>
  <c r="F30" i="4"/>
  <c r="M153" i="12"/>
  <c r="G153" i="12"/>
  <c r="W153" i="12"/>
  <c r="V153" i="12"/>
  <c r="U153" i="12"/>
  <c r="T153" i="12"/>
  <c r="S153" i="12"/>
  <c r="R153" i="12"/>
  <c r="Q153" i="12"/>
  <c r="P153" i="12"/>
  <c r="O153" i="12"/>
  <c r="N153" i="12"/>
  <c r="Y153" i="12"/>
  <c r="L153" i="12"/>
  <c r="K153" i="12"/>
  <c r="J153" i="12"/>
  <c r="I153" i="12"/>
  <c r="H153" i="12"/>
  <c r="X153" i="12"/>
  <c r="H22" i="4"/>
  <c r="F22" i="4"/>
  <c r="E22" i="4"/>
  <c r="G22" i="4"/>
  <c r="I22" i="4"/>
  <c r="D20" i="3"/>
  <c r="D34" i="4"/>
  <c r="F34" i="4" s="1"/>
  <c r="X160" i="12"/>
  <c r="N160" i="12"/>
  <c r="Q160" i="12"/>
  <c r="O160" i="12"/>
  <c r="L160" i="12"/>
  <c r="I160" i="12"/>
  <c r="E160" i="12"/>
  <c r="V160" i="12"/>
  <c r="F160" i="12"/>
  <c r="G160" i="12"/>
  <c r="H160" i="12"/>
  <c r="J160" i="12"/>
  <c r="K160" i="12"/>
  <c r="M160" i="12"/>
  <c r="Y160" i="12"/>
  <c r="W160" i="12"/>
  <c r="U160" i="12"/>
  <c r="S160" i="12"/>
  <c r="R160" i="12"/>
  <c r="P160" i="12"/>
  <c r="T160" i="12"/>
  <c r="M159" i="12"/>
  <c r="O159" i="12"/>
  <c r="Q159" i="12"/>
  <c r="S159" i="12"/>
  <c r="U159" i="12"/>
  <c r="W159" i="12"/>
  <c r="X159" i="12"/>
  <c r="V159" i="12"/>
  <c r="T159" i="12"/>
  <c r="R159" i="12"/>
  <c r="P159" i="12"/>
  <c r="N159" i="12"/>
  <c r="K159" i="12"/>
  <c r="J159" i="12"/>
  <c r="I159" i="12"/>
  <c r="H159" i="12"/>
  <c r="G159" i="12"/>
  <c r="F159" i="12"/>
  <c r="E159" i="12"/>
  <c r="Y159" i="12"/>
  <c r="K158" i="12"/>
  <c r="L158" i="12"/>
  <c r="M158" i="12"/>
  <c r="N158" i="12"/>
  <c r="O158" i="12"/>
  <c r="P158" i="12"/>
  <c r="Q158" i="12"/>
  <c r="R158" i="12"/>
  <c r="S158" i="12"/>
  <c r="T158" i="12"/>
  <c r="U158" i="12"/>
  <c r="V158" i="12"/>
  <c r="W158" i="12"/>
  <c r="X158" i="12"/>
  <c r="Y158" i="12"/>
  <c r="I158" i="12"/>
  <c r="H158" i="12"/>
  <c r="G158" i="12"/>
  <c r="F158" i="12"/>
  <c r="E158" i="12"/>
  <c r="J158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K157" i="12"/>
  <c r="J157" i="12"/>
  <c r="I157" i="12"/>
  <c r="H157" i="12"/>
  <c r="G157" i="12"/>
  <c r="F157" i="12"/>
  <c r="E157" i="12"/>
  <c r="L156" i="12"/>
  <c r="G156" i="12"/>
  <c r="I156" i="12"/>
  <c r="N156" i="12"/>
  <c r="Q156" i="12"/>
  <c r="S156" i="12"/>
  <c r="T156" i="12"/>
  <c r="U156" i="12"/>
  <c r="W156" i="12"/>
  <c r="X156" i="12"/>
  <c r="Y156" i="12"/>
  <c r="V156" i="12"/>
  <c r="R156" i="12"/>
  <c r="P156" i="12"/>
  <c r="O156" i="12"/>
  <c r="M156" i="12"/>
  <c r="E156" i="12"/>
  <c r="F156" i="12"/>
  <c r="H156" i="12"/>
  <c r="J156" i="12"/>
  <c r="K156" i="12"/>
  <c r="L155" i="12"/>
  <c r="Y155" i="12"/>
  <c r="W155" i="12"/>
  <c r="V155" i="12"/>
  <c r="U155" i="12"/>
  <c r="T155" i="12"/>
  <c r="S155" i="12"/>
  <c r="Q155" i="12"/>
  <c r="P155" i="12"/>
  <c r="N155" i="12"/>
  <c r="M155" i="12"/>
  <c r="K155" i="12"/>
  <c r="I155" i="12"/>
  <c r="H155" i="12"/>
  <c r="F155" i="12"/>
  <c r="E155" i="12"/>
  <c r="X155" i="12"/>
  <c r="R155" i="12"/>
  <c r="G155" i="12"/>
  <c r="J155" i="12"/>
  <c r="O155" i="12"/>
  <c r="E154" i="12"/>
  <c r="K154" i="12"/>
  <c r="L154" i="12"/>
  <c r="H154" i="12"/>
  <c r="N154" i="12"/>
  <c r="O154" i="12"/>
  <c r="Q154" i="12"/>
  <c r="S154" i="12"/>
  <c r="U154" i="12"/>
  <c r="W154" i="12"/>
  <c r="Y154" i="12"/>
  <c r="X154" i="12"/>
  <c r="V154" i="12"/>
  <c r="T154" i="12"/>
  <c r="R154" i="12"/>
  <c r="P154" i="12"/>
  <c r="J154" i="12"/>
  <c r="F154" i="12"/>
  <c r="G154" i="12"/>
  <c r="I154" i="12"/>
  <c r="M154" i="12"/>
  <c r="F153" i="12"/>
  <c r="E153" i="12"/>
  <c r="E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K152" i="12"/>
  <c r="J152" i="12"/>
  <c r="I152" i="12"/>
  <c r="H152" i="12"/>
  <c r="G152" i="12"/>
  <c r="F152" i="12"/>
  <c r="M151" i="12"/>
  <c r="X151" i="12"/>
  <c r="E151" i="12"/>
  <c r="F151" i="12"/>
  <c r="G151" i="12"/>
  <c r="H151" i="12"/>
  <c r="I151" i="12"/>
  <c r="J151" i="12"/>
  <c r="K151" i="12"/>
  <c r="L151" i="12"/>
  <c r="Y151" i="12"/>
  <c r="N151" i="12"/>
  <c r="O151" i="12"/>
  <c r="P151" i="12"/>
  <c r="Q151" i="12"/>
  <c r="R151" i="12"/>
  <c r="S151" i="12"/>
  <c r="T151" i="12"/>
  <c r="U151" i="12"/>
  <c r="V151" i="12"/>
  <c r="W151" i="12"/>
  <c r="Y150" i="12"/>
  <c r="E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U149" i="12"/>
  <c r="Y149" i="12"/>
  <c r="X149" i="12"/>
  <c r="T149" i="12"/>
  <c r="S149" i="12"/>
  <c r="W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F149" i="12"/>
  <c r="E149" i="12"/>
  <c r="V149" i="12"/>
  <c r="X148" i="12"/>
  <c r="W148" i="12"/>
  <c r="U148" i="12"/>
  <c r="Y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F148" i="12"/>
  <c r="E148" i="12"/>
  <c r="V148" i="12"/>
  <c r="Y147" i="12"/>
  <c r="W147" i="12"/>
  <c r="V147" i="12"/>
  <c r="U147" i="12"/>
  <c r="T147" i="12"/>
  <c r="S147" i="12"/>
  <c r="R147" i="12"/>
  <c r="Q147" i="12"/>
  <c r="P147" i="12"/>
  <c r="O147" i="12"/>
  <c r="K147" i="12"/>
  <c r="J147" i="12"/>
  <c r="I147" i="12"/>
  <c r="H147" i="12"/>
  <c r="G147" i="12"/>
  <c r="F147" i="12"/>
  <c r="E147" i="12"/>
  <c r="M147" i="12"/>
  <c r="N147" i="12"/>
  <c r="L147" i="12"/>
  <c r="X147" i="12"/>
  <c r="J146" i="12"/>
  <c r="T146" i="12"/>
  <c r="S146" i="12"/>
  <c r="R146" i="12"/>
  <c r="Q146" i="12"/>
  <c r="P146" i="12"/>
  <c r="O146" i="12"/>
  <c r="N146" i="12"/>
  <c r="M146" i="12"/>
  <c r="L146" i="12"/>
  <c r="K146" i="12"/>
  <c r="U146" i="12"/>
  <c r="I146" i="12"/>
  <c r="H146" i="12"/>
  <c r="G146" i="12"/>
  <c r="F146" i="12"/>
  <c r="E146" i="12"/>
  <c r="Y146" i="12"/>
  <c r="X146" i="12"/>
  <c r="W146" i="12"/>
  <c r="V146" i="12"/>
  <c r="J145" i="12"/>
  <c r="T145" i="12"/>
  <c r="S145" i="12"/>
  <c r="R145" i="12"/>
  <c r="Q145" i="12"/>
  <c r="P145" i="12"/>
  <c r="O145" i="12"/>
  <c r="N145" i="12"/>
  <c r="M145" i="12"/>
  <c r="L145" i="12"/>
  <c r="K145" i="12"/>
  <c r="U145" i="12"/>
  <c r="I145" i="12"/>
  <c r="V145" i="12"/>
  <c r="H145" i="12"/>
  <c r="W145" i="12"/>
  <c r="G145" i="12"/>
  <c r="F145" i="12"/>
  <c r="E145" i="12"/>
  <c r="X145" i="12"/>
  <c r="Y145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Y144" i="12"/>
  <c r="J144" i="12"/>
  <c r="I144" i="12"/>
  <c r="H144" i="12"/>
  <c r="G144" i="12"/>
  <c r="F144" i="12"/>
  <c r="E144" i="12"/>
  <c r="P143" i="12"/>
  <c r="O143" i="12"/>
  <c r="H143" i="12"/>
  <c r="F143" i="12"/>
  <c r="E143" i="12"/>
  <c r="G143" i="12"/>
  <c r="I143" i="12"/>
  <c r="J143" i="12"/>
  <c r="K143" i="12"/>
  <c r="L143" i="12"/>
  <c r="M143" i="12"/>
  <c r="N143" i="12"/>
  <c r="Y143" i="12"/>
  <c r="X143" i="12"/>
  <c r="W143" i="12"/>
  <c r="V143" i="12"/>
  <c r="U143" i="12"/>
  <c r="T143" i="12"/>
  <c r="S143" i="12"/>
  <c r="R143" i="12"/>
  <c r="Q143" i="12"/>
  <c r="K142" i="12"/>
  <c r="T142" i="12"/>
  <c r="R142" i="12"/>
  <c r="P142" i="12"/>
  <c r="H142" i="12"/>
  <c r="L142" i="12"/>
  <c r="G142" i="12"/>
  <c r="F142" i="12"/>
  <c r="E142" i="12"/>
  <c r="Y142" i="12"/>
  <c r="X142" i="12"/>
  <c r="W142" i="12"/>
  <c r="V142" i="12"/>
  <c r="U142" i="12"/>
  <c r="J142" i="12"/>
  <c r="M142" i="12"/>
  <c r="N142" i="12"/>
  <c r="O142" i="12"/>
  <c r="Q142" i="12"/>
  <c r="S142" i="12"/>
  <c r="I142" i="12"/>
  <c r="T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U141" i="12"/>
  <c r="V141" i="12"/>
  <c r="W141" i="12"/>
  <c r="X141" i="12"/>
  <c r="Y141" i="12"/>
  <c r="S141" i="12"/>
  <c r="I140" i="12"/>
  <c r="W140" i="12"/>
  <c r="K140" i="12"/>
  <c r="L140" i="12"/>
  <c r="J140" i="12"/>
  <c r="E140" i="12"/>
  <c r="Y140" i="12"/>
  <c r="X140" i="12"/>
  <c r="U140" i="12"/>
  <c r="T140" i="12"/>
  <c r="S140" i="12"/>
  <c r="R140" i="12"/>
  <c r="Q140" i="12"/>
  <c r="P140" i="12"/>
  <c r="H140" i="12"/>
  <c r="O140" i="12"/>
  <c r="G140" i="12"/>
  <c r="N140" i="12"/>
  <c r="F140" i="12"/>
  <c r="V140" i="12"/>
  <c r="M140" i="12"/>
  <c r="H46" i="14"/>
  <c r="H16" i="14"/>
  <c r="H64" i="14"/>
  <c r="H28" i="14"/>
  <c r="H58" i="14"/>
  <c r="H10" i="14"/>
  <c r="H34" i="14"/>
  <c r="H52" i="14"/>
  <c r="H22" i="14"/>
  <c r="H40" i="14"/>
  <c r="G22" i="14"/>
  <c r="G16" i="14"/>
  <c r="G64" i="14"/>
  <c r="G28" i="14"/>
  <c r="G58" i="14"/>
  <c r="G10" i="14"/>
  <c r="G34" i="14"/>
  <c r="G52" i="14"/>
  <c r="G46" i="14"/>
  <c r="G40" i="14"/>
  <c r="F52" i="14"/>
  <c r="F34" i="14"/>
  <c r="F22" i="14"/>
  <c r="F28" i="14"/>
  <c r="F64" i="14"/>
  <c r="F10" i="14"/>
  <c r="F16" i="14"/>
  <c r="F46" i="14"/>
  <c r="F40" i="14"/>
  <c r="F58" i="14"/>
  <c r="E16" i="14"/>
  <c r="E22" i="14"/>
  <c r="E52" i="14"/>
  <c r="E40" i="14"/>
  <c r="E28" i="14"/>
  <c r="E64" i="14"/>
  <c r="E10" i="14"/>
  <c r="E46" i="14"/>
  <c r="E34" i="14"/>
  <c r="E58" i="14"/>
  <c r="D52" i="14"/>
  <c r="D22" i="14"/>
  <c r="D58" i="14"/>
  <c r="D14" i="14"/>
  <c r="D46" i="14"/>
  <c r="D56" i="14"/>
  <c r="D34" i="14"/>
  <c r="D32" i="14"/>
  <c r="D62" i="14"/>
  <c r="D64" i="14"/>
  <c r="D38" i="14"/>
  <c r="D44" i="14"/>
  <c r="D16" i="14"/>
  <c r="D40" i="14"/>
  <c r="D20" i="14"/>
  <c r="D28" i="14"/>
  <c r="D26" i="14"/>
  <c r="D10" i="14"/>
  <c r="D8" i="14"/>
  <c r="D50" i="14"/>
  <c r="E21" i="3" l="1"/>
  <c r="E27" i="3"/>
  <c r="H21" i="3"/>
  <c r="H27" i="3"/>
  <c r="G21" i="3"/>
  <c r="G27" i="3"/>
  <c r="F21" i="3"/>
  <c r="F27" i="3"/>
  <c r="D21" i="3"/>
  <c r="D27" i="3"/>
  <c r="H70" i="14"/>
  <c r="G70" i="14"/>
  <c r="F70" i="14"/>
  <c r="E70" i="14"/>
  <c r="D15" i="14"/>
  <c r="D17" i="14" s="1"/>
  <c r="E14" i="14" s="1"/>
  <c r="D57" i="14"/>
  <c r="D59" i="14" s="1"/>
  <c r="E56" i="14" s="1"/>
  <c r="D33" i="14"/>
  <c r="D35" i="14" s="1"/>
  <c r="E32" i="14" s="1"/>
  <c r="D63" i="14"/>
  <c r="D65" i="14" s="1"/>
  <c r="E62" i="14" s="1"/>
  <c r="D39" i="14"/>
  <c r="D41" i="14" s="1"/>
  <c r="E38" i="14" s="1"/>
  <c r="D45" i="14"/>
  <c r="D47" i="14" s="1"/>
  <c r="E44" i="14" s="1"/>
  <c r="D21" i="14"/>
  <c r="D23" i="14" s="1"/>
  <c r="E20" i="14" s="1"/>
  <c r="D27" i="14"/>
  <c r="D29" i="14" s="1"/>
  <c r="E26" i="14" s="1"/>
  <c r="D70" i="14"/>
  <c r="D9" i="14"/>
  <c r="D11" i="14" s="1"/>
  <c r="D68" i="14"/>
  <c r="D51" i="14"/>
  <c r="D53" i="14" s="1"/>
  <c r="E50" i="14" s="1"/>
  <c r="I44" i="12" l="1"/>
  <c r="F40" i="5" s="1"/>
  <c r="I28" i="12"/>
  <c r="I76" i="12"/>
  <c r="H40" i="5" s="1"/>
  <c r="I92" i="12"/>
  <c r="I40" i="5" s="1"/>
  <c r="I108" i="12"/>
  <c r="J40" i="5" s="1"/>
  <c r="I124" i="12"/>
  <c r="K40" i="5" s="1"/>
  <c r="I89" i="12"/>
  <c r="I37" i="5" s="1"/>
  <c r="I121" i="12"/>
  <c r="K37" i="5" s="1"/>
  <c r="E20" i="4"/>
  <c r="I105" i="12"/>
  <c r="J37" i="5" s="1"/>
  <c r="I73" i="12"/>
  <c r="H37" i="5" s="1"/>
  <c r="I57" i="12"/>
  <c r="G37" i="5" s="1"/>
  <c r="I41" i="12"/>
  <c r="F37" i="5" s="1"/>
  <c r="I25" i="12"/>
  <c r="I9" i="12"/>
  <c r="D37" i="5" s="1"/>
  <c r="E30" i="3"/>
  <c r="E31" i="3"/>
  <c r="I12" i="12"/>
  <c r="D40" i="5" s="1"/>
  <c r="H20" i="4"/>
  <c r="I60" i="12"/>
  <c r="G40" i="5" s="1"/>
  <c r="H31" i="3"/>
  <c r="H30" i="3"/>
  <c r="I123" i="12"/>
  <c r="K39" i="5" s="1"/>
  <c r="I107" i="12"/>
  <c r="J39" i="5" s="1"/>
  <c r="I91" i="12"/>
  <c r="I39" i="5" s="1"/>
  <c r="I59" i="12"/>
  <c r="G39" i="5" s="1"/>
  <c r="I43" i="12"/>
  <c r="F39" i="5" s="1"/>
  <c r="I27" i="12"/>
  <c r="I11" i="12"/>
  <c r="D39" i="5" s="1"/>
  <c r="G20" i="4"/>
  <c r="I75" i="12"/>
  <c r="H39" i="5" s="1"/>
  <c r="G30" i="3"/>
  <c r="G31" i="3"/>
  <c r="F20" i="4"/>
  <c r="I10" i="12"/>
  <c r="D38" i="5" s="1"/>
  <c r="I26" i="12"/>
  <c r="I42" i="12"/>
  <c r="F38" i="5" s="1"/>
  <c r="I74" i="12"/>
  <c r="H38" i="5" s="1"/>
  <c r="I90" i="12"/>
  <c r="I38" i="5" s="1"/>
  <c r="I106" i="12"/>
  <c r="J38" i="5" s="1"/>
  <c r="I58" i="12"/>
  <c r="G38" i="5" s="1"/>
  <c r="I122" i="12"/>
  <c r="K38" i="5" s="1"/>
  <c r="F30" i="3"/>
  <c r="F31" i="3"/>
  <c r="I24" i="12"/>
  <c r="I8" i="12"/>
  <c r="D36" i="5" s="1"/>
  <c r="I56" i="12"/>
  <c r="G36" i="5" s="1"/>
  <c r="I72" i="12"/>
  <c r="H36" i="5" s="1"/>
  <c r="I104" i="12"/>
  <c r="J36" i="5" s="1"/>
  <c r="D23" i="2"/>
  <c r="I40" i="12"/>
  <c r="F36" i="5" s="1"/>
  <c r="I88" i="12"/>
  <c r="I36" i="5" s="1"/>
  <c r="I120" i="12"/>
  <c r="K36" i="5" s="1"/>
  <c r="D30" i="3"/>
  <c r="D31" i="3"/>
  <c r="E15" i="14"/>
  <c r="E17" i="14" s="1"/>
  <c r="F14" i="14" s="1"/>
  <c r="E57" i="14"/>
  <c r="E59" i="14" s="1"/>
  <c r="F56" i="14" s="1"/>
  <c r="E33" i="14"/>
  <c r="E35" i="14" s="1"/>
  <c r="F32" i="14" s="1"/>
  <c r="E63" i="14"/>
  <c r="E65" i="14" s="1"/>
  <c r="F62" i="14" s="1"/>
  <c r="E39" i="14"/>
  <c r="E41" i="14" s="1"/>
  <c r="F38" i="14" s="1"/>
  <c r="E45" i="14"/>
  <c r="E47" i="14" s="1"/>
  <c r="F44" i="14" s="1"/>
  <c r="E21" i="14"/>
  <c r="E23" i="14" s="1"/>
  <c r="F20" i="14" s="1"/>
  <c r="E27" i="14"/>
  <c r="E29" i="14" s="1"/>
  <c r="F26" i="14" s="1"/>
  <c r="E51" i="14"/>
  <c r="E53" i="14" s="1"/>
  <c r="F50" i="14" s="1"/>
  <c r="D69" i="14"/>
  <c r="D71" i="14"/>
  <c r="E8" i="14"/>
  <c r="I24" i="5" l="1"/>
  <c r="E40" i="5"/>
  <c r="I23" i="5"/>
  <c r="E39" i="5"/>
  <c r="I21" i="5"/>
  <c r="E37" i="5"/>
  <c r="E38" i="5"/>
  <c r="I22" i="5"/>
  <c r="E36" i="5"/>
  <c r="I20" i="5"/>
  <c r="D25" i="2"/>
  <c r="D33" i="2"/>
  <c r="D8" i="4"/>
  <c r="K84" i="5"/>
  <c r="F15" i="14"/>
  <c r="F17" i="14" s="1"/>
  <c r="G14" i="14" s="1"/>
  <c r="F57" i="14"/>
  <c r="F59" i="14" s="1"/>
  <c r="G56" i="14" s="1"/>
  <c r="F33" i="14"/>
  <c r="F35" i="14" s="1"/>
  <c r="G32" i="14" s="1"/>
  <c r="F63" i="14"/>
  <c r="F65" i="14" s="1"/>
  <c r="G62" i="14" s="1"/>
  <c r="F39" i="14"/>
  <c r="F41" i="14" s="1"/>
  <c r="G38" i="14" s="1"/>
  <c r="F45" i="14"/>
  <c r="F47" i="14" s="1"/>
  <c r="G44" i="14" s="1"/>
  <c r="F21" i="14"/>
  <c r="F23" i="14" s="1"/>
  <c r="G20" i="14" s="1"/>
  <c r="F27" i="14"/>
  <c r="F29" i="14" s="1"/>
  <c r="G26" i="14" s="1"/>
  <c r="F51" i="14"/>
  <c r="F53" i="14" s="1"/>
  <c r="G50" i="14" s="1"/>
  <c r="E68" i="14"/>
  <c r="E9" i="14"/>
  <c r="D28" i="2" l="1"/>
  <c r="G84" i="5"/>
  <c r="G8" i="12"/>
  <c r="G9" i="12" s="1"/>
  <c r="G10" i="12" s="1"/>
  <c r="G11" i="12" s="1"/>
  <c r="G12" i="12" s="1"/>
  <c r="G13" i="12" s="1"/>
  <c r="G24" i="12"/>
  <c r="G40" i="12"/>
  <c r="G41" i="12" s="1"/>
  <c r="G42" i="12" s="1"/>
  <c r="G43" i="12" s="1"/>
  <c r="G44" i="12" s="1"/>
  <c r="G45" i="12" s="1"/>
  <c r="G88" i="12"/>
  <c r="G89" i="12" s="1"/>
  <c r="G90" i="12" s="1"/>
  <c r="G91" i="12" s="1"/>
  <c r="G92" i="12" s="1"/>
  <c r="G93" i="12" s="1"/>
  <c r="G104" i="12"/>
  <c r="G105" i="12" s="1"/>
  <c r="G106" i="12" s="1"/>
  <c r="G107" i="12" s="1"/>
  <c r="G108" i="12" s="1"/>
  <c r="G109" i="12" s="1"/>
  <c r="G120" i="12"/>
  <c r="G121" i="12" s="1"/>
  <c r="G122" i="12" s="1"/>
  <c r="G123" i="12" s="1"/>
  <c r="G124" i="12" s="1"/>
  <c r="G125" i="12" s="1"/>
  <c r="F84" i="5"/>
  <c r="L84" i="5" s="1"/>
  <c r="F33" i="4"/>
  <c r="G56" i="12"/>
  <c r="G57" i="12" s="1"/>
  <c r="G58" i="12" s="1"/>
  <c r="G59" i="12" s="1"/>
  <c r="G60" i="12" s="1"/>
  <c r="G61" i="12" s="1"/>
  <c r="G72" i="12"/>
  <c r="G73" i="12" s="1"/>
  <c r="G74" i="12" s="1"/>
  <c r="G75" i="12" s="1"/>
  <c r="G76" i="12" s="1"/>
  <c r="G77" i="12" s="1"/>
  <c r="D11" i="4"/>
  <c r="D33" i="4"/>
  <c r="D20" i="4"/>
  <c r="I20" i="4" s="1"/>
  <c r="G15" i="14"/>
  <c r="G17" i="14" s="1"/>
  <c r="H14" i="14" s="1"/>
  <c r="G57" i="14"/>
  <c r="G59" i="14" s="1"/>
  <c r="H56" i="14" s="1"/>
  <c r="G33" i="14"/>
  <c r="G35" i="14" s="1"/>
  <c r="H32" i="14" s="1"/>
  <c r="G63" i="14"/>
  <c r="G65" i="14" s="1"/>
  <c r="H62" i="14" s="1"/>
  <c r="G39" i="14"/>
  <c r="G41" i="14" s="1"/>
  <c r="H38" i="14" s="1"/>
  <c r="G45" i="14"/>
  <c r="G47" i="14" s="1"/>
  <c r="H44" i="14" s="1"/>
  <c r="G21" i="14"/>
  <c r="G23" i="14" s="1"/>
  <c r="H20" i="14" s="1"/>
  <c r="G27" i="14"/>
  <c r="G29" i="14" s="1"/>
  <c r="H26" i="14" s="1"/>
  <c r="G51" i="14"/>
  <c r="G53" i="14" s="1"/>
  <c r="H50" i="14" s="1"/>
  <c r="E11" i="14"/>
  <c r="E69" i="14"/>
  <c r="D21" i="4" l="1"/>
  <c r="E21" i="4" s="1"/>
  <c r="F21" i="4" s="1"/>
  <c r="G21" i="4" s="1"/>
  <c r="H21" i="4" s="1"/>
  <c r="I21" i="4" s="1"/>
  <c r="J21" i="4" s="1"/>
  <c r="D12" i="4" s="1"/>
  <c r="H41" i="4"/>
  <c r="D30" i="2"/>
  <c r="D8" i="12"/>
  <c r="D24" i="12"/>
  <c r="D40" i="12"/>
  <c r="D56" i="12"/>
  <c r="D72" i="12"/>
  <c r="D88" i="12"/>
  <c r="D104" i="12"/>
  <c r="D120" i="12"/>
  <c r="E84" i="5"/>
  <c r="G25" i="12"/>
  <c r="G20" i="5"/>
  <c r="H15" i="14"/>
  <c r="H17" i="14" s="1"/>
  <c r="H57" i="14"/>
  <c r="H59" i="14" s="1"/>
  <c r="H33" i="14"/>
  <c r="H35" i="14" s="1"/>
  <c r="H63" i="14"/>
  <c r="H65" i="14" s="1"/>
  <c r="H39" i="14"/>
  <c r="H41" i="14" s="1"/>
  <c r="H45" i="14"/>
  <c r="H47" i="14" s="1"/>
  <c r="H21" i="14"/>
  <c r="H23" i="14" s="1"/>
  <c r="H27" i="14"/>
  <c r="H29" i="14" s="1"/>
  <c r="H51" i="14"/>
  <c r="H53" i="14" s="1"/>
  <c r="F8" i="14"/>
  <c r="E71" i="14"/>
  <c r="D14" i="4" l="1"/>
  <c r="D45" i="4"/>
  <c r="E33" i="4"/>
  <c r="R41" i="4"/>
  <c r="I41" i="4"/>
  <c r="G41" i="4"/>
  <c r="H84" i="5"/>
  <c r="D12" i="2"/>
  <c r="D31" i="2" s="1"/>
  <c r="J8" i="12"/>
  <c r="D9" i="12"/>
  <c r="J9" i="12" s="1"/>
  <c r="J24" i="12"/>
  <c r="D25" i="12"/>
  <c r="D20" i="5"/>
  <c r="J40" i="12"/>
  <c r="D41" i="12"/>
  <c r="J41" i="12" s="1"/>
  <c r="J56" i="12"/>
  <c r="D57" i="12"/>
  <c r="J57" i="12" s="1"/>
  <c r="J72" i="12"/>
  <c r="D73" i="12"/>
  <c r="J73" i="12" s="1"/>
  <c r="J88" i="12"/>
  <c r="D89" i="12"/>
  <c r="J89" i="12" s="1"/>
  <c r="J104" i="12"/>
  <c r="D105" i="12"/>
  <c r="J105" i="12" s="1"/>
  <c r="J120" i="12"/>
  <c r="D121" i="12"/>
  <c r="J121" i="12" s="1"/>
  <c r="G26" i="12"/>
  <c r="G21" i="5"/>
  <c r="F68" i="14"/>
  <c r="F9" i="14"/>
  <c r="I17" i="14"/>
  <c r="I14" i="14"/>
  <c r="I15" i="14" s="1"/>
  <c r="I59" i="14"/>
  <c r="I56" i="14"/>
  <c r="I57" i="14" s="1"/>
  <c r="I35" i="14"/>
  <c r="I32" i="14"/>
  <c r="I33" i="14" s="1"/>
  <c r="I65" i="14"/>
  <c r="I62" i="14"/>
  <c r="I63" i="14" s="1"/>
  <c r="I41" i="14"/>
  <c r="I38" i="14"/>
  <c r="I39" i="14" s="1"/>
  <c r="I47" i="14"/>
  <c r="I44" i="14"/>
  <c r="I45" i="14" s="1"/>
  <c r="I23" i="14"/>
  <c r="I20" i="14"/>
  <c r="I21" i="14" s="1"/>
  <c r="I29" i="14"/>
  <c r="I26" i="14"/>
  <c r="I27" i="14" s="1"/>
  <c r="I53" i="14"/>
  <c r="I50" i="14"/>
  <c r="I51" i="14" s="1"/>
  <c r="I52" i="14" l="1"/>
  <c r="I16" i="3" s="1"/>
  <c r="I16" i="14"/>
  <c r="I64" i="14"/>
  <c r="I18" i="3" s="1"/>
  <c r="I22" i="14"/>
  <c r="I58" i="14"/>
  <c r="I17" i="3" s="1"/>
  <c r="L8" i="12"/>
  <c r="D66" i="5" s="1"/>
  <c r="I46" i="14"/>
  <c r="I15" i="3" s="1"/>
  <c r="I28" i="14"/>
  <c r="D64" i="4"/>
  <c r="D53" i="4"/>
  <c r="D26" i="2"/>
  <c r="G45" i="4"/>
  <c r="Q45" i="4" s="1"/>
  <c r="D44" i="4"/>
  <c r="H45" i="4"/>
  <c r="R45" i="4" s="1"/>
  <c r="N45" i="4"/>
  <c r="I45" i="4"/>
  <c r="S45" i="4" s="1"/>
  <c r="D46" i="4"/>
  <c r="S41" i="4"/>
  <c r="J41" i="4"/>
  <c r="I34" i="14"/>
  <c r="L24" i="12"/>
  <c r="J20" i="5"/>
  <c r="K20" i="5" s="1"/>
  <c r="J25" i="12"/>
  <c r="D21" i="5"/>
  <c r="L40" i="12"/>
  <c r="F66" i="5" s="1"/>
  <c r="F41" i="4"/>
  <c r="Q41" i="4"/>
  <c r="D32" i="2"/>
  <c r="L56" i="12"/>
  <c r="G66" i="5" s="1"/>
  <c r="L72" i="12"/>
  <c r="H66" i="5" s="1"/>
  <c r="L88" i="12"/>
  <c r="I66" i="5" s="1"/>
  <c r="L104" i="12"/>
  <c r="J66" i="5" s="1"/>
  <c r="L120" i="12"/>
  <c r="K66" i="5" s="1"/>
  <c r="G27" i="12"/>
  <c r="G22" i="5"/>
  <c r="I40" i="14"/>
  <c r="I14" i="3" s="1"/>
  <c r="L9" i="12"/>
  <c r="D67" i="5" s="1"/>
  <c r="L41" i="12"/>
  <c r="F67" i="5" s="1"/>
  <c r="L57" i="12"/>
  <c r="G67" i="5" s="1"/>
  <c r="L73" i="12"/>
  <c r="H67" i="5" s="1"/>
  <c r="L89" i="12"/>
  <c r="I67" i="5" s="1"/>
  <c r="L105" i="12"/>
  <c r="J67" i="5" s="1"/>
  <c r="L121" i="12"/>
  <c r="K67" i="5" s="1"/>
  <c r="F11" i="14"/>
  <c r="F69" i="14"/>
  <c r="E29" i="4" l="1"/>
  <c r="G29" i="4" s="1"/>
  <c r="H29" i="4" s="1"/>
  <c r="I9" i="3"/>
  <c r="K56" i="12"/>
  <c r="G51" i="5" s="1"/>
  <c r="K8" i="12"/>
  <c r="D51" i="5" s="1"/>
  <c r="E30" i="4"/>
  <c r="G30" i="4" s="1"/>
  <c r="H30" i="4" s="1"/>
  <c r="I10" i="3"/>
  <c r="K120" i="12"/>
  <c r="K51" i="5" s="1"/>
  <c r="K72" i="12"/>
  <c r="H51" i="5" s="1"/>
  <c r="I19" i="3"/>
  <c r="I11" i="3"/>
  <c r="E31" i="4"/>
  <c r="G31" i="4" s="1"/>
  <c r="H31" i="4" s="1"/>
  <c r="K167" i="12"/>
  <c r="K173" i="12" s="1"/>
  <c r="U169" i="12"/>
  <c r="U175" i="12" s="1"/>
  <c r="X169" i="12"/>
  <c r="X175" i="12" s="1"/>
  <c r="W169" i="12"/>
  <c r="W175" i="12" s="1"/>
  <c r="V169" i="12"/>
  <c r="V175" i="12" s="1"/>
  <c r="F58" i="12"/>
  <c r="F56" i="12"/>
  <c r="H56" i="12" s="1"/>
  <c r="F50" i="12"/>
  <c r="F60" i="12"/>
  <c r="Y169" i="12"/>
  <c r="Y175" i="12" s="1"/>
  <c r="F62" i="12"/>
  <c r="N169" i="12"/>
  <c r="N175" i="12" s="1"/>
  <c r="F64" i="12"/>
  <c r="F169" i="12"/>
  <c r="F66" i="12"/>
  <c r="S168" i="12"/>
  <c r="S174" i="12" s="1"/>
  <c r="J168" i="12"/>
  <c r="J174" i="12" s="1"/>
  <c r="W167" i="12"/>
  <c r="W173" i="12" s="1"/>
  <c r="T167" i="12"/>
  <c r="T173" i="12" s="1"/>
  <c r="N167" i="12"/>
  <c r="N173" i="12" s="1"/>
  <c r="I167" i="12"/>
  <c r="I173" i="12" s="1"/>
  <c r="E167" i="12"/>
  <c r="S169" i="12"/>
  <c r="S175" i="12" s="1"/>
  <c r="Q169" i="12"/>
  <c r="Q175" i="12" s="1"/>
  <c r="O169" i="12"/>
  <c r="O175" i="12" s="1"/>
  <c r="M169" i="12"/>
  <c r="M175" i="12" s="1"/>
  <c r="K169" i="12"/>
  <c r="K175" i="12" s="1"/>
  <c r="I169" i="12"/>
  <c r="I175" i="12" s="1"/>
  <c r="G169" i="12"/>
  <c r="E169" i="12"/>
  <c r="Y168" i="12"/>
  <c r="Y174" i="12" s="1"/>
  <c r="W168" i="12"/>
  <c r="W174" i="12" s="1"/>
  <c r="T168" i="12"/>
  <c r="T174" i="12" s="1"/>
  <c r="O167" i="12"/>
  <c r="O173" i="12" s="1"/>
  <c r="M167" i="12"/>
  <c r="M173" i="12" s="1"/>
  <c r="J167" i="12"/>
  <c r="J173" i="12" s="1"/>
  <c r="F167" i="12"/>
  <c r="T169" i="12"/>
  <c r="T175" i="12" s="1"/>
  <c r="P169" i="12"/>
  <c r="P175" i="12" s="1"/>
  <c r="L169" i="12"/>
  <c r="L175" i="12" s="1"/>
  <c r="H169" i="12"/>
  <c r="H175" i="12" s="1"/>
  <c r="X168" i="12"/>
  <c r="X174" i="12" s="1"/>
  <c r="U168" i="12"/>
  <c r="U174" i="12" s="1"/>
  <c r="Q168" i="12"/>
  <c r="Q174" i="12" s="1"/>
  <c r="L168" i="12"/>
  <c r="L174" i="12" s="1"/>
  <c r="H168" i="12"/>
  <c r="H174" i="12" s="1"/>
  <c r="Y167" i="12"/>
  <c r="Y173" i="12" s="1"/>
  <c r="V167" i="12"/>
  <c r="V173" i="12" s="1"/>
  <c r="P167" i="12"/>
  <c r="P173" i="12" s="1"/>
  <c r="L167" i="12"/>
  <c r="L173" i="12" s="1"/>
  <c r="R168" i="12"/>
  <c r="R174" i="12" s="1"/>
  <c r="P168" i="12"/>
  <c r="P174" i="12" s="1"/>
  <c r="O168" i="12"/>
  <c r="O174" i="12" s="1"/>
  <c r="M168" i="12"/>
  <c r="M174" i="12" s="1"/>
  <c r="K168" i="12"/>
  <c r="K174" i="12" s="1"/>
  <c r="I168" i="12"/>
  <c r="I174" i="12" s="1"/>
  <c r="G168" i="12"/>
  <c r="E168" i="12"/>
  <c r="X167" i="12"/>
  <c r="X173" i="12" s="1"/>
  <c r="U167" i="12"/>
  <c r="U173" i="12" s="1"/>
  <c r="F98" i="12"/>
  <c r="F108" i="12"/>
  <c r="F112" i="12"/>
  <c r="D58" i="12"/>
  <c r="D26" i="12"/>
  <c r="S167" i="12"/>
  <c r="S173" i="12" s="1"/>
  <c r="R167" i="12"/>
  <c r="R173" i="12" s="1"/>
  <c r="Q167" i="12"/>
  <c r="Q173" i="12" s="1"/>
  <c r="F168" i="12"/>
  <c r="G167" i="12"/>
  <c r="D29" i="2"/>
  <c r="D81" i="5"/>
  <c r="F14" i="12"/>
  <c r="F8" i="12"/>
  <c r="H8" i="12" s="1"/>
  <c r="F10" i="12"/>
  <c r="F12" i="12"/>
  <c r="F15" i="12"/>
  <c r="F17" i="12"/>
  <c r="F18" i="12"/>
  <c r="F24" i="12"/>
  <c r="F25" i="12"/>
  <c r="F26" i="12"/>
  <c r="F22" i="5" s="1"/>
  <c r="F27" i="12"/>
  <c r="F23" i="5" s="1"/>
  <c r="F28" i="12"/>
  <c r="F24" i="5" s="1"/>
  <c r="F29" i="12"/>
  <c r="F25" i="5" s="1"/>
  <c r="F30" i="12"/>
  <c r="F26" i="5" s="1"/>
  <c r="F31" i="12"/>
  <c r="F27" i="5" s="1"/>
  <c r="F32" i="12"/>
  <c r="F28" i="5" s="1"/>
  <c r="F33" i="12"/>
  <c r="F29" i="5" s="1"/>
  <c r="F42" i="12"/>
  <c r="F44" i="12"/>
  <c r="F46" i="12"/>
  <c r="F48" i="12"/>
  <c r="H167" i="12"/>
  <c r="H173" i="12" s="1"/>
  <c r="R169" i="12"/>
  <c r="R175" i="12" s="1"/>
  <c r="J169" i="12"/>
  <c r="J175" i="12" s="1"/>
  <c r="V168" i="12"/>
  <c r="V174" i="12" s="1"/>
  <c r="N168" i="12"/>
  <c r="N174" i="12" s="1"/>
  <c r="F73" i="12"/>
  <c r="H73" i="12" s="1"/>
  <c r="F74" i="12"/>
  <c r="F77" i="12"/>
  <c r="F79" i="12"/>
  <c r="F82" i="12"/>
  <c r="F89" i="12"/>
  <c r="H89" i="12" s="1"/>
  <c r="F90" i="12"/>
  <c r="F93" i="12"/>
  <c r="F96" i="12"/>
  <c r="F97" i="12"/>
  <c r="F104" i="12"/>
  <c r="H104" i="12" s="1"/>
  <c r="F105" i="12"/>
  <c r="H105" i="12" s="1"/>
  <c r="F107" i="12"/>
  <c r="F110" i="12"/>
  <c r="F114" i="12"/>
  <c r="F121" i="12"/>
  <c r="H121" i="12" s="1"/>
  <c r="D42" i="12"/>
  <c r="D90" i="12"/>
  <c r="D10" i="12"/>
  <c r="D74" i="12"/>
  <c r="F34" i="12"/>
  <c r="F30" i="5" s="1"/>
  <c r="F40" i="12"/>
  <c r="H40" i="12" s="1"/>
  <c r="F41" i="12"/>
  <c r="H41" i="12" s="1"/>
  <c r="F43" i="12"/>
  <c r="F45" i="12"/>
  <c r="F47" i="12"/>
  <c r="F49" i="12"/>
  <c r="F57" i="12"/>
  <c r="H57" i="12" s="1"/>
  <c r="F59" i="12"/>
  <c r="F61" i="12"/>
  <c r="F63" i="12"/>
  <c r="F65" i="12"/>
  <c r="F72" i="12"/>
  <c r="H72" i="12" s="1"/>
  <c r="F75" i="12"/>
  <c r="F78" i="12"/>
  <c r="F80" i="12"/>
  <c r="F88" i="12"/>
  <c r="H88" i="12" s="1"/>
  <c r="F91" i="12"/>
  <c r="F92" i="12"/>
  <c r="F94" i="12"/>
  <c r="F111" i="12"/>
  <c r="F113" i="12"/>
  <c r="F120" i="12"/>
  <c r="H120" i="12" s="1"/>
  <c r="D122" i="12"/>
  <c r="F76" i="12"/>
  <c r="F81" i="12"/>
  <c r="F95" i="12"/>
  <c r="F106" i="12"/>
  <c r="F109" i="12"/>
  <c r="D106" i="12"/>
  <c r="F122" i="12"/>
  <c r="F123" i="12"/>
  <c r="F124" i="12"/>
  <c r="F125" i="12"/>
  <c r="F126" i="12"/>
  <c r="F127" i="12"/>
  <c r="F128" i="12"/>
  <c r="F129" i="12"/>
  <c r="F130" i="12"/>
  <c r="F9" i="12"/>
  <c r="H9" i="12" s="1"/>
  <c r="F11" i="12"/>
  <c r="F13" i="12"/>
  <c r="F16" i="12"/>
  <c r="D50" i="2"/>
  <c r="D51" i="2" s="1"/>
  <c r="D52" i="2"/>
  <c r="D15" i="4"/>
  <c r="D27" i="2" s="1"/>
  <c r="G33" i="4"/>
  <c r="H44" i="4"/>
  <c r="R44" i="4" s="1"/>
  <c r="G44" i="4"/>
  <c r="Q44" i="4" s="1"/>
  <c r="I44" i="4"/>
  <c r="S44" i="4" s="1"/>
  <c r="D43" i="4"/>
  <c r="J44" i="4"/>
  <c r="T44" i="4" s="1"/>
  <c r="F44" i="4"/>
  <c r="P44" i="4" s="1"/>
  <c r="N44" i="4"/>
  <c r="N46" i="4"/>
  <c r="D47" i="4"/>
  <c r="G46" i="4"/>
  <c r="Q46" i="4" s="1"/>
  <c r="I46" i="4"/>
  <c r="S46" i="4" s="1"/>
  <c r="J46" i="4"/>
  <c r="T46" i="4" s="1"/>
  <c r="H46" i="4"/>
  <c r="R46" i="4" s="1"/>
  <c r="J45" i="4"/>
  <c r="T45" i="4" s="1"/>
  <c r="K41" i="4"/>
  <c r="T41" i="4"/>
  <c r="I12" i="3"/>
  <c r="E32" i="4"/>
  <c r="G32" i="4" s="1"/>
  <c r="H32" i="4" s="1"/>
  <c r="K104" i="12"/>
  <c r="J51" i="5" s="1"/>
  <c r="K88" i="12"/>
  <c r="I51" i="5" s="1"/>
  <c r="M20" i="5"/>
  <c r="E66" i="5"/>
  <c r="K25" i="12"/>
  <c r="L25" i="12"/>
  <c r="J21" i="5"/>
  <c r="K21" i="5" s="1"/>
  <c r="K9" i="12"/>
  <c r="D52" i="5" s="1"/>
  <c r="K41" i="12"/>
  <c r="F52" i="5" s="1"/>
  <c r="K57" i="12"/>
  <c r="G52" i="5" s="1"/>
  <c r="K73" i="12"/>
  <c r="K89" i="12"/>
  <c r="K105" i="12"/>
  <c r="J52" i="5" s="1"/>
  <c r="K121" i="12"/>
  <c r="D35" i="2"/>
  <c r="I84" i="5" s="1"/>
  <c r="K40" i="12"/>
  <c r="F51" i="5" s="1"/>
  <c r="K24" i="12"/>
  <c r="F45" i="4"/>
  <c r="P45" i="4" s="1"/>
  <c r="F46" i="4"/>
  <c r="P46" i="4" s="1"/>
  <c r="P41" i="4"/>
  <c r="E41" i="4"/>
  <c r="G28" i="12"/>
  <c r="G23" i="5"/>
  <c r="E44" i="4"/>
  <c r="O44" i="4" s="1"/>
  <c r="E46" i="4"/>
  <c r="O46" i="4" s="1"/>
  <c r="G8" i="14"/>
  <c r="F71" i="14"/>
  <c r="F159" i="5" l="1"/>
  <c r="E159" i="5"/>
  <c r="G263" i="5" s="1"/>
  <c r="F160" i="5"/>
  <c r="G145" i="5"/>
  <c r="E154" i="5"/>
  <c r="G258" i="5" s="1"/>
  <c r="H145" i="5"/>
  <c r="G146" i="5"/>
  <c r="G147" i="5"/>
  <c r="F148" i="5"/>
  <c r="F149" i="5"/>
  <c r="F150" i="5"/>
  <c r="F152" i="5"/>
  <c r="H33" i="4"/>
  <c r="E8" i="8"/>
  <c r="E12" i="8"/>
  <c r="G43" i="4"/>
  <c r="Q43" i="4" s="1"/>
  <c r="F43" i="4"/>
  <c r="P43" i="4" s="1"/>
  <c r="H161" i="5"/>
  <c r="G174" i="12"/>
  <c r="H163" i="5"/>
  <c r="H164" i="5"/>
  <c r="H162" i="5"/>
  <c r="H160" i="5"/>
  <c r="F144" i="5"/>
  <c r="E161" i="5"/>
  <c r="G265" i="5" s="1"/>
  <c r="F147" i="5"/>
  <c r="E144" i="5"/>
  <c r="G248" i="5" s="1"/>
  <c r="H146" i="5"/>
  <c r="E162" i="5"/>
  <c r="G266" i="5" s="1"/>
  <c r="H144" i="5"/>
  <c r="H248" i="5" s="1"/>
  <c r="F156" i="5"/>
  <c r="F164" i="5"/>
  <c r="F146" i="5"/>
  <c r="G149" i="5"/>
  <c r="F161" i="5"/>
  <c r="G148" i="5"/>
  <c r="E149" i="5"/>
  <c r="G253" i="5" s="1"/>
  <c r="G150" i="5"/>
  <c r="E151" i="5"/>
  <c r="G255" i="5" s="1"/>
  <c r="E152" i="5"/>
  <c r="G256" i="5" s="1"/>
  <c r="F154" i="5"/>
  <c r="H58" i="12"/>
  <c r="E150" i="5"/>
  <c r="G254" i="5" s="1"/>
  <c r="F145" i="5"/>
  <c r="G151" i="5"/>
  <c r="F153" i="5"/>
  <c r="F155" i="5"/>
  <c r="E157" i="5"/>
  <c r="G261" i="5" s="1"/>
  <c r="E160" i="5"/>
  <c r="F163" i="5"/>
  <c r="E164" i="5"/>
  <c r="E147" i="5"/>
  <c r="G251" i="5" s="1"/>
  <c r="E155" i="5"/>
  <c r="G259" i="5" s="1"/>
  <c r="F157" i="5"/>
  <c r="E158" i="5"/>
  <c r="G262" i="5" s="1"/>
  <c r="F162" i="5"/>
  <c r="E163" i="5"/>
  <c r="G100" i="5"/>
  <c r="G101" i="5"/>
  <c r="G102" i="5"/>
  <c r="F104" i="5"/>
  <c r="F105" i="5"/>
  <c r="F106" i="5"/>
  <c r="F107" i="5"/>
  <c r="F108" i="5"/>
  <c r="F109" i="5"/>
  <c r="F113" i="5"/>
  <c r="E97" i="5"/>
  <c r="D250" i="5" s="1"/>
  <c r="E112" i="5"/>
  <c r="D265" i="5" s="1"/>
  <c r="F98" i="5"/>
  <c r="E100" i="5"/>
  <c r="D253" i="5" s="1"/>
  <c r="E101" i="5"/>
  <c r="D254" i="5" s="1"/>
  <c r="E102" i="5"/>
  <c r="D255" i="5" s="1"/>
  <c r="E103" i="5"/>
  <c r="D256" i="5" s="1"/>
  <c r="E105" i="5"/>
  <c r="D258" i="5" s="1"/>
  <c r="E106" i="5"/>
  <c r="D259" i="5" s="1"/>
  <c r="E107" i="5"/>
  <c r="D260" i="5" s="1"/>
  <c r="E108" i="5"/>
  <c r="D261" i="5" s="1"/>
  <c r="E109" i="5"/>
  <c r="D262" i="5" s="1"/>
  <c r="F110" i="5"/>
  <c r="F97" i="5"/>
  <c r="E98" i="5"/>
  <c r="D251" i="5" s="1"/>
  <c r="D100" i="5"/>
  <c r="F253" i="5" s="1"/>
  <c r="E113" i="5"/>
  <c r="D266" i="5" s="1"/>
  <c r="E114" i="5"/>
  <c r="D267" i="5" s="1"/>
  <c r="E115" i="5"/>
  <c r="D268" i="5" s="1"/>
  <c r="F99" i="5"/>
  <c r="E95" i="5"/>
  <c r="D248" i="5" s="1"/>
  <c r="H95" i="5"/>
  <c r="G97" i="5"/>
  <c r="G98" i="5"/>
  <c r="E110" i="5"/>
  <c r="D263" i="5" s="1"/>
  <c r="F114" i="5"/>
  <c r="F111" i="5"/>
  <c r="E111" i="5"/>
  <c r="D264" i="5" s="1"/>
  <c r="F115" i="5"/>
  <c r="D114" i="5"/>
  <c r="F267" i="5" s="1"/>
  <c r="E173" i="12"/>
  <c r="D103" i="5"/>
  <c r="F256" i="5" s="1"/>
  <c r="D102" i="5"/>
  <c r="F255" i="5" s="1"/>
  <c r="D59" i="12"/>
  <c r="J58" i="12"/>
  <c r="D22" i="5"/>
  <c r="D27" i="12"/>
  <c r="J26" i="12"/>
  <c r="H26" i="12"/>
  <c r="H22" i="5" s="1"/>
  <c r="D43" i="12"/>
  <c r="J42" i="12"/>
  <c r="D91" i="12"/>
  <c r="J90" i="12"/>
  <c r="D11" i="12"/>
  <c r="J10" i="12"/>
  <c r="H10" i="12"/>
  <c r="D75" i="12"/>
  <c r="J74" i="12"/>
  <c r="D123" i="12"/>
  <c r="J122" i="12"/>
  <c r="H122" i="12"/>
  <c r="D107" i="12"/>
  <c r="J106" i="12"/>
  <c r="H106" i="12"/>
  <c r="I43" i="4"/>
  <c r="S43" i="4" s="1"/>
  <c r="N43" i="4"/>
  <c r="H43" i="4"/>
  <c r="R43" i="4" s="1"/>
  <c r="K43" i="4"/>
  <c r="U43" i="4" s="1"/>
  <c r="J43" i="4"/>
  <c r="T43" i="4" s="1"/>
  <c r="D42" i="4"/>
  <c r="G47" i="4"/>
  <c r="Q47" i="4" s="1"/>
  <c r="J47" i="4"/>
  <c r="T47" i="4" s="1"/>
  <c r="D48" i="4"/>
  <c r="J48" i="4" s="1"/>
  <c r="T48" i="4" s="1"/>
  <c r="H47" i="4"/>
  <c r="R47" i="4" s="1"/>
  <c r="K47" i="4"/>
  <c r="U47" i="4" s="1"/>
  <c r="I47" i="4"/>
  <c r="S47" i="4" s="1"/>
  <c r="F47" i="4"/>
  <c r="P47" i="4" s="1"/>
  <c r="N47" i="4"/>
  <c r="K45" i="4"/>
  <c r="U45" i="4" s="1"/>
  <c r="U41" i="4"/>
  <c r="H42" i="12"/>
  <c r="H74" i="12"/>
  <c r="H90" i="12"/>
  <c r="E43" i="4"/>
  <c r="O43" i="4" s="1"/>
  <c r="H197" i="5"/>
  <c r="H199" i="5"/>
  <c r="H206" i="5"/>
  <c r="G207" i="5"/>
  <c r="H208" i="5"/>
  <c r="G210" i="5"/>
  <c r="G212" i="5"/>
  <c r="H198" i="5"/>
  <c r="G213" i="5"/>
  <c r="G209" i="5"/>
  <c r="H207" i="5"/>
  <c r="G206" i="5"/>
  <c r="G204" i="5"/>
  <c r="G203" i="5"/>
  <c r="H202" i="5"/>
  <c r="G202" i="5"/>
  <c r="G205" i="5"/>
  <c r="G208" i="5"/>
  <c r="G211" i="5"/>
  <c r="F175" i="12"/>
  <c r="G201" i="5"/>
  <c r="H200" i="5"/>
  <c r="H196" i="5"/>
  <c r="H204" i="5"/>
  <c r="H203" i="5"/>
  <c r="H201" i="5"/>
  <c r="H205" i="5"/>
  <c r="F102" i="5"/>
  <c r="F100" i="5"/>
  <c r="F96" i="5"/>
  <c r="G96" i="5"/>
  <c r="D111" i="5"/>
  <c r="F264" i="5" s="1"/>
  <c r="D112" i="5"/>
  <c r="F265" i="5" s="1"/>
  <c r="D115" i="5"/>
  <c r="D95" i="5"/>
  <c r="F248" i="5" s="1"/>
  <c r="D107" i="5"/>
  <c r="F260" i="5" s="1"/>
  <c r="D108" i="5"/>
  <c r="F261" i="5" s="1"/>
  <c r="D110" i="5"/>
  <c r="F263" i="5" s="1"/>
  <c r="D113" i="5"/>
  <c r="F266" i="5" s="1"/>
  <c r="D96" i="5"/>
  <c r="F249" i="5" s="1"/>
  <c r="D97" i="5"/>
  <c r="F250" i="5" s="1"/>
  <c r="D98" i="5"/>
  <c r="F251" i="5" s="1"/>
  <c r="D101" i="5"/>
  <c r="F254" i="5" s="1"/>
  <c r="D99" i="5"/>
  <c r="F252" i="5" s="1"/>
  <c r="E99" i="5"/>
  <c r="D252" i="5" s="1"/>
  <c r="E96" i="5"/>
  <c r="D249" i="5" s="1"/>
  <c r="F112" i="5"/>
  <c r="F103" i="5"/>
  <c r="H97" i="5"/>
  <c r="H96" i="5"/>
  <c r="G99" i="5"/>
  <c r="G95" i="5"/>
  <c r="E104" i="5"/>
  <c r="D257" i="5" s="1"/>
  <c r="F101" i="5"/>
  <c r="F95" i="5"/>
  <c r="H211" i="5"/>
  <c r="G175" i="12"/>
  <c r="H213" i="5"/>
  <c r="H212" i="5"/>
  <c r="H210" i="5"/>
  <c r="H209" i="5"/>
  <c r="G196" i="5"/>
  <c r="G199" i="5"/>
  <c r="D205" i="5"/>
  <c r="L260" i="5" s="1"/>
  <c r="D206" i="5"/>
  <c r="L261" i="5" s="1"/>
  <c r="D193" i="5"/>
  <c r="L248" i="5" s="1"/>
  <c r="D207" i="5"/>
  <c r="L262" i="5" s="1"/>
  <c r="D209" i="5"/>
  <c r="L264" i="5" s="1"/>
  <c r="D194" i="5"/>
  <c r="L249" i="5" s="1"/>
  <c r="D195" i="5"/>
  <c r="L250" i="5" s="1"/>
  <c r="D196" i="5"/>
  <c r="L251" i="5" s="1"/>
  <c r="D197" i="5"/>
  <c r="L252" i="5" s="1"/>
  <c r="D200" i="5"/>
  <c r="L255" i="5" s="1"/>
  <c r="D201" i="5"/>
  <c r="L256" i="5" s="1"/>
  <c r="D198" i="5"/>
  <c r="L253" i="5" s="1"/>
  <c r="D199" i="5"/>
  <c r="L254" i="5" s="1"/>
  <c r="D202" i="5"/>
  <c r="L257" i="5" s="1"/>
  <c r="D203" i="5"/>
  <c r="L258" i="5" s="1"/>
  <c r="D204" i="5"/>
  <c r="L259" i="5" s="1"/>
  <c r="D208" i="5"/>
  <c r="L263" i="5" s="1"/>
  <c r="D210" i="5"/>
  <c r="L265" i="5" s="1"/>
  <c r="G193" i="5"/>
  <c r="G194" i="5"/>
  <c r="F195" i="5"/>
  <c r="H195" i="5"/>
  <c r="E197" i="5"/>
  <c r="J252" i="5" s="1"/>
  <c r="G198" i="5"/>
  <c r="F199" i="5"/>
  <c r="G200" i="5"/>
  <c r="E201" i="5"/>
  <c r="J256" i="5" s="1"/>
  <c r="F194" i="5"/>
  <c r="D211" i="5"/>
  <c r="L266" i="5" s="1"/>
  <c r="F193" i="5"/>
  <c r="E194" i="5"/>
  <c r="J249" i="5" s="1"/>
  <c r="E195" i="5"/>
  <c r="J250" i="5" s="1"/>
  <c r="E196" i="5"/>
  <c r="J251" i="5" s="1"/>
  <c r="G197" i="5"/>
  <c r="F198" i="5"/>
  <c r="E199" i="5"/>
  <c r="J254" i="5" s="1"/>
  <c r="E200" i="5"/>
  <c r="J255" i="5" s="1"/>
  <c r="F202" i="5"/>
  <c r="E203" i="5"/>
  <c r="J258" i="5" s="1"/>
  <c r="F203" i="5"/>
  <c r="E204" i="5"/>
  <c r="J259" i="5" s="1"/>
  <c r="F204" i="5"/>
  <c r="E205" i="5"/>
  <c r="J260" i="5" s="1"/>
  <c r="F205" i="5"/>
  <c r="E206" i="5"/>
  <c r="J261" i="5" s="1"/>
  <c r="F206" i="5"/>
  <c r="E207" i="5"/>
  <c r="J262" i="5" s="1"/>
  <c r="F207" i="5"/>
  <c r="E208" i="5"/>
  <c r="J263" i="5" s="1"/>
  <c r="D212" i="5"/>
  <c r="L267" i="5" s="1"/>
  <c r="D213" i="5"/>
  <c r="E175" i="12"/>
  <c r="E202" i="5"/>
  <c r="J257" i="5" s="1"/>
  <c r="F201" i="5"/>
  <c r="F208" i="5"/>
  <c r="E209" i="5"/>
  <c r="J264" i="5" s="1"/>
  <c r="F209" i="5"/>
  <c r="E210" i="5"/>
  <c r="J265" i="5" s="1"/>
  <c r="F210" i="5"/>
  <c r="E211" i="5"/>
  <c r="J266" i="5" s="1"/>
  <c r="F211" i="5"/>
  <c r="E212" i="5"/>
  <c r="J267" i="5" s="1"/>
  <c r="F212" i="5"/>
  <c r="E213" i="5"/>
  <c r="J268" i="5" s="1"/>
  <c r="F213" i="5"/>
  <c r="E193" i="5"/>
  <c r="J248" i="5" s="1"/>
  <c r="H193" i="5"/>
  <c r="H194" i="5"/>
  <c r="G195" i="5"/>
  <c r="F196" i="5"/>
  <c r="F197" i="5"/>
  <c r="E198" i="5"/>
  <c r="J253" i="5" s="1"/>
  <c r="F200" i="5"/>
  <c r="D109" i="5"/>
  <c r="F262" i="5" s="1"/>
  <c r="H110" i="5"/>
  <c r="H98" i="5"/>
  <c r="G111" i="5"/>
  <c r="G112" i="5"/>
  <c r="H109" i="5"/>
  <c r="H108" i="5"/>
  <c r="H105" i="5"/>
  <c r="G104" i="5"/>
  <c r="H102" i="5"/>
  <c r="H101" i="5"/>
  <c r="H100" i="5"/>
  <c r="H99" i="5"/>
  <c r="F173" i="12"/>
  <c r="G113" i="5"/>
  <c r="G110" i="5"/>
  <c r="G109" i="5"/>
  <c r="G108" i="5"/>
  <c r="G107" i="5"/>
  <c r="H106" i="5"/>
  <c r="G105" i="5"/>
  <c r="H104" i="5"/>
  <c r="G114" i="5"/>
  <c r="H107" i="5"/>
  <c r="G106" i="5"/>
  <c r="G103" i="5"/>
  <c r="G115" i="5"/>
  <c r="H103" i="5"/>
  <c r="K44" i="4"/>
  <c r="U44" i="4" s="1"/>
  <c r="K46" i="4"/>
  <c r="U46" i="4" s="1"/>
  <c r="E52" i="5"/>
  <c r="L21" i="5"/>
  <c r="M21" i="5"/>
  <c r="E67" i="5"/>
  <c r="D433" i="5"/>
  <c r="H52" i="5"/>
  <c r="F241" i="5"/>
  <c r="D241" i="5"/>
  <c r="F433" i="5"/>
  <c r="G433" i="5"/>
  <c r="I52" i="5"/>
  <c r="I241" i="5"/>
  <c r="G241" i="5"/>
  <c r="I433" i="5"/>
  <c r="J433" i="5"/>
  <c r="K52" i="5"/>
  <c r="L241" i="5"/>
  <c r="J241" i="5"/>
  <c r="L433" i="5"/>
  <c r="D144" i="5"/>
  <c r="I248" i="5" s="1"/>
  <c r="D159" i="5"/>
  <c r="I263" i="5" s="1"/>
  <c r="D161" i="5"/>
  <c r="I265" i="5" s="1"/>
  <c r="E153" i="5"/>
  <c r="G257" i="5" s="1"/>
  <c r="E156" i="5"/>
  <c r="G260" i="5" s="1"/>
  <c r="F158" i="5"/>
  <c r="G144" i="5"/>
  <c r="F151" i="5"/>
  <c r="E145" i="5"/>
  <c r="E146" i="5"/>
  <c r="E148" i="5"/>
  <c r="G252" i="5" s="1"/>
  <c r="E174" i="12"/>
  <c r="D163" i="5"/>
  <c r="I267" i="5" s="1"/>
  <c r="D157" i="5"/>
  <c r="I261" i="5" s="1"/>
  <c r="D164" i="5"/>
  <c r="D162" i="5"/>
  <c r="I266" i="5" s="1"/>
  <c r="D160" i="5"/>
  <c r="I264" i="5" s="1"/>
  <c r="D158" i="5"/>
  <c r="I262" i="5" s="1"/>
  <c r="D156" i="5"/>
  <c r="I260" i="5" s="1"/>
  <c r="D155" i="5"/>
  <c r="I259" i="5" s="1"/>
  <c r="D154" i="5"/>
  <c r="I258" i="5" s="1"/>
  <c r="D153" i="5"/>
  <c r="I257" i="5" s="1"/>
  <c r="D152" i="5"/>
  <c r="I256" i="5" s="1"/>
  <c r="D151" i="5"/>
  <c r="I255" i="5" s="1"/>
  <c r="D150" i="5"/>
  <c r="I254" i="5" s="1"/>
  <c r="D149" i="5"/>
  <c r="I253" i="5" s="1"/>
  <c r="D148" i="5"/>
  <c r="I252" i="5" s="1"/>
  <c r="D147" i="5"/>
  <c r="I251" i="5" s="1"/>
  <c r="D146" i="5"/>
  <c r="I250" i="5" s="1"/>
  <c r="D145" i="5"/>
  <c r="I249" i="5" s="1"/>
  <c r="H156" i="5"/>
  <c r="G154" i="5"/>
  <c r="F174" i="12"/>
  <c r="G157" i="5"/>
  <c r="G152" i="5"/>
  <c r="H153" i="5"/>
  <c r="H147" i="5"/>
  <c r="H152" i="5"/>
  <c r="G153" i="5"/>
  <c r="H149" i="5"/>
  <c r="H157" i="5"/>
  <c r="G162" i="5"/>
  <c r="G159" i="5"/>
  <c r="H150" i="5"/>
  <c r="G163" i="5"/>
  <c r="H155" i="5"/>
  <c r="G160" i="5"/>
  <c r="G158" i="5"/>
  <c r="H159" i="5"/>
  <c r="G161" i="5"/>
  <c r="H154" i="5"/>
  <c r="G155" i="5"/>
  <c r="G156" i="5"/>
  <c r="H158" i="5"/>
  <c r="G164" i="5"/>
  <c r="H151" i="5"/>
  <c r="H148" i="5"/>
  <c r="D104" i="5"/>
  <c r="F257" i="5" s="1"/>
  <c r="D106" i="5"/>
  <c r="F259" i="5" s="1"/>
  <c r="D105" i="5"/>
  <c r="F258" i="5" s="1"/>
  <c r="H115" i="5"/>
  <c r="H112" i="5"/>
  <c r="H113" i="5"/>
  <c r="H111" i="5"/>
  <c r="H114" i="5"/>
  <c r="G173" i="12"/>
  <c r="E88" i="5"/>
  <c r="F88" i="5" s="1"/>
  <c r="E87" i="5"/>
  <c r="F87" i="5" s="1"/>
  <c r="G87" i="5" s="1"/>
  <c r="H87" i="5" s="1"/>
  <c r="E86" i="5"/>
  <c r="F86" i="5" s="1"/>
  <c r="G86" i="5" s="1"/>
  <c r="H86" i="5" s="1"/>
  <c r="E85" i="5"/>
  <c r="F85" i="5" s="1"/>
  <c r="G85" i="5" s="1"/>
  <c r="H85" i="5" s="1"/>
  <c r="F20" i="5"/>
  <c r="H24" i="12"/>
  <c r="H20" i="5" s="1"/>
  <c r="F21" i="5"/>
  <c r="H25" i="12"/>
  <c r="H21" i="5" s="1"/>
  <c r="G29" i="12"/>
  <c r="G25" i="5" s="1"/>
  <c r="G24" i="5"/>
  <c r="L20" i="5"/>
  <c r="E51" i="5"/>
  <c r="E47" i="4"/>
  <c r="O47" i="4" s="1"/>
  <c r="E45" i="4"/>
  <c r="O45" i="4" s="1"/>
  <c r="O41" i="4"/>
  <c r="G68" i="14"/>
  <c r="G9" i="14"/>
  <c r="E248" i="5" l="1"/>
  <c r="E257" i="5"/>
  <c r="H263" i="5"/>
  <c r="H258" i="5"/>
  <c r="E39" i="8"/>
  <c r="E35" i="8"/>
  <c r="D35" i="8"/>
  <c r="E36" i="8"/>
  <c r="D36" i="8"/>
  <c r="E37" i="8"/>
  <c r="D37" i="8"/>
  <c r="E40" i="8"/>
  <c r="D40" i="8"/>
  <c r="E38" i="8"/>
  <c r="D38" i="8"/>
  <c r="D39" i="8"/>
  <c r="M35" i="8"/>
  <c r="L35" i="8"/>
  <c r="M36" i="8"/>
  <c r="L36" i="8"/>
  <c r="M37" i="8"/>
  <c r="L37" i="8"/>
  <c r="M38" i="8"/>
  <c r="L39" i="8"/>
  <c r="L40" i="8"/>
  <c r="L38" i="8"/>
  <c r="M40" i="8"/>
  <c r="M39" i="8"/>
  <c r="H265" i="5"/>
  <c r="H266" i="5"/>
  <c r="H188" i="5"/>
  <c r="H187" i="5"/>
  <c r="H186" i="5"/>
  <c r="H185" i="5"/>
  <c r="H184" i="5"/>
  <c r="E249" i="5"/>
  <c r="E252" i="5"/>
  <c r="H256" i="5"/>
  <c r="H253" i="5"/>
  <c r="H255" i="5"/>
  <c r="K263" i="5"/>
  <c r="E250" i="5"/>
  <c r="K266" i="5"/>
  <c r="K265" i="5"/>
  <c r="K264" i="5"/>
  <c r="K248" i="5"/>
  <c r="K249" i="5"/>
  <c r="E263" i="5"/>
  <c r="E251" i="5"/>
  <c r="E262" i="5"/>
  <c r="E261" i="5"/>
  <c r="E258" i="5"/>
  <c r="E255" i="5"/>
  <c r="E254" i="5"/>
  <c r="E253" i="5"/>
  <c r="E259" i="5"/>
  <c r="E260" i="5"/>
  <c r="H251" i="5"/>
  <c r="H261" i="5"/>
  <c r="H254" i="5"/>
  <c r="H259" i="5"/>
  <c r="H262" i="5"/>
  <c r="H252" i="5"/>
  <c r="E268" i="5"/>
  <c r="E265" i="5"/>
  <c r="E266" i="5"/>
  <c r="E264" i="5"/>
  <c r="E267" i="5"/>
  <c r="G264" i="5"/>
  <c r="H264" i="5"/>
  <c r="G268" i="5"/>
  <c r="H268" i="5"/>
  <c r="G267" i="5"/>
  <c r="H267" i="5"/>
  <c r="E128" i="5"/>
  <c r="F125" i="5"/>
  <c r="F130" i="5"/>
  <c r="E125" i="5"/>
  <c r="G121" i="5"/>
  <c r="H119" i="5"/>
  <c r="F136" i="5"/>
  <c r="F133" i="5"/>
  <c r="E129" i="5"/>
  <c r="G119" i="5"/>
  <c r="F120" i="5"/>
  <c r="E122" i="5"/>
  <c r="G124" i="5"/>
  <c r="F126" i="5"/>
  <c r="F127" i="5"/>
  <c r="F131" i="5"/>
  <c r="E134" i="5"/>
  <c r="E136" i="5"/>
  <c r="E121" i="5"/>
  <c r="F132" i="5"/>
  <c r="E135" i="5"/>
  <c r="G120" i="5"/>
  <c r="G123" i="5"/>
  <c r="G125" i="5"/>
  <c r="F129" i="5"/>
  <c r="E133" i="5"/>
  <c r="H121" i="5"/>
  <c r="G122" i="5"/>
  <c r="F124" i="5"/>
  <c r="E130" i="5"/>
  <c r="E131" i="5"/>
  <c r="F134" i="5"/>
  <c r="F135" i="5"/>
  <c r="F137" i="5"/>
  <c r="F119" i="5"/>
  <c r="H120" i="5"/>
  <c r="G126" i="5"/>
  <c r="F128" i="5"/>
  <c r="E137" i="5"/>
  <c r="F138" i="5"/>
  <c r="E139" i="5"/>
  <c r="E119" i="5"/>
  <c r="E120" i="5"/>
  <c r="F121" i="5"/>
  <c r="F122" i="5"/>
  <c r="F123" i="5"/>
  <c r="E124" i="5"/>
  <c r="E126" i="5"/>
  <c r="E127" i="5"/>
  <c r="E132" i="5"/>
  <c r="F139" i="5"/>
  <c r="E123" i="5"/>
  <c r="E138" i="5"/>
  <c r="G42" i="4"/>
  <c r="Q42" i="4" s="1"/>
  <c r="J42" i="4"/>
  <c r="T42" i="4" s="1"/>
  <c r="I42" i="4"/>
  <c r="S42" i="4" s="1"/>
  <c r="K42" i="4"/>
  <c r="U42" i="4" s="1"/>
  <c r="F42" i="4"/>
  <c r="P42" i="4" s="1"/>
  <c r="N42" i="4"/>
  <c r="E42" i="4"/>
  <c r="O42" i="4" s="1"/>
  <c r="H42" i="4"/>
  <c r="R42" i="4" s="1"/>
  <c r="F277" i="5"/>
  <c r="L268" i="5"/>
  <c r="G223" i="5"/>
  <c r="F224" i="5"/>
  <c r="E226" i="5"/>
  <c r="E227" i="5"/>
  <c r="F227" i="5"/>
  <c r="F225" i="5"/>
  <c r="E225" i="5"/>
  <c r="E236" i="5"/>
  <c r="E237" i="5"/>
  <c r="F226" i="5"/>
  <c r="G224" i="5"/>
  <c r="G222" i="5"/>
  <c r="F237" i="5"/>
  <c r="F236" i="5"/>
  <c r="F235" i="5"/>
  <c r="K254" i="5"/>
  <c r="K262" i="5"/>
  <c r="K257" i="5"/>
  <c r="K268" i="5"/>
  <c r="K251" i="5"/>
  <c r="K259" i="5"/>
  <c r="K258" i="5"/>
  <c r="K256" i="5"/>
  <c r="K260" i="5"/>
  <c r="K250" i="5"/>
  <c r="E256" i="5"/>
  <c r="H260" i="5"/>
  <c r="K252" i="5"/>
  <c r="K261" i="5"/>
  <c r="K253" i="5"/>
  <c r="K255" i="5"/>
  <c r="K267" i="5"/>
  <c r="D60" i="12"/>
  <c r="J59" i="12"/>
  <c r="H59" i="12"/>
  <c r="L58" i="12"/>
  <c r="G68" i="5" s="1"/>
  <c r="K58" i="12"/>
  <c r="G53" i="5" s="1"/>
  <c r="D23" i="5"/>
  <c r="D28" i="12"/>
  <c r="J27" i="12"/>
  <c r="H27" i="12"/>
  <c r="H23" i="5" s="1"/>
  <c r="L26" i="12"/>
  <c r="K26" i="12"/>
  <c r="J22" i="5"/>
  <c r="K22" i="5" s="1"/>
  <c r="H43" i="12"/>
  <c r="J43" i="12"/>
  <c r="D44" i="12"/>
  <c r="K42" i="12"/>
  <c r="F53" i="5" s="1"/>
  <c r="L42" i="12"/>
  <c r="F68" i="5" s="1"/>
  <c r="D92" i="12"/>
  <c r="J91" i="12"/>
  <c r="H91" i="12"/>
  <c r="L90" i="12"/>
  <c r="I68" i="5" s="1"/>
  <c r="K90" i="12"/>
  <c r="J11" i="12"/>
  <c r="H11" i="12"/>
  <c r="D12" i="12"/>
  <c r="K10" i="12"/>
  <c r="D53" i="5" s="1"/>
  <c r="L10" i="12"/>
  <c r="D68" i="5" s="1"/>
  <c r="D76" i="12"/>
  <c r="J75" i="12"/>
  <c r="H75" i="12"/>
  <c r="L74" i="12"/>
  <c r="H68" i="5" s="1"/>
  <c r="K74" i="12"/>
  <c r="H123" i="12"/>
  <c r="J123" i="12"/>
  <c r="D124" i="12"/>
  <c r="K122" i="12"/>
  <c r="L122" i="12"/>
  <c r="K68" i="5" s="1"/>
  <c r="H107" i="12"/>
  <c r="J107" i="12"/>
  <c r="D108" i="12"/>
  <c r="K106" i="12"/>
  <c r="J53" i="5" s="1"/>
  <c r="L106" i="12"/>
  <c r="J68" i="5" s="1"/>
  <c r="I48" i="4"/>
  <c r="S48" i="4" s="1"/>
  <c r="K48" i="4"/>
  <c r="U48" i="4" s="1"/>
  <c r="H48" i="4"/>
  <c r="R48" i="4" s="1"/>
  <c r="N48" i="4"/>
  <c r="E48" i="4"/>
  <c r="O48" i="4" s="1"/>
  <c r="G48" i="4"/>
  <c r="Q48" i="4" s="1"/>
  <c r="F48" i="4"/>
  <c r="P48" i="4" s="1"/>
  <c r="H224" i="5"/>
  <c r="G225" i="5"/>
  <c r="G226" i="5"/>
  <c r="H226" i="5"/>
  <c r="G227" i="5"/>
  <c r="H222" i="5"/>
  <c r="H225" i="5"/>
  <c r="H223" i="5"/>
  <c r="H220" i="5"/>
  <c r="H221" i="5"/>
  <c r="H257" i="5"/>
  <c r="D234" i="5"/>
  <c r="D225" i="5"/>
  <c r="D231" i="5"/>
  <c r="D237" i="5"/>
  <c r="D236" i="5"/>
  <c r="D235" i="5"/>
  <c r="D233" i="5"/>
  <c r="D232" i="5"/>
  <c r="D230" i="5"/>
  <c r="D218" i="5"/>
  <c r="D219" i="5"/>
  <c r="D220" i="5"/>
  <c r="D221" i="5"/>
  <c r="D222" i="5"/>
  <c r="D223" i="5"/>
  <c r="D224" i="5"/>
  <c r="G237" i="5"/>
  <c r="G236" i="5"/>
  <c r="G235" i="5"/>
  <c r="G234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D217" i="5"/>
  <c r="F268" i="5"/>
  <c r="D277" i="5"/>
  <c r="H237" i="5"/>
  <c r="H236" i="5"/>
  <c r="H235" i="5"/>
  <c r="H234" i="5"/>
  <c r="H233" i="5"/>
  <c r="D229" i="5"/>
  <c r="D228" i="5"/>
  <c r="D226" i="5"/>
  <c r="D227" i="5"/>
  <c r="F217" i="5"/>
  <c r="F220" i="5"/>
  <c r="E235" i="5"/>
  <c r="F234" i="5"/>
  <c r="E234" i="5"/>
  <c r="F233" i="5"/>
  <c r="E233" i="5"/>
  <c r="F232" i="5"/>
  <c r="E232" i="5"/>
  <c r="F231" i="5"/>
  <c r="E231" i="5"/>
  <c r="F230" i="5"/>
  <c r="G221" i="5"/>
  <c r="E230" i="5"/>
  <c r="F229" i="5"/>
  <c r="E229" i="5"/>
  <c r="F228" i="5"/>
  <c r="F221" i="5"/>
  <c r="E221" i="5"/>
  <c r="E228" i="5"/>
  <c r="F222" i="5"/>
  <c r="F223" i="5"/>
  <c r="E224" i="5"/>
  <c r="E223" i="5"/>
  <c r="E217" i="5"/>
  <c r="G220" i="5"/>
  <c r="G217" i="5"/>
  <c r="H217" i="5"/>
  <c r="E218" i="5"/>
  <c r="F218" i="5"/>
  <c r="G218" i="5"/>
  <c r="H218" i="5"/>
  <c r="E219" i="5"/>
  <c r="F219" i="5"/>
  <c r="G219" i="5"/>
  <c r="H219" i="5"/>
  <c r="E220" i="5"/>
  <c r="E222" i="5"/>
  <c r="G138" i="5"/>
  <c r="H122" i="5"/>
  <c r="D134" i="5"/>
  <c r="D119" i="5"/>
  <c r="D135" i="5"/>
  <c r="D120" i="5"/>
  <c r="D121" i="5"/>
  <c r="D122" i="5"/>
  <c r="D123" i="5"/>
  <c r="D124" i="5"/>
  <c r="H133" i="5"/>
  <c r="H129" i="5"/>
  <c r="G128" i="5"/>
  <c r="H134" i="5"/>
  <c r="G133" i="5"/>
  <c r="G131" i="5"/>
  <c r="H125" i="5"/>
  <c r="D133" i="5"/>
  <c r="G136" i="5"/>
  <c r="H132" i="5"/>
  <c r="G127" i="5"/>
  <c r="G139" i="5"/>
  <c r="G137" i="5"/>
  <c r="G134" i="5"/>
  <c r="H124" i="5"/>
  <c r="H130" i="5"/>
  <c r="H126" i="5"/>
  <c r="G132" i="5"/>
  <c r="G130" i="5"/>
  <c r="G129" i="5"/>
  <c r="H128" i="5"/>
  <c r="H123" i="5"/>
  <c r="G135" i="5"/>
  <c r="H131" i="5"/>
  <c r="H127" i="5"/>
  <c r="D136" i="5"/>
  <c r="D187" i="5"/>
  <c r="D169" i="5"/>
  <c r="D171" i="5"/>
  <c r="D174" i="5"/>
  <c r="D173" i="5"/>
  <c r="D186" i="5"/>
  <c r="D185" i="5"/>
  <c r="D182" i="5"/>
  <c r="D180" i="5"/>
  <c r="D175" i="5"/>
  <c r="D176" i="5"/>
  <c r="D172" i="5"/>
  <c r="D170" i="5"/>
  <c r="D168" i="5"/>
  <c r="D183" i="5"/>
  <c r="G249" i="5"/>
  <c r="H249" i="5"/>
  <c r="G250" i="5"/>
  <c r="H250" i="5"/>
  <c r="F177" i="5"/>
  <c r="E173" i="5"/>
  <c r="G175" i="5"/>
  <c r="E174" i="5"/>
  <c r="E179" i="5"/>
  <c r="F175" i="5"/>
  <c r="G174" i="5"/>
  <c r="F173" i="5"/>
  <c r="E172" i="5"/>
  <c r="G171" i="5"/>
  <c r="F170" i="5"/>
  <c r="H169" i="5"/>
  <c r="E169" i="5"/>
  <c r="E176" i="5"/>
  <c r="D177" i="5"/>
  <c r="D178" i="5"/>
  <c r="D179" i="5"/>
  <c r="D181" i="5"/>
  <c r="D184" i="5"/>
  <c r="D188" i="5"/>
  <c r="G168" i="5"/>
  <c r="G169" i="5"/>
  <c r="E170" i="5"/>
  <c r="G170" i="5"/>
  <c r="F171" i="5"/>
  <c r="G172" i="5"/>
  <c r="G173" i="5"/>
  <c r="F174" i="5"/>
  <c r="E175" i="5"/>
  <c r="F176" i="5"/>
  <c r="E177" i="5"/>
  <c r="E178" i="5"/>
  <c r="F178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68" i="5"/>
  <c r="H168" i="5"/>
  <c r="F169" i="5"/>
  <c r="H170" i="5"/>
  <c r="E171" i="5"/>
  <c r="F172" i="5"/>
  <c r="F168" i="5"/>
  <c r="I268" i="5"/>
  <c r="E277" i="5"/>
  <c r="G182" i="5"/>
  <c r="H183" i="5"/>
  <c r="H175" i="5"/>
  <c r="H176" i="5"/>
  <c r="G177" i="5"/>
  <c r="G179" i="5"/>
  <c r="H179" i="5"/>
  <c r="G180" i="5"/>
  <c r="H180" i="5"/>
  <c r="G181" i="5"/>
  <c r="H182" i="5"/>
  <c r="G183" i="5"/>
  <c r="H181" i="5"/>
  <c r="H177" i="5"/>
  <c r="H172" i="5"/>
  <c r="H178" i="5"/>
  <c r="G176" i="5"/>
  <c r="H174" i="5"/>
  <c r="H173" i="5"/>
  <c r="H171" i="5"/>
  <c r="G188" i="5"/>
  <c r="G187" i="5"/>
  <c r="G186" i="5"/>
  <c r="G185" i="5"/>
  <c r="G184" i="5"/>
  <c r="G178" i="5"/>
  <c r="D125" i="5"/>
  <c r="D126" i="5"/>
  <c r="D127" i="5"/>
  <c r="D128" i="5"/>
  <c r="D129" i="5"/>
  <c r="D130" i="5"/>
  <c r="D131" i="5"/>
  <c r="D137" i="5"/>
  <c r="D139" i="5"/>
  <c r="H137" i="5"/>
  <c r="H139" i="5"/>
  <c r="H136" i="5"/>
  <c r="H135" i="5"/>
  <c r="H138" i="5"/>
  <c r="D132" i="5"/>
  <c r="D138" i="5"/>
  <c r="G88" i="5"/>
  <c r="H88" i="5" s="1"/>
  <c r="K88" i="5"/>
  <c r="L88" i="5"/>
  <c r="L87" i="5"/>
  <c r="K87" i="5"/>
  <c r="L86" i="5"/>
  <c r="K86" i="5"/>
  <c r="L85" i="5"/>
  <c r="K85" i="5"/>
  <c r="I87" i="5"/>
  <c r="J87" i="5"/>
  <c r="I86" i="5"/>
  <c r="D10" i="8" s="1"/>
  <c r="E10" i="8" s="1"/>
  <c r="J86" i="5"/>
  <c r="I85" i="5"/>
  <c r="D9" i="8" s="1"/>
  <c r="E9" i="8" s="1"/>
  <c r="J85" i="5"/>
  <c r="G11" i="14"/>
  <c r="G69" i="14"/>
  <c r="G39" i="8" l="1"/>
  <c r="G40" i="8"/>
  <c r="F40" i="8"/>
  <c r="F39" i="8"/>
  <c r="F38" i="8"/>
  <c r="F37" i="8"/>
  <c r="G37" i="8"/>
  <c r="F35" i="8"/>
  <c r="G35" i="8"/>
  <c r="F36" i="8"/>
  <c r="G38" i="8"/>
  <c r="G36" i="8"/>
  <c r="K43" i="12"/>
  <c r="F54" i="5" s="1"/>
  <c r="L43" i="12"/>
  <c r="F69" i="5" s="1"/>
  <c r="H44" i="12"/>
  <c r="J44" i="12"/>
  <c r="D45" i="12"/>
  <c r="H92" i="12"/>
  <c r="J92" i="12"/>
  <c r="D93" i="12"/>
  <c r="K91" i="12"/>
  <c r="L91" i="12"/>
  <c r="I69" i="5" s="1"/>
  <c r="G434" i="5"/>
  <c r="I434" i="5"/>
  <c r="G242" i="5"/>
  <c r="I242" i="5"/>
  <c r="I53" i="5"/>
  <c r="K11" i="12"/>
  <c r="D54" i="5" s="1"/>
  <c r="L11" i="12"/>
  <c r="D69" i="5" s="1"/>
  <c r="H12" i="12"/>
  <c r="J12" i="12"/>
  <c r="D13" i="12"/>
  <c r="K107" i="12"/>
  <c r="J54" i="5" s="1"/>
  <c r="L107" i="12"/>
  <c r="J69" i="5" s="1"/>
  <c r="I38" i="8"/>
  <c r="I39" i="8"/>
  <c r="D20" i="8"/>
  <c r="H38" i="8"/>
  <c r="I35" i="8"/>
  <c r="H35" i="8"/>
  <c r="I36" i="8"/>
  <c r="H36" i="8"/>
  <c r="I37" i="8"/>
  <c r="H37" i="8"/>
  <c r="I40" i="8"/>
  <c r="H40" i="8"/>
  <c r="H39" i="8"/>
  <c r="J60" i="12"/>
  <c r="H60" i="12"/>
  <c r="D61" i="12"/>
  <c r="L59" i="12"/>
  <c r="G69" i="5" s="1"/>
  <c r="K59" i="12"/>
  <c r="G54" i="5" s="1"/>
  <c r="D24" i="5"/>
  <c r="D29" i="12"/>
  <c r="J28" i="12"/>
  <c r="H28" i="12"/>
  <c r="H24" i="5" s="1"/>
  <c r="J23" i="5"/>
  <c r="K23" i="5" s="1"/>
  <c r="L27" i="12"/>
  <c r="K27" i="12"/>
  <c r="E68" i="5"/>
  <c r="M22" i="5"/>
  <c r="E53" i="5"/>
  <c r="L22" i="5"/>
  <c r="D77" i="12"/>
  <c r="J76" i="12"/>
  <c r="H76" i="12"/>
  <c r="L75" i="12"/>
  <c r="H69" i="5" s="1"/>
  <c r="K75" i="12"/>
  <c r="D434" i="5"/>
  <c r="H53" i="5"/>
  <c r="D242" i="5"/>
  <c r="F242" i="5"/>
  <c r="F434" i="5"/>
  <c r="L123" i="12"/>
  <c r="K69" i="5" s="1"/>
  <c r="K123" i="12"/>
  <c r="D125" i="12"/>
  <c r="J124" i="12"/>
  <c r="H124" i="12"/>
  <c r="J434" i="5"/>
  <c r="L434" i="5"/>
  <c r="K53" i="5"/>
  <c r="L242" i="5"/>
  <c r="J242" i="5"/>
  <c r="D109" i="12"/>
  <c r="J108" i="12"/>
  <c r="H108" i="12"/>
  <c r="J88" i="5"/>
  <c r="I88" i="5"/>
  <c r="D11" i="8" s="1"/>
  <c r="E11" i="8" s="1"/>
  <c r="H8" i="14"/>
  <c r="G71" i="14"/>
  <c r="G28" i="8" l="1"/>
  <c r="I28" i="8"/>
  <c r="I26" i="8"/>
  <c r="H26" i="8"/>
  <c r="I25" i="8"/>
  <c r="H25" i="8"/>
  <c r="G25" i="8"/>
  <c r="K44" i="12"/>
  <c r="F55" i="5" s="1"/>
  <c r="L44" i="12"/>
  <c r="F70" i="5" s="1"/>
  <c r="H45" i="12"/>
  <c r="J45" i="12"/>
  <c r="D46" i="12"/>
  <c r="K92" i="12"/>
  <c r="L92" i="12"/>
  <c r="I70" i="5" s="1"/>
  <c r="H93" i="12"/>
  <c r="J93" i="12"/>
  <c r="D94" i="12"/>
  <c r="G435" i="5"/>
  <c r="G243" i="5"/>
  <c r="I243" i="5"/>
  <c r="I54" i="5"/>
  <c r="I435" i="5"/>
  <c r="K12" i="12"/>
  <c r="D55" i="5" s="1"/>
  <c r="L12" i="12"/>
  <c r="D70" i="5" s="1"/>
  <c r="H13" i="12"/>
  <c r="J13" i="12"/>
  <c r="D14" i="12"/>
  <c r="H27" i="8"/>
  <c r="H24" i="8"/>
  <c r="H28" i="8"/>
  <c r="G26" i="8"/>
  <c r="H29" i="8"/>
  <c r="G27" i="8"/>
  <c r="I27" i="8"/>
  <c r="G29" i="8"/>
  <c r="G24" i="8"/>
  <c r="I29" i="8"/>
  <c r="J29" i="8" s="1"/>
  <c r="I24" i="8"/>
  <c r="L60" i="12"/>
  <c r="G70" i="5" s="1"/>
  <c r="K60" i="12"/>
  <c r="G55" i="5" s="1"/>
  <c r="H61" i="12"/>
  <c r="J61" i="12"/>
  <c r="D62" i="12"/>
  <c r="D30" i="12"/>
  <c r="D25" i="5"/>
  <c r="J29" i="12"/>
  <c r="H29" i="12"/>
  <c r="H25" i="5" s="1"/>
  <c r="L28" i="12"/>
  <c r="J24" i="5"/>
  <c r="K24" i="5" s="1"/>
  <c r="K28" i="12"/>
  <c r="M23" i="5"/>
  <c r="E69" i="5"/>
  <c r="E54" i="5"/>
  <c r="L23" i="5"/>
  <c r="H77" i="12"/>
  <c r="J77" i="12"/>
  <c r="D78" i="12"/>
  <c r="K76" i="12"/>
  <c r="L76" i="12"/>
  <c r="H70" i="5" s="1"/>
  <c r="F435" i="5"/>
  <c r="H54" i="5"/>
  <c r="D435" i="5"/>
  <c r="D243" i="5"/>
  <c r="F243" i="5"/>
  <c r="J435" i="5"/>
  <c r="L243" i="5"/>
  <c r="L435" i="5"/>
  <c r="K54" i="5"/>
  <c r="J243" i="5"/>
  <c r="J125" i="12"/>
  <c r="D126" i="12"/>
  <c r="H125" i="12"/>
  <c r="L124" i="12"/>
  <c r="K70" i="5" s="1"/>
  <c r="K124" i="12"/>
  <c r="D110" i="12"/>
  <c r="H109" i="12"/>
  <c r="J109" i="12"/>
  <c r="K108" i="12"/>
  <c r="J55" i="5" s="1"/>
  <c r="L108" i="12"/>
  <c r="J70" i="5" s="1"/>
  <c r="J40" i="8"/>
  <c r="J39" i="8"/>
  <c r="K40" i="8"/>
  <c r="K39" i="8"/>
  <c r="K38" i="8"/>
  <c r="J37" i="8"/>
  <c r="K37" i="8"/>
  <c r="J36" i="8"/>
  <c r="K36" i="8"/>
  <c r="J35" i="8"/>
  <c r="K35" i="8"/>
  <c r="J38" i="8"/>
  <c r="H68" i="14"/>
  <c r="H9" i="14"/>
  <c r="K25" i="8" l="1"/>
  <c r="J26" i="8"/>
  <c r="J25" i="8"/>
  <c r="L45" i="12"/>
  <c r="F71" i="5" s="1"/>
  <c r="K45" i="12"/>
  <c r="F56" i="5" s="1"/>
  <c r="K26" i="8"/>
  <c r="J27" i="8"/>
  <c r="J24" i="8"/>
  <c r="H46" i="12"/>
  <c r="D47" i="12"/>
  <c r="G436" i="5"/>
  <c r="I436" i="5"/>
  <c r="I55" i="5"/>
  <c r="G244" i="5"/>
  <c r="I244" i="5"/>
  <c r="L93" i="12"/>
  <c r="I71" i="5" s="1"/>
  <c r="K93" i="12"/>
  <c r="K29" i="8"/>
  <c r="K24" i="8"/>
  <c r="K27" i="8"/>
  <c r="H94" i="12"/>
  <c r="D95" i="12"/>
  <c r="K13" i="12"/>
  <c r="D56" i="5" s="1"/>
  <c r="L13" i="12"/>
  <c r="D71" i="5" s="1"/>
  <c r="H14" i="12"/>
  <c r="D15" i="12"/>
  <c r="L24" i="5"/>
  <c r="E55" i="5"/>
  <c r="J28" i="8"/>
  <c r="K28" i="8"/>
  <c r="K61" i="12"/>
  <c r="G56" i="5" s="1"/>
  <c r="L61" i="12"/>
  <c r="G71" i="5" s="1"/>
  <c r="D63" i="12"/>
  <c r="H62" i="12"/>
  <c r="J25" i="5"/>
  <c r="K25" i="5" s="1"/>
  <c r="L29" i="12"/>
  <c r="K29" i="12"/>
  <c r="E70" i="5"/>
  <c r="M24" i="5"/>
  <c r="K77" i="12"/>
  <c r="L77" i="12"/>
  <c r="H71" i="5" s="1"/>
  <c r="D79" i="12"/>
  <c r="H78" i="12"/>
  <c r="H55" i="5"/>
  <c r="D244" i="5"/>
  <c r="F244" i="5"/>
  <c r="D436" i="5"/>
  <c r="F436" i="5"/>
  <c r="K125" i="12"/>
  <c r="L125" i="12"/>
  <c r="K71" i="5" s="1"/>
  <c r="H126" i="12"/>
  <c r="D127" i="12"/>
  <c r="L244" i="5"/>
  <c r="J244" i="5"/>
  <c r="L436" i="5"/>
  <c r="J436" i="5"/>
  <c r="K55" i="5"/>
  <c r="H110" i="12"/>
  <c r="D111" i="12"/>
  <c r="L109" i="12"/>
  <c r="J71" i="5" s="1"/>
  <c r="K109" i="12"/>
  <c r="J56" i="5" s="1"/>
  <c r="H30" i="12"/>
  <c r="H26" i="5" s="1"/>
  <c r="D31" i="12"/>
  <c r="D26" i="5"/>
  <c r="H11" i="14"/>
  <c r="H69" i="14"/>
  <c r="H47" i="12" l="1"/>
  <c r="D48" i="12"/>
  <c r="I56" i="5"/>
  <c r="I437" i="5"/>
  <c r="G245" i="5"/>
  <c r="I245" i="5"/>
  <c r="G437" i="5"/>
  <c r="H95" i="12"/>
  <c r="D96" i="12"/>
  <c r="H15" i="12"/>
  <c r="D16" i="12"/>
  <c r="F437" i="5"/>
  <c r="D245" i="5"/>
  <c r="F245" i="5"/>
  <c r="J245" i="5"/>
  <c r="L245" i="5"/>
  <c r="K56" i="5"/>
  <c r="J437" i="5"/>
  <c r="L437" i="5"/>
  <c r="H127" i="12"/>
  <c r="D128" i="12"/>
  <c r="H111" i="12"/>
  <c r="D112" i="12"/>
  <c r="D64" i="12"/>
  <c r="H63" i="12"/>
  <c r="M25" i="5"/>
  <c r="E71" i="5"/>
  <c r="L25" i="5"/>
  <c r="E56" i="5"/>
  <c r="H56" i="5"/>
  <c r="D437" i="5"/>
  <c r="H79" i="12"/>
  <c r="D80" i="12"/>
  <c r="H31" i="12"/>
  <c r="H27" i="5" s="1"/>
  <c r="D32" i="12"/>
  <c r="D27" i="5"/>
  <c r="I8" i="14"/>
  <c r="H71" i="14"/>
  <c r="I11" i="14"/>
  <c r="D49" i="12" l="1"/>
  <c r="H48" i="12"/>
  <c r="H16" i="12"/>
  <c r="D17" i="12"/>
  <c r="H96" i="12"/>
  <c r="D97" i="12"/>
  <c r="H128" i="12"/>
  <c r="D129" i="12"/>
  <c r="H112" i="12"/>
  <c r="D113" i="12"/>
  <c r="D65" i="12"/>
  <c r="H64" i="12"/>
  <c r="H80" i="12"/>
  <c r="D81" i="12"/>
  <c r="H32" i="12"/>
  <c r="H28" i="5" s="1"/>
  <c r="D28" i="5"/>
  <c r="D33" i="12"/>
  <c r="I68" i="14"/>
  <c r="I9" i="14"/>
  <c r="I71" i="14"/>
  <c r="H49" i="12" l="1"/>
  <c r="D50" i="12"/>
  <c r="H50" i="12" s="1"/>
  <c r="H17" i="12"/>
  <c r="D18" i="12"/>
  <c r="H18" i="12" s="1"/>
  <c r="H113" i="12"/>
  <c r="D114" i="12"/>
  <c r="H114" i="12" s="1"/>
  <c r="D66" i="12"/>
  <c r="H66" i="12" s="1"/>
  <c r="H65" i="12"/>
  <c r="H97" i="12"/>
  <c r="D98" i="12"/>
  <c r="H98" i="12" s="1"/>
  <c r="H129" i="12"/>
  <c r="D130" i="12"/>
  <c r="H130" i="12" s="1"/>
  <c r="H81" i="12"/>
  <c r="D82" i="12"/>
  <c r="H82" i="12" s="1"/>
  <c r="H33" i="12"/>
  <c r="H29" i="5" s="1"/>
  <c r="D34" i="12"/>
  <c r="D29" i="5"/>
  <c r="I69" i="14"/>
  <c r="I10" i="14"/>
  <c r="H34" i="12" l="1"/>
  <c r="H30" i="5" s="1"/>
  <c r="D30" i="5"/>
  <c r="I8" i="3"/>
  <c r="I13" i="3" s="1"/>
  <c r="E28" i="4"/>
  <c r="G28" i="4" s="1"/>
  <c r="H28" i="4" s="1"/>
  <c r="I70" i="14"/>
  <c r="I21" i="3" s="1"/>
  <c r="E34" i="4" l="1"/>
  <c r="G34" i="4" s="1"/>
  <c r="H34" i="4" s="1"/>
  <c r="I20" i="3"/>
  <c r="I27" i="3" s="1"/>
  <c r="I125" i="12"/>
  <c r="I23" i="4"/>
  <c r="D22" i="3"/>
  <c r="D24" i="2" s="1"/>
  <c r="D9" i="4" s="1"/>
  <c r="I13" i="12"/>
  <c r="I29" i="12"/>
  <c r="I45" i="12"/>
  <c r="I61" i="12"/>
  <c r="I77" i="12"/>
  <c r="I109" i="12"/>
  <c r="I93" i="12"/>
  <c r="I30" i="3" l="1"/>
  <c r="I31" i="3"/>
  <c r="G126" i="12"/>
  <c r="K41" i="5"/>
  <c r="G14" i="12"/>
  <c r="D41" i="5"/>
  <c r="G30" i="12"/>
  <c r="G26" i="5" s="1"/>
  <c r="I25" i="5"/>
  <c r="E41" i="5"/>
  <c r="G46" i="12"/>
  <c r="F41" i="5"/>
  <c r="G62" i="12"/>
  <c r="G41" i="5"/>
  <c r="G78" i="12"/>
  <c r="H41" i="5"/>
  <c r="J41" i="5"/>
  <c r="G110" i="12"/>
  <c r="G94" i="12"/>
  <c r="I41" i="5"/>
  <c r="I110" i="12" l="1"/>
  <c r="J110" i="12"/>
  <c r="J78" i="12"/>
  <c r="I78" i="12"/>
  <c r="J126" i="12"/>
  <c r="I126" i="12"/>
  <c r="J94" i="12"/>
  <c r="I94" i="12"/>
  <c r="I14" i="12"/>
  <c r="J14" i="12"/>
  <c r="J46" i="12"/>
  <c r="I46" i="12"/>
  <c r="J62" i="12"/>
  <c r="I62" i="12"/>
  <c r="J30" i="12"/>
  <c r="J26" i="5" s="1"/>
  <c r="K26" i="5" s="1"/>
  <c r="I30" i="12"/>
  <c r="J42" i="5" l="1"/>
  <c r="G111" i="12"/>
  <c r="L110" i="12"/>
  <c r="J72" i="5" s="1"/>
  <c r="K110" i="12"/>
  <c r="J57" i="5" s="1"/>
  <c r="L78" i="12"/>
  <c r="H72" i="5" s="1"/>
  <c r="K78" i="12"/>
  <c r="G79" i="12"/>
  <c r="H42" i="5"/>
  <c r="K46" i="12"/>
  <c r="F57" i="5" s="1"/>
  <c r="L46" i="12"/>
  <c r="F72" i="5" s="1"/>
  <c r="L126" i="12"/>
  <c r="K72" i="5" s="1"/>
  <c r="K126" i="12"/>
  <c r="K57" i="5" s="1"/>
  <c r="K42" i="5"/>
  <c r="G127" i="12"/>
  <c r="L94" i="12"/>
  <c r="I72" i="5" s="1"/>
  <c r="K94" i="12"/>
  <c r="I42" i="5"/>
  <c r="G95" i="12"/>
  <c r="K62" i="12"/>
  <c r="G57" i="5" s="1"/>
  <c r="L62" i="12"/>
  <c r="G72" i="5" s="1"/>
  <c r="D42" i="5"/>
  <c r="G15" i="12"/>
  <c r="L14" i="12"/>
  <c r="D72" i="5" s="1"/>
  <c r="K14" i="12"/>
  <c r="D57" i="5" s="1"/>
  <c r="L30" i="12"/>
  <c r="K30" i="12"/>
  <c r="G31" i="12"/>
  <c r="E42" i="5"/>
  <c r="I26" i="5"/>
  <c r="F42" i="5"/>
  <c r="G47" i="12"/>
  <c r="G42" i="5"/>
  <c r="G63" i="12"/>
  <c r="J111" i="12" l="1"/>
  <c r="I111" i="12"/>
  <c r="D246" i="5"/>
  <c r="F246" i="5"/>
  <c r="H57" i="5"/>
  <c r="F438" i="5"/>
  <c r="D438" i="5"/>
  <c r="J79" i="12"/>
  <c r="I79" i="12"/>
  <c r="I57" i="5"/>
  <c r="G246" i="5"/>
  <c r="I246" i="5"/>
  <c r="G438" i="5"/>
  <c r="I438" i="5"/>
  <c r="J246" i="5"/>
  <c r="L246" i="5"/>
  <c r="L438" i="5"/>
  <c r="J438" i="5"/>
  <c r="I127" i="12"/>
  <c r="J127" i="12"/>
  <c r="I95" i="12"/>
  <c r="J95" i="12"/>
  <c r="I15" i="12"/>
  <c r="J15" i="12"/>
  <c r="E57" i="5"/>
  <c r="L26" i="5"/>
  <c r="G27" i="5"/>
  <c r="J31" i="12"/>
  <c r="I31" i="12"/>
  <c r="I47" i="12"/>
  <c r="J47" i="12"/>
  <c r="M26" i="5"/>
  <c r="E72" i="5"/>
  <c r="I63" i="12"/>
  <c r="J63" i="12"/>
  <c r="F43" i="5" l="1"/>
  <c r="G48" i="12"/>
  <c r="K79" i="12"/>
  <c r="L79" i="12"/>
  <c r="H73" i="5" s="1"/>
  <c r="L111" i="12"/>
  <c r="J73" i="5" s="1"/>
  <c r="K111" i="12"/>
  <c r="J58" i="5" s="1"/>
  <c r="J43" i="5"/>
  <c r="G112" i="12"/>
  <c r="H43" i="5"/>
  <c r="G80" i="12"/>
  <c r="K31" i="12"/>
  <c r="L31" i="12"/>
  <c r="J27" i="5"/>
  <c r="K27" i="5" s="1"/>
  <c r="I27" i="5"/>
  <c r="E43" i="5"/>
  <c r="G32" i="12"/>
  <c r="G128" i="12"/>
  <c r="K43" i="5"/>
  <c r="L127" i="12"/>
  <c r="K73" i="5" s="1"/>
  <c r="K127" i="12"/>
  <c r="G96" i="12"/>
  <c r="I43" i="5"/>
  <c r="L95" i="12"/>
  <c r="I73" i="5" s="1"/>
  <c r="K95" i="12"/>
  <c r="D43" i="5"/>
  <c r="G16" i="12"/>
  <c r="L15" i="12"/>
  <c r="D73" i="5" s="1"/>
  <c r="K15" i="12"/>
  <c r="D58" i="5" s="1"/>
  <c r="L47" i="12"/>
  <c r="F73" i="5" s="1"/>
  <c r="K47" i="12"/>
  <c r="F58" i="5" s="1"/>
  <c r="G43" i="5"/>
  <c r="G64" i="12"/>
  <c r="L63" i="12"/>
  <c r="G73" i="5" s="1"/>
  <c r="K63" i="12"/>
  <c r="G58" i="5" s="1"/>
  <c r="J48" i="12" l="1"/>
  <c r="I48" i="12"/>
  <c r="D439" i="5"/>
  <c r="D247" i="5"/>
  <c r="F247" i="5"/>
  <c r="H58" i="5"/>
  <c r="F439" i="5"/>
  <c r="I112" i="12"/>
  <c r="J112" i="12"/>
  <c r="I80" i="12"/>
  <c r="J80" i="12"/>
  <c r="I128" i="12"/>
  <c r="J128" i="12"/>
  <c r="E58" i="5"/>
  <c r="L27" i="5"/>
  <c r="E73" i="5"/>
  <c r="M27" i="5"/>
  <c r="G28" i="5"/>
  <c r="I32" i="12"/>
  <c r="J32" i="12"/>
  <c r="L247" i="5"/>
  <c r="L439" i="5"/>
  <c r="J439" i="5"/>
  <c r="J247" i="5"/>
  <c r="K58" i="5"/>
  <c r="I96" i="12"/>
  <c r="J96" i="12"/>
  <c r="I247" i="5"/>
  <c r="I439" i="5"/>
  <c r="G247" i="5"/>
  <c r="I58" i="5"/>
  <c r="G439" i="5"/>
  <c r="J16" i="12"/>
  <c r="I16" i="12"/>
  <c r="I64" i="12"/>
  <c r="J64" i="12"/>
  <c r="L48" i="12" l="1"/>
  <c r="F74" i="5" s="1"/>
  <c r="K48" i="12"/>
  <c r="F59" i="5" s="1"/>
  <c r="F44" i="5"/>
  <c r="G49" i="12"/>
  <c r="G113" i="12"/>
  <c r="J44" i="5"/>
  <c r="L112" i="12"/>
  <c r="J74" i="5" s="1"/>
  <c r="K112" i="12"/>
  <c r="J59" i="5" s="1"/>
  <c r="H44" i="5"/>
  <c r="G81" i="12"/>
  <c r="L80" i="12"/>
  <c r="H74" i="5" s="1"/>
  <c r="K80" i="12"/>
  <c r="H59" i="5" s="1"/>
  <c r="G129" i="12"/>
  <c r="K44" i="5"/>
  <c r="L128" i="12"/>
  <c r="K74" i="5" s="1"/>
  <c r="K128" i="12"/>
  <c r="K59" i="5" s="1"/>
  <c r="I44" i="5"/>
  <c r="G97" i="12"/>
  <c r="G44" i="5"/>
  <c r="G65" i="12"/>
  <c r="I28" i="5"/>
  <c r="E44" i="5"/>
  <c r="G33" i="12"/>
  <c r="K32" i="12"/>
  <c r="L32" i="12"/>
  <c r="J28" i="5"/>
  <c r="K28" i="5" s="1"/>
  <c r="L96" i="12"/>
  <c r="I74" i="5" s="1"/>
  <c r="K96" i="12"/>
  <c r="I59" i="5" s="1"/>
  <c r="L16" i="12"/>
  <c r="D74" i="5" s="1"/>
  <c r="K16" i="12"/>
  <c r="D59" i="5" s="1"/>
  <c r="D44" i="5"/>
  <c r="G17" i="12"/>
  <c r="K64" i="12"/>
  <c r="G59" i="5" s="1"/>
  <c r="L64" i="12"/>
  <c r="G74" i="5" s="1"/>
  <c r="I49" i="12" l="1"/>
  <c r="J49" i="12"/>
  <c r="I81" i="12"/>
  <c r="J81" i="12"/>
  <c r="J113" i="12"/>
  <c r="I113" i="12"/>
  <c r="I129" i="12"/>
  <c r="J129" i="12"/>
  <c r="J97" i="12"/>
  <c r="I97" i="12"/>
  <c r="I65" i="12"/>
  <c r="J65" i="12"/>
  <c r="I17" i="12"/>
  <c r="J17" i="12"/>
  <c r="G29" i="5"/>
  <c r="I33" i="12"/>
  <c r="J33" i="12"/>
  <c r="E59" i="5"/>
  <c r="L28" i="5"/>
  <c r="E74" i="5"/>
  <c r="M28" i="5"/>
  <c r="F45" i="5" l="1"/>
  <c r="G50" i="12"/>
  <c r="L49" i="12"/>
  <c r="F75" i="5" s="1"/>
  <c r="K49" i="12"/>
  <c r="F60" i="5" s="1"/>
  <c r="J45" i="5"/>
  <c r="G114" i="12"/>
  <c r="H45" i="5"/>
  <c r="G82" i="12"/>
  <c r="L81" i="12"/>
  <c r="H75" i="5" s="1"/>
  <c r="K81" i="12"/>
  <c r="H60" i="5" s="1"/>
  <c r="K113" i="12"/>
  <c r="J60" i="5" s="1"/>
  <c r="L113" i="12"/>
  <c r="J75" i="5" s="1"/>
  <c r="K45" i="5"/>
  <c r="G130" i="12"/>
  <c r="L129" i="12"/>
  <c r="K75" i="5" s="1"/>
  <c r="K129" i="12"/>
  <c r="K60" i="5" s="1"/>
  <c r="L97" i="12"/>
  <c r="I75" i="5" s="1"/>
  <c r="K97" i="12"/>
  <c r="I60" i="5" s="1"/>
  <c r="G98" i="12"/>
  <c r="I45" i="5"/>
  <c r="G45" i="5"/>
  <c r="G66" i="12"/>
  <c r="L65" i="12"/>
  <c r="G75" i="5" s="1"/>
  <c r="K65" i="12"/>
  <c r="G60" i="5" s="1"/>
  <c r="G18" i="12"/>
  <c r="D45" i="5"/>
  <c r="L17" i="12"/>
  <c r="D75" i="5" s="1"/>
  <c r="K17" i="12"/>
  <c r="D60" i="5" s="1"/>
  <c r="E45" i="5"/>
  <c r="I29" i="5"/>
  <c r="G34" i="12"/>
  <c r="L33" i="12"/>
  <c r="K33" i="12"/>
  <c r="J29" i="5"/>
  <c r="K29" i="5" s="1"/>
  <c r="I50" i="12" l="1"/>
  <c r="F46" i="5" s="1"/>
  <c r="J50" i="12"/>
  <c r="I114" i="12"/>
  <c r="J46" i="5" s="1"/>
  <c r="J114" i="12"/>
  <c r="I82" i="12"/>
  <c r="H46" i="5" s="1"/>
  <c r="J82" i="12"/>
  <c r="J66" i="12"/>
  <c r="I66" i="12"/>
  <c r="G46" i="5" s="1"/>
  <c r="J130" i="12"/>
  <c r="I130" i="12"/>
  <c r="K46" i="5" s="1"/>
  <c r="I98" i="12"/>
  <c r="I46" i="5" s="1"/>
  <c r="J98" i="12"/>
  <c r="I18" i="12"/>
  <c r="D46" i="5" s="1"/>
  <c r="J18" i="12"/>
  <c r="G30" i="5"/>
  <c r="I34" i="12"/>
  <c r="J34" i="12"/>
  <c r="E75" i="5"/>
  <c r="M29" i="5"/>
  <c r="E60" i="5"/>
  <c r="L29" i="5"/>
  <c r="L50" i="12" l="1"/>
  <c r="F76" i="5" s="1"/>
  <c r="K50" i="12"/>
  <c r="F61" i="5" s="1"/>
  <c r="L114" i="12"/>
  <c r="J76" i="5" s="1"/>
  <c r="K114" i="12"/>
  <c r="J61" i="5" s="1"/>
  <c r="L82" i="12"/>
  <c r="H76" i="5" s="1"/>
  <c r="K82" i="12"/>
  <c r="H61" i="5" s="1"/>
  <c r="L66" i="12"/>
  <c r="G76" i="5" s="1"/>
  <c r="K66" i="12"/>
  <c r="G61" i="5" s="1"/>
  <c r="L130" i="12"/>
  <c r="K76" i="5" s="1"/>
  <c r="K130" i="12"/>
  <c r="K61" i="5" s="1"/>
  <c r="L98" i="12"/>
  <c r="I76" i="5" s="1"/>
  <c r="K98" i="12"/>
  <c r="I61" i="5" s="1"/>
  <c r="L18" i="12"/>
  <c r="D76" i="5" s="1"/>
  <c r="K18" i="12"/>
  <c r="D61" i="5" s="1"/>
  <c r="E46" i="5"/>
  <c r="I30" i="5"/>
  <c r="K34" i="12"/>
  <c r="L34" i="12"/>
  <c r="J30" i="5"/>
  <c r="K30" i="5" s="1"/>
  <c r="L30" i="5" l="1"/>
  <c r="E61" i="5"/>
  <c r="M30" i="5"/>
  <c r="E76" i="5"/>
</calcChain>
</file>

<file path=xl/sharedStrings.xml><?xml version="1.0" encoding="utf-8"?>
<sst xmlns="http://schemas.openxmlformats.org/spreadsheetml/2006/main" count="687" uniqueCount="297">
  <si>
    <t>AI Transition Explainer Model</t>
  </si>
  <si>
    <t>Companion to Wachter and Wachter (2026): What Investment Data Implies about the AI Transition</t>
  </si>
  <si>
    <t>x</t>
  </si>
  <si>
    <t>Sheet Index</t>
  </si>
  <si>
    <t>Tab Name</t>
  </si>
  <si>
    <t>Description</t>
  </si>
  <si>
    <t>Cover</t>
  </si>
  <si>
    <t>Dashboard</t>
  </si>
  <si>
    <t>Summary tables and charts</t>
  </si>
  <si>
    <t>Parameters</t>
  </si>
  <si>
    <t>Model inputs and calibrated parameters</t>
  </si>
  <si>
    <t>Capex Build</t>
  </si>
  <si>
    <t>Model 1 - Calibration</t>
  </si>
  <si>
    <t>Two-sector open economy model, with AI sector productivity subject to rare booms</t>
  </si>
  <si>
    <t>Model 1 - Inv &amp; GDP Paths</t>
  </si>
  <si>
    <t>Model 2 - Riskfree and ERP</t>
  </si>
  <si>
    <t>Legend</t>
  </si>
  <si>
    <t>Yellow fill with blue text: User-editable inputs</t>
  </si>
  <si>
    <t>Blue text: Hard-coded source data</t>
  </si>
  <si>
    <t>Black text: Formulas</t>
  </si>
  <si>
    <t>Green text: links to another sheet</t>
  </si>
  <si>
    <t>Usage Guide</t>
  </si>
  <si>
    <t>Summary Dashboard</t>
  </si>
  <si>
    <t>Wachter and Wachter (2026): What Investment Data Implies about the AI Transition</t>
  </si>
  <si>
    <t>Capex Data</t>
  </si>
  <si>
    <t>Investment Paths</t>
  </si>
  <si>
    <t>GDP Growth Paths</t>
  </si>
  <si>
    <t>Risk-free and ERP</t>
  </si>
  <si>
    <t>Assumed Parameters</t>
  </si>
  <si>
    <t>Named Range</t>
  </si>
  <si>
    <t>Default</t>
  </si>
  <si>
    <t>alpha</t>
  </si>
  <si>
    <t>Capital share (Cobb-Douglas)</t>
  </si>
  <si>
    <t>delta_a</t>
  </si>
  <si>
    <t>AI sector capital depreciation rate</t>
  </si>
  <si>
    <t>delta_n</t>
  </si>
  <si>
    <t>Non-AI sector capital depreciation rate</t>
  </si>
  <si>
    <t>r_a</t>
  </si>
  <si>
    <t>r_n</t>
  </si>
  <si>
    <t>p_max</t>
  </si>
  <si>
    <t>Window boom probability</t>
  </si>
  <si>
    <t>theta_a</t>
  </si>
  <si>
    <t>Partial adjustment: fraction 1/theta of the gap closed each year</t>
  </si>
  <si>
    <t>I_total_pre</t>
  </si>
  <si>
    <t>2022 US gross private fixed investment ($B)</t>
  </si>
  <si>
    <t>Calibrated Parameters</t>
  </si>
  <si>
    <t>Value</t>
  </si>
  <si>
    <t>Formula / Description</t>
  </si>
  <si>
    <t>I_pre</t>
  </si>
  <si>
    <t>I_bar</t>
  </si>
  <si>
    <t>K0</t>
  </si>
  <si>
    <t>Pre-boom AI capital stock ($B)</t>
  </si>
  <si>
    <t>exp_xi</t>
  </si>
  <si>
    <t>xi</t>
  </si>
  <si>
    <t>Log boom size xi</t>
  </si>
  <si>
    <t>z0</t>
  </si>
  <si>
    <t>Pre-boom AI productivity level</t>
  </si>
  <si>
    <t>z1</t>
  </si>
  <si>
    <t>Post-boom AI productivity level</t>
  </si>
  <si>
    <t>Ya0</t>
  </si>
  <si>
    <t>Pre-boom AI output ($B)</t>
  </si>
  <si>
    <t>Yn0</t>
  </si>
  <si>
    <t>Non-AI output, fixed ($B)</t>
  </si>
  <si>
    <t>GDP_0</t>
  </si>
  <si>
    <t>Kn0</t>
  </si>
  <si>
    <t>Non-AI capital stock ($B)</t>
  </si>
  <si>
    <t>p_star</t>
  </si>
  <si>
    <t>Ya0_share</t>
  </si>
  <si>
    <t>Disaster &amp; Asset-Pricing Parameters</t>
  </si>
  <si>
    <t>p_d</t>
  </si>
  <si>
    <t>xi_d</t>
  </si>
  <si>
    <t>rho</t>
  </si>
  <si>
    <t>Time discount rate</t>
  </si>
  <si>
    <t>mu_c</t>
  </si>
  <si>
    <t>Normal-times consumption growth mean</t>
  </si>
  <si>
    <t>sigma_c</t>
  </si>
  <si>
    <t>Normal-times consumption growth volatility</t>
  </si>
  <si>
    <t>Year</t>
  </si>
  <si>
    <t>2026f</t>
  </si>
  <si>
    <t>Firm</t>
  </si>
  <si>
    <t>Amazon</t>
  </si>
  <si>
    <t>Alphabet</t>
  </si>
  <si>
    <t>Microsoft</t>
  </si>
  <si>
    <t>Meta</t>
  </si>
  <si>
    <t>Oracle</t>
  </si>
  <si>
    <t>Item</t>
  </si>
  <si>
    <t>U.S. nominal GDP ($T)</t>
  </si>
  <si>
    <t>Chart Helper</t>
  </si>
  <si>
    <t>2022</t>
  </si>
  <si>
    <t>2023</t>
  </si>
  <si>
    <t>2024</t>
  </si>
  <si>
    <t>2025</t>
  </si>
  <si>
    <t>U.S. gross private fixed investment ($T)</t>
  </si>
  <si>
    <t>Share of GDP (%)</t>
  </si>
  <si>
    <t>Boom size calibration</t>
  </si>
  <si>
    <t>Input</t>
  </si>
  <si>
    <t>I_pre ($B)</t>
  </si>
  <si>
    <t>I_bar ($B)</t>
  </si>
  <si>
    <t>K_0 = I_pre/delta_a</t>
  </si>
  <si>
    <t>K_2028</t>
  </si>
  <si>
    <t>Output</t>
  </si>
  <si>
    <t>Capital stock roll-forward</t>
  </si>
  <si>
    <t>Capital entering year K(t) ($B)</t>
  </si>
  <si>
    <t>Survival weight (1 − delta_a)^(2027 − t)</t>
  </si>
  <si>
    <t>Per-firm calibration</t>
  </si>
  <si>
    <t>K_2028,i ($B)</t>
  </si>
  <si>
    <t>K_i ($B)</t>
  </si>
  <si>
    <t>e^xi_i</t>
  </si>
  <si>
    <t>xi_i</t>
  </si>
  <si>
    <t>Sensitivity analysis, boom-size</t>
  </si>
  <si>
    <t>K_0</t>
  </si>
  <si>
    <t>Model 1 - Investment and GDP Paths</t>
  </si>
  <si>
    <t>Toggles</t>
  </si>
  <si>
    <t>Investment Friction</t>
  </si>
  <si>
    <t>Scenario</t>
  </si>
  <si>
    <t>Selected Scenario</t>
  </si>
  <si>
    <t>Scenario Assumptions</t>
  </si>
  <si>
    <t>Moderate</t>
  </si>
  <si>
    <t>Transformative-a</t>
  </si>
  <si>
    <t>Transformative-b</t>
  </si>
  <si>
    <t>Singularity</t>
  </si>
  <si>
    <t>Investment and GDP Paths</t>
  </si>
  <si>
    <t>z_at</t>
  </si>
  <si>
    <t>p_t</t>
  </si>
  <si>
    <t>omega(p_t)</t>
  </si>
  <si>
    <t>K_t (entry)</t>
  </si>
  <si>
    <t>K* (z, p)</t>
  </si>
  <si>
    <t>I*</t>
  </si>
  <si>
    <t>Y_a</t>
  </si>
  <si>
    <t>GDP ($T)</t>
  </si>
  <si>
    <t>Cum. GDP Growth</t>
  </si>
  <si>
    <t>AI Share</t>
  </si>
  <si>
    <t>Scenario Analysis</t>
  </si>
  <si>
    <t>Investment I* ($B)</t>
  </si>
  <si>
    <t>No friction / Moderate</t>
  </si>
  <si>
    <t>No friction / Trans-a</t>
  </si>
  <si>
    <t>No friction / Trans-b</t>
  </si>
  <si>
    <t>No friction / Singularity</t>
  </si>
  <si>
    <t>Friction / Moderate</t>
  </si>
  <si>
    <t>Friction / Trans-a</t>
  </si>
  <si>
    <t>Friction / Trans-b</t>
  </si>
  <si>
    <t>Friction / Singularity</t>
  </si>
  <si>
    <t>GDP Growth (%)</t>
  </si>
  <si>
    <t>AI Share (%)</t>
  </si>
  <si>
    <t>Omega_star</t>
  </si>
  <si>
    <t>K_star</t>
  </si>
  <si>
    <t>Capital Claim on Y_a</t>
  </si>
  <si>
    <t>Y_a/Y</t>
  </si>
  <si>
    <t>GDP level gain</t>
  </si>
  <si>
    <t>Post-window I_a ($B/yr)</t>
  </si>
  <si>
    <t>Long Run GDP, fully adjusted</t>
  </si>
  <si>
    <t>Moderate - GDP Growth (%)</t>
  </si>
  <si>
    <t>Mean</t>
  </si>
  <si>
    <t>P10</t>
  </si>
  <si>
    <t>P25</t>
  </si>
  <si>
    <t>P75</t>
  </si>
  <si>
    <t>P90</t>
  </si>
  <si>
    <t>Moderate - AI Share (%)</t>
  </si>
  <si>
    <t>Transformative - GDP Growth (%)</t>
  </si>
  <si>
    <t>Transformative - AI Share (%)</t>
  </si>
  <si>
    <t>Singularity - GDP Growth (%)</t>
  </si>
  <si>
    <t>Singularity - AI Share (%)</t>
  </si>
  <si>
    <t>Moderate (P10)</t>
  </si>
  <si>
    <t>Moderate (P90 - P10)</t>
  </si>
  <si>
    <t>Moderate (Mean)</t>
  </si>
  <si>
    <t>Transformative (P10)</t>
  </si>
  <si>
    <t>Transformative (P90 - P10)</t>
  </si>
  <si>
    <t>Transformative (Mean)</t>
  </si>
  <si>
    <t>Singularity (P10)</t>
  </si>
  <si>
    <t>Singularity (P90 - P10)</t>
  </si>
  <si>
    <t>Singularity (Mean)</t>
  </si>
  <si>
    <t>Exact enumeration of all 2^20 boom histories after 2030.  From the partial-adjustment state entering 2030, booms arrive from 2031 at rate p_star and capital closes 1/theta_a of the gap each year.</t>
  </si>
  <si>
    <t>Expected cumulative GDP growth in 2050</t>
  </si>
  <si>
    <t>Transformative</t>
  </si>
  <si>
    <t>Moderate - GDP Growth (%), partial adjustment</t>
  </si>
  <si>
    <t>Moderate - AI Share (%), partial adjustment</t>
  </si>
  <si>
    <t>Transformative - GDP Growth (%), partial adjustment</t>
  </si>
  <si>
    <t>Transformative - AI Share (%), partial adjustment</t>
  </si>
  <si>
    <t>Singularity - GDP Growth (%), partial adjustment</t>
  </si>
  <si>
    <t>Singularity - AI Share (%), partial adjustment</t>
  </si>
  <si>
    <t>Model 2</t>
  </si>
  <si>
    <t>Consumption Boom Size</t>
  </si>
  <si>
    <t>s_a</t>
  </si>
  <si>
    <t>xi_b</t>
  </si>
  <si>
    <t>p_b</t>
  </si>
  <si>
    <t>No AI</t>
  </si>
  <si>
    <t>Absorbing limit</t>
  </si>
  <si>
    <t>Risk-free rate and ERP</t>
  </si>
  <si>
    <t>gamma</t>
  </si>
  <si>
    <t>Phi_d(1)</t>
  </si>
  <si>
    <t>Phi_d(-gamma)</t>
  </si>
  <si>
    <t>Phi_d(1- gamma)</t>
  </si>
  <si>
    <t>Phi_b(1)</t>
  </si>
  <si>
    <t>Phi_b(-gamma)</t>
  </si>
  <si>
    <t>Phi_b(1- gamma)</t>
  </si>
  <si>
    <t>r_f</t>
  </si>
  <si>
    <t>ERP</t>
  </si>
  <si>
    <t>Absorbing Limit</t>
  </si>
  <si>
    <t>Scenario calculations</t>
  </si>
  <si>
    <t>Frictionless / Moderate</t>
  </si>
  <si>
    <t>Productivity z</t>
  </si>
  <si>
    <t>Boom probability</t>
  </si>
  <si>
    <t>Option factor</t>
  </si>
  <si>
    <t>Entry capital</t>
  </si>
  <si>
    <t>Target capital</t>
  </si>
  <si>
    <t>Investment</t>
  </si>
  <si>
    <t>AI output</t>
  </si>
  <si>
    <t>AI share</t>
  </si>
  <si>
    <t>Frictionless / Transformative-a</t>
  </si>
  <si>
    <t>Frictionless / Transformative-b</t>
  </si>
  <si>
    <t>Frictionless / Singularity</t>
  </si>
  <si>
    <t>With friction / Moderate</t>
  </si>
  <si>
    <t>With friction / Transformative-a</t>
  </si>
  <si>
    <t>With friction / Transformative-b</t>
  </si>
  <si>
    <t>With friction / Singularity</t>
  </si>
  <si>
    <t>Long-run distribution</t>
  </si>
  <si>
    <t>2030 uses n=0. For each later year, n counts draws since 2030.</t>
  </si>
  <si>
    <t>Draws n</t>
  </si>
  <si>
    <t>AI output by total additional boom count</t>
  </si>
  <si>
    <t>Starting scenario</t>
  </si>
  <si>
    <t>AI share by additional boom count</t>
  </si>
  <si>
    <t>Moderate AI share</t>
  </si>
  <si>
    <t>Transformative AI share</t>
  </si>
  <si>
    <t>Singularity AI share</t>
  </si>
  <si>
    <t>Quantile boom counts</t>
  </si>
  <si>
    <t>Share of gross private fixed investment (%)</t>
  </si>
  <si>
    <t>Investment and GDP paths under various scenarios and investment friction settings</t>
  </si>
  <si>
    <t xml:space="preserve">Change the yellow inputs (Parameters, and the selectors on the model sheets). </t>
  </si>
  <si>
    <t>Excel model by Frank Ma</t>
  </si>
  <si>
    <t>Dashboard chart data - partial adjustment (Figure 3)</t>
  </si>
  <si>
    <t>Boom size sensitivity to initial and 2028 capital stock</t>
  </si>
  <si>
    <t>Boom size sensitivity to depreciation for fixed level of capital stock. For fixed initial capital, lower depreciation implies larger boom size.</t>
  </si>
  <si>
    <t>Boom size sensitivity to depreciation for fixed level of pre-window investment. For fixed pre-window investment, lower depreciation implies smaller boom size</t>
  </si>
  <si>
    <t>Panel A: Capital expenditure by firm ($ billions), Table 1 of the paper</t>
  </si>
  <si>
    <t>Five largest firms</t>
  </si>
  <si>
    <t>xAI (SpaceX AI segment)</t>
  </si>
  <si>
    <t>CoreWeave</t>
  </si>
  <si>
    <t>IREN</t>
  </si>
  <si>
    <t>Applied Digital</t>
  </si>
  <si>
    <t>Hut 8</t>
  </si>
  <si>
    <t>Other five firms</t>
  </si>
  <si>
    <t>Panel B: AI investment relative to the U.S. economy (Table 1, Panel B)</t>
  </si>
  <si>
    <t>AI capex, all ten firms ($B)</t>
  </si>
  <si>
    <t>Capital expenditure of ten AI infrastructure firms (Table 1)</t>
  </si>
  <si>
    <t>Capital Schedule</t>
  </si>
  <si>
    <t>Capital stock, depreciation, net addition and investment by firm; derives the 2027 values of Table 1</t>
  </si>
  <si>
    <t>Endowment economy model, and derived risk-free rate and equity risk premium</t>
  </si>
  <si>
    <t>gdp_2022</t>
  </si>
  <si>
    <t>cost_per_GW</t>
  </si>
  <si>
    <t>Pre-boom (2022) AI capex, all ten firms ($B)</t>
  </si>
  <si>
    <t>Pre-boom AI output share of GDP</t>
  </si>
  <si>
    <t>2026</t>
  </si>
  <si>
    <t>Capital entering the year</t>
  </si>
  <si>
    <t>Depreciation</t>
  </si>
  <si>
    <t>Net addition</t>
  </si>
  <si>
    <t>All ten firms (sum of the blocks above)</t>
  </si>
  <si>
    <t>Calibration total (all ten firms)</t>
  </si>
  <si>
    <t>Five largest firms only</t>
  </si>
  <si>
    <t>Pre-boom</t>
  </si>
  <si>
    <t>---</t>
  </si>
  <si>
    <t>Fully adjusted variant (robustness)</t>
  </si>
  <si>
    <t>2027</t>
  </si>
  <si>
    <t>Boom multiplier e^xi = K_2028/K_0 from capex</t>
  </si>
  <si>
    <t>Required real return on AI-sector capital: 2% risk-free rate + 6% equity premium</t>
  </si>
  <si>
    <t>One calculation requires a macro (Alt+F8 on Windows, Option+F8 on Mac):</t>
  </si>
  <si>
    <t>Cumulative 2024–2027 investment, all ten firms ($B, 2022 dollars)</t>
  </si>
  <si>
    <t>Finiteness bound for p_star</t>
  </si>
  <si>
    <t>p_star_bound</t>
  </si>
  <si>
    <t>p_star check</t>
  </si>
  <si>
    <t>Expected AI growth, p_star (e^xi − 1)</t>
  </si>
  <si>
    <t>Long-run expected growth of AI productivity (7.98% at baseline)</t>
  </si>
  <si>
    <t>Total</t>
  </si>
  <si>
    <t>Total in 2022 dollars (used in the calibration)</t>
  </si>
  <si>
    <t>I_bar (cumulative 2024–2027, 2022 dollars)</t>
  </si>
  <si>
    <t>CPI-U index (1982–84 = 100)</t>
  </si>
  <si>
    <t>Price level relative to 2022</t>
  </si>
  <si>
    <t>Investment I(t) ($B, 2022 dollars)</t>
  </si>
  <si>
    <t>Check: 2027 here equals the Capex Build total in 2022 dollars (at the baseline delta_a)</t>
  </si>
  <si>
    <t>Long Run GDP, partial adjustment (main-text Figure 2)</t>
  </si>
  <si>
    <t>Partial adjustment (main text, Figure 2)</t>
  </si>
  <si>
    <t>Required return on non-AI capital, calibrated by setting pre-boom GDP to measured 2022 GDP</t>
  </si>
  <si>
    <t>Price level: CPI-U</t>
  </si>
  <si>
    <t>Long-run GDP and investment paths with partial adjustment (investment friction): run the macro LongRunPartial after changing any input. It should take ~45 seconds.</t>
  </si>
  <si>
    <t>Long-run boom probability: set just below the finiteness bound r_a / (e^xi − 1)</t>
  </si>
  <si>
    <t>U.S. nominal GDP 2022 ($B)</t>
  </si>
  <si>
    <t>Largest p_star with expected AI growth p_star (e^xi − 1) below r_a.</t>
  </si>
  <si>
    <t>Post-window outcomes</t>
  </si>
  <si>
    <t>Fully adjusted variant (for robustness): capital at its optimal level each year from 2030. Exact binomial distribution; 2030 is the starting state and new random booms begin in 2031. The main-text version with partial adjustment is further down (row 271).</t>
  </si>
  <si>
    <t>Run the macro LongRunPartial to recompute numbers with updated input parameters. The fully adjusted variant is in the section above (for robustness).</t>
  </si>
  <si>
    <t>Pre-boom GDP ($B), equals measured 2022 GDP by the calibration of r_n</t>
  </si>
  <si>
    <t>Annual disaster probability</t>
  </si>
  <si>
    <t>Log disaster size</t>
  </si>
  <si>
    <t>Capacity (GW, at 2026 prices)</t>
  </si>
  <si>
    <t>Installed AI capital per GW of capacity, $B in 2026 dollars (Van Nieuwerburgh 2026).</t>
  </si>
  <si>
    <t>2027e</t>
  </si>
  <si>
    <t>Notes</t>
  </si>
  <si>
    <t>2027e is the assumed value: each firm's 2026 net addition to its capital stock (2022 dollars) is held fixed, and the dollar amounts are shown in 2026 dollars (Table 1, note 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</si>
</sst>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"/>
    <numFmt numFmtId="165" formatCode="0.00\×"/>
    <numFmt numFmtId="166" formatCode="#,##0.0"/>
    <numFmt numFmtId="167" formatCode="0.0%"/>
    <numFmt numFmtId="168" formatCode="0.0"/>
    <numFmt numFmtId="169" formatCode="0.0000"/>
    <numFmt numFmtId="170" formatCode="#,##0;\-#,##0;&quot;---&quot;"/>
  </numFmts>
  <fonts count="29" x14ac:knownFonts="1">
    <font>
      <sz val="11"/>
      <color theme="1"/>
      <name val="Calibri"/>
      <family val="2"/>
      <charset val="1"/>
    </font>
    <font>
      <b/>
      <sz val="13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i/>
      <sz val="10"/>
      <color rgb="FF595959"/>
      <name val="Arial"/>
      <family val="2"/>
    </font>
    <font>
      <sz val="10"/>
      <name val="Arial"/>
      <family val="2"/>
    </font>
    <font>
      <b/>
      <u val="singleAccounting"/>
      <sz val="10"/>
      <name val="Arial"/>
      <family val="2"/>
    </font>
    <font>
      <sz val="10"/>
      <color rgb="FF000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"/>
    </font>
    <font>
      <b/>
      <sz val="10"/>
      <color rgb="FF000000"/>
      <name val="Arial"/>
      <family val="2"/>
    </font>
    <font>
      <b/>
      <u val="singleAccounting"/>
      <sz val="10"/>
      <color rgb="FFFFFFFF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u val="singleAccounting"/>
      <sz val="10"/>
      <color theme="1"/>
      <name val="Arial"/>
      <family val="2"/>
    </font>
    <font>
      <sz val="11"/>
      <color theme="1"/>
      <name val="Calibri"/>
      <family val="2"/>
    </font>
    <font>
      <i/>
      <sz val="10"/>
      <color theme="1"/>
      <name val="Arial"/>
      <family val="2"/>
    </font>
    <font>
      <sz val="10"/>
      <color theme="0" tint="-0.34998626667073579"/>
      <name val="Arial"/>
      <family val="2"/>
    </font>
    <font>
      <sz val="11"/>
      <color theme="1"/>
      <name val="Arial"/>
      <family val="2"/>
    </font>
    <font>
      <u val="singleAccounting"/>
      <sz val="10"/>
      <name val="Arial"/>
      <family val="2"/>
    </font>
    <font>
      <i/>
      <sz val="10"/>
      <color theme="0" tint="-0.499984740745262"/>
      <name val="Arial"/>
      <family val="2"/>
    </font>
    <font>
      <sz val="8"/>
      <name val="Calibri"/>
      <family val="2"/>
      <charset val="1"/>
    </font>
    <font>
      <i/>
      <sz val="10"/>
      <color theme="1" tint="0.499984740745262"/>
      <name val="Arial"/>
      <family val="2"/>
    </font>
    <font>
      <i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11F5B"/>
        <bgColor indexed="64"/>
      </patternFill>
    </fill>
    <fill>
      <patternFill patternType="solid">
        <fgColor rgb="FF011F5B"/>
        <bgColor rgb="FF7D5FA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0" fontId="20" fillId="0" borderId="0"/>
  </cellStyleXfs>
  <cellXfs count="15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3" fontId="7" fillId="0" borderId="0" xfId="0" applyNumberFormat="1" applyFont="1"/>
    <xf numFmtId="164" fontId="7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165" fontId="4" fillId="0" borderId="0" xfId="0" applyNumberFormat="1" applyFont="1"/>
    <xf numFmtId="10" fontId="7" fillId="0" borderId="0" xfId="0" applyNumberFormat="1" applyFont="1"/>
    <xf numFmtId="3" fontId="4" fillId="0" borderId="0" xfId="0" applyNumberFormat="1" applyFont="1"/>
    <xf numFmtId="0" fontId="9" fillId="0" borderId="0" xfId="0" applyFont="1"/>
    <xf numFmtId="0" fontId="0" fillId="2" borderId="0" xfId="0" applyFill="1"/>
    <xf numFmtId="44" fontId="10" fillId="0" borderId="0" xfId="0" applyNumberFormat="1" applyFont="1" applyAlignment="1">
      <alignment horizontal="center" wrapText="1"/>
    </xf>
    <xf numFmtId="0" fontId="9" fillId="0" borderId="1" xfId="0" applyFont="1" applyBorder="1"/>
    <xf numFmtId="3" fontId="4" fillId="0" borderId="1" xfId="0" applyNumberFormat="1" applyFont="1" applyBorder="1"/>
    <xf numFmtId="0" fontId="3" fillId="0" borderId="2" xfId="0" applyFont="1" applyBorder="1"/>
    <xf numFmtId="3" fontId="4" fillId="0" borderId="2" xfId="0" applyNumberFormat="1" applyFont="1" applyBorder="1"/>
    <xf numFmtId="0" fontId="5" fillId="3" borderId="0" xfId="0" applyFont="1" applyFill="1" applyAlignment="1">
      <alignment horizontal="left"/>
    </xf>
    <xf numFmtId="3" fontId="7" fillId="0" borderId="1" xfId="0" applyNumberFormat="1" applyFont="1" applyBorder="1"/>
    <xf numFmtId="0" fontId="5" fillId="0" borderId="0" xfId="0" applyFont="1" applyAlignment="1">
      <alignment horizontal="left"/>
    </xf>
    <xf numFmtId="3" fontId="9" fillId="0" borderId="0" xfId="0" applyNumberFormat="1" applyFont="1"/>
    <xf numFmtId="165" fontId="4" fillId="0" borderId="3" xfId="0" applyNumberFormat="1" applyFont="1" applyBorder="1"/>
    <xf numFmtId="0" fontId="4" fillId="0" borderId="0" xfId="0" applyFont="1" applyAlignment="1">
      <alignment horizontal="left" indent="1"/>
    </xf>
    <xf numFmtId="0" fontId="11" fillId="4" borderId="0" xfId="0" applyFont="1" applyFill="1" applyAlignment="1">
      <alignment horizontal="left" indent="1"/>
    </xf>
    <xf numFmtId="0" fontId="11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12" fillId="0" borderId="0" xfId="0" applyFont="1"/>
    <xf numFmtId="0" fontId="12" fillId="2" borderId="0" xfId="0" applyFont="1" applyFill="1"/>
    <xf numFmtId="165" fontId="4" fillId="0" borderId="2" xfId="0" applyNumberFormat="1" applyFont="1" applyBorder="1"/>
    <xf numFmtId="0" fontId="3" fillId="0" borderId="0" xfId="0" applyFont="1" applyAlignment="1">
      <alignment horizontal="left"/>
    </xf>
    <xf numFmtId="3" fontId="12" fillId="0" borderId="0" xfId="0" applyNumberFormat="1" applyFont="1"/>
    <xf numFmtId="2" fontId="4" fillId="0" borderId="0" xfId="0" applyNumberFormat="1" applyFont="1"/>
    <xf numFmtId="2" fontId="11" fillId="0" borderId="0" xfId="0" applyNumberFormat="1" applyFont="1"/>
    <xf numFmtId="44" fontId="10" fillId="0" borderId="0" xfId="0" applyNumberFormat="1" applyFont="1" applyAlignment="1">
      <alignment horizontal="centerContinuous"/>
    </xf>
    <xf numFmtId="0" fontId="14" fillId="0" borderId="0" xfId="0" applyFont="1"/>
    <xf numFmtId="165" fontId="7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indent="1"/>
    </xf>
    <xf numFmtId="44" fontId="4" fillId="0" borderId="0" xfId="0" applyNumberFormat="1" applyFont="1" applyAlignment="1">
      <alignment horizontal="center"/>
    </xf>
    <xf numFmtId="44" fontId="9" fillId="0" borderId="0" xfId="0" applyNumberFormat="1" applyFont="1" applyAlignment="1">
      <alignment horizontal="center"/>
    </xf>
    <xf numFmtId="44" fontId="10" fillId="0" borderId="0" xfId="0" applyNumberFormat="1" applyFont="1" applyAlignment="1">
      <alignment horizontal="center"/>
    </xf>
    <xf numFmtId="1" fontId="12" fillId="0" borderId="0" xfId="0" applyNumberFormat="1" applyFont="1"/>
    <xf numFmtId="0" fontId="5" fillId="0" borderId="0" xfId="0" applyFont="1" applyAlignment="1">
      <alignment horizontal="left" vertical="center"/>
    </xf>
    <xf numFmtId="44" fontId="15" fillId="0" borderId="0" xfId="0" applyNumberFormat="1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0" fontId="9" fillId="0" borderId="5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10" fontId="12" fillId="0" borderId="0" xfId="0" applyNumberFormat="1" applyFont="1"/>
    <xf numFmtId="44" fontId="2" fillId="0" borderId="0" xfId="0" applyNumberFormat="1" applyFont="1" applyAlignment="1">
      <alignment horizontal="left"/>
    </xf>
    <xf numFmtId="2" fontId="9" fillId="0" borderId="0" xfId="0" applyNumberFormat="1" applyFont="1"/>
    <xf numFmtId="2" fontId="3" fillId="0" borderId="0" xfId="0" applyNumberFormat="1" applyFont="1"/>
    <xf numFmtId="2" fontId="9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right" wrapText="1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 applyAlignment="1">
      <alignment horizontal="right" wrapText="1"/>
    </xf>
    <xf numFmtId="167" fontId="9" fillId="0" borderId="0" xfId="0" applyNumberFormat="1" applyFont="1" applyAlignment="1">
      <alignment horizontal="right"/>
    </xf>
    <xf numFmtId="164" fontId="12" fillId="0" borderId="0" xfId="0" applyNumberFormat="1" applyFont="1"/>
    <xf numFmtId="0" fontId="12" fillId="0" borderId="0" xfId="0" applyFont="1" applyAlignment="1">
      <alignment horizontal="right"/>
    </xf>
    <xf numFmtId="0" fontId="16" fillId="0" borderId="0" xfId="0" applyFont="1"/>
    <xf numFmtId="167" fontId="12" fillId="0" borderId="0" xfId="1" applyNumberFormat="1" applyFont="1"/>
    <xf numFmtId="0" fontId="17" fillId="0" borderId="0" xfId="0" applyFont="1"/>
    <xf numFmtId="0" fontId="18" fillId="2" borderId="0" xfId="0" applyFont="1" applyFill="1"/>
    <xf numFmtId="0" fontId="8" fillId="0" borderId="0" xfId="0" applyFont="1"/>
    <xf numFmtId="44" fontId="19" fillId="0" borderId="0" xfId="0" applyNumberFormat="1" applyFont="1" applyAlignment="1">
      <alignment horizontal="center"/>
    </xf>
    <xf numFmtId="10" fontId="12" fillId="0" borderId="0" xfId="1" applyNumberFormat="1" applyFont="1"/>
    <xf numFmtId="10" fontId="11" fillId="0" borderId="0" xfId="0" applyNumberFormat="1" applyFont="1" applyAlignment="1">
      <alignment horizontal="right" vertical="top"/>
    </xf>
    <xf numFmtId="164" fontId="9" fillId="0" borderId="0" xfId="0" applyNumberFormat="1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49" fontId="17" fillId="0" borderId="0" xfId="0" applyNumberFormat="1" applyFont="1" applyAlignment="1">
      <alignment horizontal="center"/>
    </xf>
    <xf numFmtId="44" fontId="19" fillId="0" borderId="0" xfId="0" applyNumberFormat="1" applyFont="1" applyAlignment="1">
      <alignment horizontal="centerContinuous"/>
    </xf>
    <xf numFmtId="10" fontId="12" fillId="0" borderId="0" xfId="0" applyNumberFormat="1" applyFont="1" applyAlignment="1">
      <alignment horizontal="center"/>
    </xf>
    <xf numFmtId="0" fontId="17" fillId="0" borderId="14" xfId="2" applyFont="1" applyBorder="1"/>
    <xf numFmtId="44" fontId="17" fillId="0" borderId="0" xfId="0" applyNumberFormat="1" applyFont="1"/>
    <xf numFmtId="0" fontId="17" fillId="0" borderId="0" xfId="0" applyFont="1" applyAlignment="1">
      <alignment horizontal="left" indent="1"/>
    </xf>
    <xf numFmtId="10" fontId="22" fillId="5" borderId="0" xfId="1" applyNumberFormat="1" applyFont="1" applyFill="1"/>
    <xf numFmtId="3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2" fontId="6" fillId="6" borderId="0" xfId="0" applyNumberFormat="1" applyFont="1" applyFill="1" applyProtection="1">
      <protection locked="0"/>
    </xf>
    <xf numFmtId="10" fontId="6" fillId="6" borderId="0" xfId="0" applyNumberFormat="1" applyFont="1" applyFill="1" applyProtection="1">
      <protection locked="0"/>
    </xf>
    <xf numFmtId="3" fontId="6" fillId="6" borderId="0" xfId="0" applyNumberFormat="1" applyFont="1" applyFill="1" applyProtection="1">
      <protection locked="0"/>
    </xf>
    <xf numFmtId="164" fontId="6" fillId="6" borderId="0" xfId="0" applyNumberFormat="1" applyFont="1" applyFill="1" applyProtection="1">
      <protection locked="0"/>
    </xf>
    <xf numFmtId="0" fontId="11" fillId="7" borderId="2" xfId="0" applyFont="1" applyFill="1" applyBorder="1" applyAlignment="1" applyProtection="1">
      <alignment horizontal="center"/>
      <protection locked="0"/>
    </xf>
    <xf numFmtId="0" fontId="11" fillId="7" borderId="2" xfId="0" applyFont="1" applyFill="1" applyBorder="1" applyAlignment="1" applyProtection="1">
      <alignment horizontal="center" vertical="top"/>
      <protection locked="0"/>
    </xf>
    <xf numFmtId="10" fontId="12" fillId="0" borderId="0" xfId="1" applyNumberFormat="1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10" fontId="10" fillId="0" borderId="0" xfId="0" applyNumberFormat="1" applyFont="1" applyAlignment="1">
      <alignment horizontal="center"/>
    </xf>
    <xf numFmtId="4" fontId="12" fillId="0" borderId="0" xfId="0" applyNumberFormat="1" applyFont="1"/>
    <xf numFmtId="0" fontId="21" fillId="0" borderId="0" xfId="0" applyFont="1"/>
    <xf numFmtId="167" fontId="7" fillId="0" borderId="0" xfId="0" applyNumberFormat="1" applyFont="1"/>
    <xf numFmtId="167" fontId="4" fillId="0" borderId="0" xfId="0" applyNumberFormat="1" applyFont="1"/>
    <xf numFmtId="44" fontId="10" fillId="0" borderId="0" xfId="0" applyNumberFormat="1" applyFont="1" applyAlignment="1">
      <alignment horizontal="centerContinuous" wrapText="1"/>
    </xf>
    <xf numFmtId="0" fontId="23" fillId="0" borderId="0" xfId="0" applyFont="1"/>
    <xf numFmtId="0" fontId="23" fillId="2" borderId="0" xfId="0" applyFont="1" applyFill="1"/>
    <xf numFmtId="0" fontId="12" fillId="0" borderId="5" xfId="0" applyFont="1" applyBorder="1" applyAlignment="1">
      <alignment horizontal="centerContinuous"/>
    </xf>
    <xf numFmtId="0" fontId="12" fillId="0" borderId="4" xfId="0" applyFont="1" applyBorder="1" applyAlignment="1">
      <alignment horizontal="centerContinuous"/>
    </xf>
    <xf numFmtId="0" fontId="12" fillId="0" borderId="3" xfId="0" applyFont="1" applyBorder="1" applyAlignment="1">
      <alignment horizontal="centerContinuous"/>
    </xf>
    <xf numFmtId="0" fontId="17" fillId="0" borderId="3" xfId="0" applyFont="1" applyBorder="1" applyAlignment="1">
      <alignment horizontal="centerContinuous"/>
    </xf>
    <xf numFmtId="0" fontId="12" fillId="0" borderId="9" xfId="0" applyFont="1" applyBorder="1" applyAlignment="1">
      <alignment horizontal="centerContinuous"/>
    </xf>
    <xf numFmtId="3" fontId="9" fillId="0" borderId="1" xfId="0" applyNumberFormat="1" applyFont="1" applyBorder="1"/>
    <xf numFmtId="3" fontId="9" fillId="0" borderId="11" xfId="0" applyNumberFormat="1" applyFont="1" applyBorder="1"/>
    <xf numFmtId="3" fontId="9" fillId="0" borderId="12" xfId="0" applyNumberFormat="1" applyFont="1" applyBorder="1"/>
    <xf numFmtId="3" fontId="9" fillId="0" borderId="7" xfId="0" applyNumberFormat="1" applyFont="1" applyBorder="1"/>
    <xf numFmtId="3" fontId="9" fillId="0" borderId="10" xfId="0" applyNumberFormat="1" applyFont="1" applyBorder="1"/>
    <xf numFmtId="3" fontId="9" fillId="0" borderId="6" xfId="0" applyNumberFormat="1" applyFont="1" applyBorder="1"/>
    <xf numFmtId="3" fontId="9" fillId="0" borderId="8" xfId="0" applyNumberFormat="1" applyFont="1" applyBorder="1"/>
    <xf numFmtId="10" fontId="7" fillId="0" borderId="0" xfId="0" applyNumberFormat="1" applyFont="1" applyAlignment="1">
      <alignment horizontal="right" vertical="top"/>
    </xf>
    <xf numFmtId="164" fontId="9" fillId="0" borderId="0" xfId="1" applyNumberFormat="1" applyFont="1" applyAlignment="1">
      <alignment horizontal="center" vertical="top"/>
    </xf>
    <xf numFmtId="10" fontId="9" fillId="0" borderId="0" xfId="1" applyNumberFormat="1" applyFont="1" applyAlignment="1">
      <alignment horizontal="center" vertical="top"/>
    </xf>
    <xf numFmtId="0" fontId="12" fillId="0" borderId="0" xfId="0" applyFont="1" applyAlignment="1">
      <alignment wrapText="1"/>
    </xf>
    <xf numFmtId="44" fontId="24" fillId="0" borderId="0" xfId="0" applyNumberFormat="1" applyFont="1" applyAlignment="1">
      <alignment horizontal="center"/>
    </xf>
    <xf numFmtId="2" fontId="12" fillId="0" borderId="0" xfId="0" applyNumberFormat="1" applyFont="1"/>
    <xf numFmtId="1" fontId="3" fillId="0" borderId="15" xfId="0" applyNumberFormat="1" applyFont="1" applyBorder="1" applyAlignment="1">
      <alignment horizontal="center"/>
    </xf>
    <xf numFmtId="3" fontId="11" fillId="0" borderId="0" xfId="0" applyNumberFormat="1" applyFont="1"/>
    <xf numFmtId="166" fontId="11" fillId="0" borderId="0" xfId="0" applyNumberFormat="1" applyFont="1"/>
    <xf numFmtId="4" fontId="11" fillId="0" borderId="0" xfId="0" applyNumberFormat="1" applyFont="1"/>
    <xf numFmtId="0" fontId="5" fillId="2" borderId="0" xfId="0" applyFont="1" applyFill="1"/>
    <xf numFmtId="166" fontId="11" fillId="0" borderId="0" xfId="2" applyNumberFormat="1" applyFont="1"/>
    <xf numFmtId="2" fontId="7" fillId="0" borderId="0" xfId="0" applyNumberFormat="1" applyFont="1"/>
    <xf numFmtId="2" fontId="9" fillId="0" borderId="1" xfId="0" applyNumberFormat="1" applyFont="1" applyBorder="1"/>
    <xf numFmtId="167" fontId="12" fillId="0" borderId="0" xfId="0" applyNumberFormat="1" applyFont="1"/>
    <xf numFmtId="168" fontId="12" fillId="0" borderId="0" xfId="0" applyNumberFormat="1" applyFont="1"/>
    <xf numFmtId="10" fontId="6" fillId="6" borderId="0" xfId="1" applyNumberFormat="1" applyFont="1" applyFill="1" applyProtection="1">
      <protection locked="0"/>
    </xf>
    <xf numFmtId="9" fontId="12" fillId="0" borderId="0" xfId="0" applyNumberFormat="1" applyFont="1"/>
    <xf numFmtId="165" fontId="12" fillId="0" borderId="0" xfId="0" applyNumberFormat="1" applyFont="1"/>
    <xf numFmtId="9" fontId="9" fillId="0" borderId="11" xfId="1" applyFont="1" applyBorder="1"/>
    <xf numFmtId="9" fontId="9" fillId="0" borderId="12" xfId="1" applyFont="1" applyBorder="1"/>
    <xf numFmtId="9" fontId="9" fillId="0" borderId="7" xfId="1" applyFont="1" applyBorder="1"/>
    <xf numFmtId="165" fontId="16" fillId="0" borderId="0" xfId="0" applyNumberFormat="1" applyFont="1"/>
    <xf numFmtId="9" fontId="9" fillId="0" borderId="4" xfId="1" applyFont="1" applyBorder="1"/>
    <xf numFmtId="9" fontId="9" fillId="0" borderId="3" xfId="1" applyFont="1" applyBorder="1"/>
    <xf numFmtId="9" fontId="9" fillId="0" borderId="9" xfId="1" applyFont="1" applyBorder="1"/>
    <xf numFmtId="165" fontId="4" fillId="0" borderId="4" xfId="0" applyNumberFormat="1" applyFont="1" applyBorder="1"/>
    <xf numFmtId="165" fontId="4" fillId="0" borderId="5" xfId="0" applyNumberFormat="1" applyFont="1" applyBorder="1"/>
    <xf numFmtId="0" fontId="21" fillId="0" borderId="0" xfId="0" applyFont="1" applyAlignment="1">
      <alignment horizontal="left"/>
    </xf>
    <xf numFmtId="0" fontId="25" fillId="0" borderId="0" xfId="0" applyFont="1"/>
    <xf numFmtId="169" fontId="7" fillId="0" borderId="0" xfId="1" applyNumberFormat="1" applyFont="1"/>
    <xf numFmtId="169" fontId="4" fillId="0" borderId="0" xfId="0" applyNumberFormat="1" applyFont="1"/>
    <xf numFmtId="170" fontId="11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6" fontId="4" fillId="0" borderId="0" xfId="0" applyNumberFormat="1" applyFont="1"/>
    <xf numFmtId="0" fontId="4" fillId="0" borderId="0" xfId="0" applyFont="1" applyAlignment="1">
      <alignment horizontal="left" indent="2"/>
    </xf>
    <xf numFmtId="0" fontId="27" fillId="0" borderId="0" xfId="0" applyFont="1"/>
    <xf numFmtId="0" fontId="28" fillId="0" borderId="0" xfId="0" applyFont="1" applyAlignment="1">
      <alignment horizontal="right"/>
    </xf>
    <xf numFmtId="0" fontId="5" fillId="3" borderId="0" xfId="0" applyFont="1" applyFill="1" applyAlignment="1">
      <alignment horizontal="left" vertical="center"/>
    </xf>
  </cellXfs>
  <cellStyles count="3">
    <cellStyle name="Normal" xfId="0" builtinId="0"/>
    <cellStyle name="Normal 2" xfId="2" xr:uid="{379C80D9-A0DA-1347-8626-9F6D9260304E}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4F81BD"/>
      <rgbColor rgb="FFC0C0C0"/>
      <rgbColor rgb="FF878787"/>
      <rgbColor rgb="FF8064A2"/>
      <rgbColor rgb="FFBE4B48"/>
      <rgbColor rgb="FFFFFACD"/>
      <rgbColor rgb="FFCCE5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BACC6"/>
      <rgbColor rgb="FF98B855"/>
      <rgbColor rgb="FFFFCC00"/>
      <rgbColor rgb="FFF79646"/>
      <rgbColor rgb="FFFF6600"/>
      <rgbColor rgb="FF7D5FA0"/>
      <rgbColor rgb="FF9BBB59"/>
      <rgbColor rgb="FF003366"/>
      <rgbColor rgb="FF46AAC4"/>
      <rgbColor rgb="FF003300"/>
      <rgbColor rgb="FF333300"/>
      <rgbColor rgb="FF993300"/>
      <rgbColor rgb="FFC0504D"/>
      <rgbColor rgb="FF333399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9D9D9"/>
      <color rgb="FF000FFF"/>
      <color rgb="FFFFFF99"/>
      <color rgb="FF008000"/>
      <color rgb="FF011F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1 - Inv &amp; GDP Paths'!$D$35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FB-4A73-92AE-7131855A3E20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FB-4A73-92AE-7131855A3E20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FB-4A73-92AE-7131855A3E20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FB-4A73-92AE-7131855A3E20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BFB-4A73-92AE-7131855A3E20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BFB-4A73-92AE-7131855A3E20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BFB-4A73-92AE-7131855A3E20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BFB-4A73-92AE-7131855A3E20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BFB-4A73-92AE-7131855A3E20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BFB-4A73-92AE-7131855A3E20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BFB-4A73-92AE-7131855A3E20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Paths'!$D$36:$D$46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2625.4756956827705</c:v>
                </c:pt>
                <c:pt idx="7">
                  <c:v>1040.3755255159776</c:v>
                </c:pt>
                <c:pt idx="8">
                  <c:v>-941.78421208024747</c:v>
                </c:pt>
                <c:pt idx="9">
                  <c:v>544.83559111692136</c:v>
                </c:pt>
                <c:pt idx="10">
                  <c:v>544.83559111692136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FB-4A73-92AE-7131855A3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7-EBFB-4A73-92AE-7131855A3E2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FB-4A73-92AE-7131855A3E2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FB-4A73-92AE-7131855A3E2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FB-4A73-92AE-7131855A3E2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FB-4A73-92AE-7131855A3E2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FB-4A73-92AE-7131855A3E2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FB-4A73-92AE-7131855A3E20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'Model 1 - Inv &amp; GDP Paths'!$E$35</c:f>
              <c:strCache>
                <c:ptCount val="1"/>
                <c:pt idx="0">
                  <c:v> No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9-4135-8413-CD31C9D7E48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79-4135-8413-CD31C9D7E48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79-4135-8413-CD31C9D7E48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79-4135-8413-CD31C9D7E48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79-4135-8413-CD31C9D7E48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79-4135-8413-CD31C9D7E48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79-4135-8413-CD31C9D7E48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79-4135-8413-CD31C9D7E48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79-4135-8413-CD31C9D7E48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79-4135-8413-CD31C9D7E48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79-4135-8413-CD31C9D7E48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Paths'!$E$36:$E$46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2625.4756956827705</c:v>
                </c:pt>
                <c:pt idx="7">
                  <c:v>10537.371540932385</c:v>
                </c:pt>
                <c:pt idx="8">
                  <c:v>-3091.0372198036657</c:v>
                </c:pt>
                <c:pt idx="9">
                  <c:v>1788.2090920766432</c:v>
                </c:pt>
                <c:pt idx="10">
                  <c:v>1788.2090920766432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E379-4135-8413-CD31C9D7E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379-4135-8413-CD31C9D7E48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E379-4135-8413-CD31C9D7E48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E379-4135-8413-CD31C9D7E48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E379-4135-8413-CD31C9D7E48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E379-4135-8413-CD31C9D7E48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E379-4135-8413-CD31C9D7E48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E379-4135-8413-CD31C9D7E48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379-4135-8413-CD31C9D7E48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379-4135-8413-CD31C9D7E48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379-4135-8413-CD31C9D7E48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379-4135-8413-CD31C9D7E48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379-4135-8413-CD31C9D7E48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379-4135-8413-CD31C9D7E48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'Model 1 - Inv &amp; GDP Paths'!$F$35</c:f>
              <c:strCache>
                <c:ptCount val="1"/>
                <c:pt idx="0">
                  <c:v> No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4-4187-9255-0454AFFADDE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4-4187-9255-0454AFFADDE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4-4187-9255-0454AFFADDE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4-4187-9255-0454AFFADDE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A4-4187-9255-0454AFFADDE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A4-4187-9255-0454AFFADD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A4-4187-9255-0454AFFADD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A4-4187-9255-0454AFFADD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A4-4187-9255-0454AFFADD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A4-4187-9255-0454AFFADD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A4-4187-9255-0454AFFADDE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Paths'!$F$36:$F$46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2625.4756956827705</c:v>
                </c:pt>
                <c:pt idx="7">
                  <c:v>1040.3755255159776</c:v>
                </c:pt>
                <c:pt idx="8">
                  <c:v>4031.7097917586398</c:v>
                </c:pt>
                <c:pt idx="9">
                  <c:v>1788.2090920766432</c:v>
                </c:pt>
                <c:pt idx="10">
                  <c:v>1788.2090920766432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F6A4-4187-9255-0454AFFA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F6A4-4187-9255-0454AFFADDE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F6A4-4187-9255-0454AFFADDE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F6A4-4187-9255-0454AFFADDE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F6A4-4187-9255-0454AFFADDE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F6A4-4187-9255-0454AFFADDE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F6A4-4187-9255-0454AFFADDE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F6A4-4187-9255-0454AFFADDE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6A4-4187-9255-0454AFFADDE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6A4-4187-9255-0454AFFADDE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6A4-4187-9255-0454AFFADDE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6A4-4187-9255-0454AFFADDE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6A4-4187-9255-0454AFFADDE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6A4-4187-9255-0454AFFADDE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'Model 1 - Inv &amp; GDP Paths'!$G$35</c:f>
              <c:strCache>
                <c:ptCount val="1"/>
                <c:pt idx="0">
                  <c:v> No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F-4EF1-9B37-894F05D252A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F-4EF1-9B37-894F05D252A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F-4EF1-9B37-894F05D252A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CF-4EF1-9B37-894F05D252A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CF-4EF1-9B37-894F05D252A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CF-4EF1-9B37-894F05D252A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CF-4EF1-9B37-894F05D252A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CF-4EF1-9B37-894F05D252A8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CF-4EF1-9B37-894F05D252A8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5CF-4EF1-9B37-894F05D252A8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5CF-4EF1-9B37-894F05D252A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Paths'!$G$36:$G$46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2625.4756956827705</c:v>
                </c:pt>
                <c:pt idx="7">
                  <c:v>10537.371540932385</c:v>
                </c:pt>
                <c:pt idx="8">
                  <c:v>13232.505775655291</c:v>
                </c:pt>
                <c:pt idx="9">
                  <c:v>5869.0948409413822</c:v>
                </c:pt>
                <c:pt idx="10">
                  <c:v>5869.0948409413822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85CF-4EF1-9B37-894F05D2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5CF-4EF1-9B37-894F05D252A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5CF-4EF1-9B37-894F05D252A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5CF-4EF1-9B37-894F05D252A8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5CF-4EF1-9B37-894F05D252A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5CF-4EF1-9B37-894F05D252A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5CF-4EF1-9B37-894F05D252A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5CF-4EF1-9B37-894F05D252A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5CF-4EF1-9B37-894F05D252A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5CF-4EF1-9B37-894F05D252A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6-40C3-A1D1-674D2B8903E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06-40C3-A1D1-674D2B8903E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06-40C3-A1D1-674D2B8903E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06-40C3-A1D1-674D2B8903E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06-40C3-A1D1-674D2B8903E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06-40C3-A1D1-674D2B8903E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06-40C3-A1D1-674D2B8903E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06-40C3-A1D1-674D2B8903E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06-40C3-A1D1-674D2B8903E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06-40C3-A1D1-674D2B8903E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06-40C3-A1D1-674D2B8903E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1157.79035293574</c:v>
                </c:pt>
                <c:pt idx="8">
                  <c:v>457.93216459707759</c:v>
                </c:pt>
                <c:pt idx="9">
                  <c:v>486.89997343702555</c:v>
                </c:pt>
                <c:pt idx="10">
                  <c:v>506.21184599699075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906-40C3-A1D1-674D2B890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906-40C3-A1D1-674D2B8903E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906-40C3-A1D1-674D2B8903E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906-40C3-A1D1-674D2B8903E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906-40C3-A1D1-674D2B8903E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906-40C3-A1D1-674D2B8903E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906-40C3-A1D1-674D2B8903E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906-40C3-A1D1-674D2B8903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906-40C3-A1D1-674D2B8903E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906-40C3-A1D1-674D2B8903E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906-40C3-A1D1-674D2B8903E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906-40C3-A1D1-674D2B8903E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906-40C3-A1D1-674D2B8903E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906-40C3-A1D1-674D2B8903E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08-441A-A3A8-21D8B030356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08-441A-A3A8-21D8B030356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08-441A-A3A8-21D8B0303563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08-441A-A3A8-21D8B0303563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08-441A-A3A8-21D8B0303563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08-441A-A3A8-21D8B03035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08-441A-A3A8-21D8B030356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08-441A-A3A8-21D8B030356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08-441A-A3A8-21D8B030356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908-441A-A3A8-21D8B030356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908-441A-A3A8-21D8B0303563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4323.4556914078757</c:v>
                </c:pt>
                <c:pt idx="8">
                  <c:v>1851.958054337362</c:v>
                </c:pt>
                <c:pt idx="9">
                  <c:v>1830.7084002504557</c:v>
                </c:pt>
                <c:pt idx="10">
                  <c:v>1816.5419641925182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1908-441A-A3A8-21D8B0303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1908-441A-A3A8-21D8B0303563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1908-441A-A3A8-21D8B030356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1908-441A-A3A8-21D8B0303563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908-441A-A3A8-21D8B030356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908-441A-A3A8-21D8B030356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908-441A-A3A8-21D8B030356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908-441A-A3A8-21D8B030356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908-441A-A3A8-21D8B030356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908-441A-A3A8-21D8B0303563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B0-4FFD-8C6E-8DB2470BEF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B0-4FFD-8C6E-8DB2470BEF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B0-4FFD-8C6E-8DB2470BEF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B0-4FFD-8C6E-8DB2470BEFD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B0-4FFD-8C6E-8DB2470BEFD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B0-4FFD-8C6E-8DB2470BEFD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B0-4FFD-8C6E-8DB2470BEFD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0-4FFD-8C6E-8DB2470BEFD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B0-4FFD-8C6E-8DB2470BEFD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B0-4FFD-8C6E-8DB2470BEFD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3B0-4FFD-8C6E-8DB2470BEFD9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1157.79035293574</c:v>
                </c:pt>
                <c:pt idx="8">
                  <c:v>2115.7634992100402</c:v>
                </c:pt>
                <c:pt idx="9">
                  <c:v>2006.5786968322409</c:v>
                </c:pt>
                <c:pt idx="10">
                  <c:v>1933.7888285803751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3B0-4FFD-8C6E-8DB2470BE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3B0-4FFD-8C6E-8DB2470BEFD9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3B0-4FFD-8C6E-8DB2470BEFD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3B0-4FFD-8C6E-8DB2470BEFD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63B0-4FFD-8C6E-8DB2470BEFD9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3B0-4FFD-8C6E-8DB2470BEFD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3B0-4FFD-8C6E-8DB2470BEFD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3B0-4FFD-8C6E-8DB2470BEFD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3B0-4FFD-8C6E-8DB2470BEFD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3B0-4FFD-8C6E-8DB2470BEFD9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F8-4E53-AC98-C997A6ED2A6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F8-4E53-AC98-C997A6ED2A6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F8-4E53-AC98-C997A6ED2A6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8F8-4E53-AC98-C997A6ED2A6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F8-4E53-AC98-C997A6ED2A6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F8-4E53-AC98-C997A6ED2A6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8F8-4E53-AC98-C997A6ED2A6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8F8-4E53-AC98-C997A6ED2A6A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8F8-4E53-AC98-C997A6ED2A6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8F8-4E53-AC98-C997A6ED2A6A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8F8-4E53-AC98-C997A6ED2A6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4323.4556914078757</c:v>
                </c:pt>
                <c:pt idx="8">
                  <c:v>7293.1390528236807</c:v>
                </c:pt>
                <c:pt idx="9">
                  <c:v>6818.4576488629145</c:v>
                </c:pt>
                <c:pt idx="10">
                  <c:v>6502.0033795557374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8F8-4E53-AC98-C997A6ED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8F8-4E53-AC98-C997A6ED2A6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8F8-4E53-AC98-C997A6ED2A6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8F8-4E53-AC98-C997A6ED2A6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8F8-4E53-AC98-C997A6ED2A6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8F8-4E53-AC98-C997A6ED2A6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8F8-4E53-AC98-C997A6ED2A6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8F8-4E53-AC98-C997A6ED2A6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8F8-4E53-AC98-C997A6ED2A6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Cumulative GDP level gain: frictionless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'Model 1 - Inv &amp; GDP Paths'!$D$50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Paths'!$D$51:$D$61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7.484080674150162E-2</c:v>
                </c:pt>
                <c:pt idx="8">
                  <c:v>7.484080674150162E-2</c:v>
                </c:pt>
                <c:pt idx="9">
                  <c:v>5.5727092379021848E-2</c:v>
                </c:pt>
                <c:pt idx="10">
                  <c:v>5.5727092379021848E-2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3-4CCE-AEE7-9F527160253E}"/>
            </c:ext>
          </c:extLst>
        </c:ser>
        <c:ser>
          <c:idx val="2"/>
          <c:order val="2"/>
          <c:tx>
            <c:strRef>
              <c:f>'Model 1 - Inv &amp; GDP Paths'!$E$50</c:f>
              <c:strCache>
                <c:ptCount val="1"/>
                <c:pt idx="0">
                  <c:v> No friction / Trans-a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Paths'!$E$51:$E$61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0.19393633739646798</c:v>
                </c:pt>
                <c:pt idx="8">
                  <c:v>0.29973423008809141</c:v>
                </c:pt>
                <c:pt idx="9">
                  <c:v>0.23700096088981093</c:v>
                </c:pt>
                <c:pt idx="10">
                  <c:v>0.23700096088981093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3-4CCE-AEE7-9F527160253E}"/>
            </c:ext>
          </c:extLst>
        </c:ser>
        <c:ser>
          <c:idx val="3"/>
          <c:order val="3"/>
          <c:tx>
            <c:strRef>
              <c:f>'Model 1 - Inv &amp; GDP Paths'!$F$50</c:f>
              <c:strCache>
                <c:ptCount val="1"/>
                <c:pt idx="0">
                  <c:v> No friction / Trans-b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Paths'!$F$51:$F$61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7.484080674150162E-2</c:v>
                </c:pt>
                <c:pt idx="8">
                  <c:v>0.19393633739646798</c:v>
                </c:pt>
                <c:pt idx="9">
                  <c:v>0.23700096088981093</c:v>
                </c:pt>
                <c:pt idx="10">
                  <c:v>0.23700096088981093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3-4CCE-AEE7-9F527160253E}"/>
            </c:ext>
          </c:extLst>
        </c:ser>
        <c:ser>
          <c:idx val="4"/>
          <c:order val="4"/>
          <c:tx>
            <c:strRef>
              <c:f>'Model 1 - Inv &amp; GDP Paths'!$G$50</c:f>
              <c:strCache>
                <c:ptCount val="1"/>
                <c:pt idx="0">
                  <c:v> No friction /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Paths'!$G$51:$G$61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0.19393633739646798</c:v>
                </c:pt>
                <c:pt idx="8">
                  <c:v>0.69061858899408035</c:v>
                </c:pt>
                <c:pt idx="9">
                  <c:v>0.83196132161509762</c:v>
                </c:pt>
                <c:pt idx="10">
                  <c:v>0.83196132161509762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3-4CCE-AEE7-9F5271602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23-4CCE-AEE7-9F527160253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Paths'!$H$50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Paths'!$H$51:$H$61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6.2156431646994692E-2</c:v>
                      </c:pt>
                      <c:pt idx="8">
                        <c:v>6.6785845421514667E-2</c:v>
                      </c:pt>
                      <c:pt idx="9">
                        <c:v>6.3407150959936986E-2</c:v>
                      </c:pt>
                      <c:pt idx="10">
                        <c:v>6.1000309726733093E-2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223-4CCE-AEE7-9F52716025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Paths'!$I$51:$I$61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0.16592260587734264</c:v>
                      </c:pt>
                      <c:pt idx="8">
                        <c:v>0.2273543336120416</c:v>
                      </c:pt>
                      <c:pt idx="9">
                        <c:v>0.23065151951138918</c:v>
                      </c:pt>
                      <c:pt idx="10">
                        <c:v>0.23280302266985498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223-4CCE-AEE7-9F52716025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Paths'!$J$51:$J$61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6.2156431646994692E-2</c:v>
                      </c:pt>
                      <c:pt idx="8">
                        <c:v>0.17614677171949777</c:v>
                      </c:pt>
                      <c:pt idx="9">
                        <c:v>0.20021909293531404</c:v>
                      </c:pt>
                      <c:pt idx="10">
                        <c:v>0.21376762938666816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223-4CCE-AEE7-9F527160253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Paths'!$K$50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Paths'!$K$51:$K$61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0.16592260587734264</c:v>
                      </c:pt>
                      <c:pt idx="8">
                        <c:v>0.5307659378264058</c:v>
                      </c:pt>
                      <c:pt idx="9">
                        <c:v>0.66204298761042413</c:v>
                      </c:pt>
                      <c:pt idx="10">
                        <c:v>0.72744093631965967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223-4CCE-AEE7-9F527160253E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Cumulative GDP level gain: partial adjustment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'Model 1 - Inv &amp; GDP Paths'!$H$50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Paths'!$H$51:$H$61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6.2156431646994692E-2</c:v>
                </c:pt>
                <c:pt idx="8">
                  <c:v>6.6785845421514667E-2</c:v>
                </c:pt>
                <c:pt idx="9">
                  <c:v>6.3407150959936986E-2</c:v>
                </c:pt>
                <c:pt idx="10">
                  <c:v>6.1000309726733093E-2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9-477E-BEBC-7836A6322999}"/>
            </c:ext>
          </c:extLst>
        </c:ser>
        <c:ser>
          <c:idx val="6"/>
          <c:order val="6"/>
          <c:tx>
            <c:strRef>
              <c:f>'Model 1 - Inv &amp; GDP Paths'!$I$50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Paths'!$I$51:$I$61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0.16592260587734264</c:v>
                </c:pt>
                <c:pt idx="8">
                  <c:v>0.2273543336120416</c:v>
                </c:pt>
                <c:pt idx="9">
                  <c:v>0.23065151951138918</c:v>
                </c:pt>
                <c:pt idx="10">
                  <c:v>0.23280302266985498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9-477E-BEBC-7836A6322999}"/>
            </c:ext>
          </c:extLst>
        </c:ser>
        <c:ser>
          <c:idx val="7"/>
          <c:order val="7"/>
          <c:tx>
            <c:strRef>
              <c:f>'Model 1 - Inv &amp; GDP Paths'!$J$50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Paths'!$J$51:$J$61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6.2156431646994692E-2</c:v>
                </c:pt>
                <c:pt idx="8">
                  <c:v>0.17614677171949777</c:v>
                </c:pt>
                <c:pt idx="9">
                  <c:v>0.20021909293531404</c:v>
                </c:pt>
                <c:pt idx="10">
                  <c:v>0.21376762938666816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9-477E-BEBC-7836A6322999}"/>
            </c:ext>
          </c:extLst>
        </c:ser>
        <c:ser>
          <c:idx val="8"/>
          <c:order val="8"/>
          <c:tx>
            <c:strRef>
              <c:f>'Model 1 - Inv &amp; GDP Paths'!$K$50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Paths'!$K$51:$K$61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2.8556198896366958E-2</c:v>
                </c:pt>
                <c:pt idx="3">
                  <c:v>3.1211253026277364E-2</c:v>
                </c:pt>
                <c:pt idx="4">
                  <c:v>3.6886136330610331E-2</c:v>
                </c:pt>
                <c:pt idx="5">
                  <c:v>4.654661873964705E-2</c:v>
                </c:pt>
                <c:pt idx="6">
                  <c:v>5.4098641562847272E-2</c:v>
                </c:pt>
                <c:pt idx="7">
                  <c:v>0.16592260587734264</c:v>
                </c:pt>
                <c:pt idx="8">
                  <c:v>0.5307659378264058</c:v>
                </c:pt>
                <c:pt idx="9">
                  <c:v>0.66204298761042413</c:v>
                </c:pt>
                <c:pt idx="10">
                  <c:v>0.72744093631965967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39-477E-BEBC-7836A632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A39-477E-BEBC-7836A63229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Paths'!$D$50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Paths'!$D$51:$D$61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7.484080674150162E-2</c:v>
                      </c:pt>
                      <c:pt idx="8">
                        <c:v>7.484080674150162E-2</c:v>
                      </c:pt>
                      <c:pt idx="9">
                        <c:v>5.5727092379021848E-2</c:v>
                      </c:pt>
                      <c:pt idx="10">
                        <c:v>5.5727092379021848E-2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39-477E-BEBC-7836A632299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Paths'!$E$51:$E$61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0.19393633739646798</c:v>
                      </c:pt>
                      <c:pt idx="8">
                        <c:v>0.29973423008809141</c:v>
                      </c:pt>
                      <c:pt idx="9">
                        <c:v>0.23700096088981093</c:v>
                      </c:pt>
                      <c:pt idx="10">
                        <c:v>0.23700096088981093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39-477E-BEBC-7836A63229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Paths'!$F$51:$F$61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7.484080674150162E-2</c:v>
                      </c:pt>
                      <c:pt idx="8">
                        <c:v>0.19393633739646798</c:v>
                      </c:pt>
                      <c:pt idx="9">
                        <c:v>0.23700096088981093</c:v>
                      </c:pt>
                      <c:pt idx="10">
                        <c:v>0.23700096088981093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39-477E-BEBC-7836A63229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Paths'!$G$50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Paths'!$G$51:$G$61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2.8556198896366958E-2</c:v>
                      </c:pt>
                      <c:pt idx="3">
                        <c:v>3.1211253026277364E-2</c:v>
                      </c:pt>
                      <c:pt idx="4">
                        <c:v>3.6886136330610331E-2</c:v>
                      </c:pt>
                      <c:pt idx="5">
                        <c:v>4.654661873964705E-2</c:v>
                      </c:pt>
                      <c:pt idx="6">
                        <c:v>5.4098641562847272E-2</c:v>
                      </c:pt>
                      <c:pt idx="7">
                        <c:v>0.19393633739646798</c:v>
                      </c:pt>
                      <c:pt idx="8">
                        <c:v>0.69061858899408035</c:v>
                      </c:pt>
                      <c:pt idx="9">
                        <c:v>0.83196132161509762</c:v>
                      </c:pt>
                      <c:pt idx="10">
                        <c:v>0.83196132161509762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39-477E-BEBC-7836A6322999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Post-window AI share of output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1"/>
          <c:tx>
            <c:strRef>
              <c:f>'Model 1 - Inv &amp; GDP Paths'!$C$85</c:f>
              <c:strCache>
                <c:ptCount val="1"/>
                <c:pt idx="0">
                  <c:v>Moderate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Paths'!$D$85:$I$85</c15:sqref>
                  </c15:fullRef>
                </c:ext>
              </c:extLst>
              <c:f>'Model 1 - Inv &amp; GDP Paths'!$I$85</c:f>
              <c:numCache>
                <c:formatCode>#,##0</c:formatCode>
                <c:ptCount val="1"/>
                <c:pt idx="0" formatCode="0.0%">
                  <c:v>7.5239759530153882E-2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C-4C65-B011-58F2E983EDF1}"/>
            </c:ext>
          </c:extLst>
        </c:ser>
        <c:ser>
          <c:idx val="11"/>
          <c:order val="2"/>
          <c:tx>
            <c:strRef>
              <c:f>'Model 1 - Inv &amp; GDP Paths'!$C$86</c:f>
              <c:strCache>
                <c:ptCount val="1"/>
                <c:pt idx="0">
                  <c:v>Transformative-a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Paths'!$D$86:$I$86</c15:sqref>
                  </c15:fullRef>
                </c:ext>
              </c:extLst>
              <c:f>'Model 1 - Inv &amp; GDP Paths'!$I$86</c:f>
              <c:numCache>
                <c:formatCode>#,##0</c:formatCode>
                <c:ptCount val="1"/>
                <c:pt idx="0" formatCode="0.0%">
                  <c:v>0.21075692688494049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C-4C65-B011-58F2E983EDF1}"/>
            </c:ext>
          </c:extLst>
        </c:ser>
        <c:ser>
          <c:idx val="12"/>
          <c:order val="3"/>
          <c:tx>
            <c:strRef>
              <c:f>'Model 1 - Inv &amp; GDP Paths'!$C$87</c:f>
              <c:strCache>
                <c:ptCount val="1"/>
                <c:pt idx="0">
                  <c:v>Transformative-b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Paths'!$D$87:$I$87</c15:sqref>
                  </c15:fullRef>
                </c:ext>
              </c:extLst>
              <c:f>'Model 1 - Inv &amp; GDP Paths'!$I$87</c:f>
              <c:numCache>
                <c:formatCode>#,##0</c:formatCode>
                <c:ptCount val="1"/>
                <c:pt idx="0" formatCode="0.0%">
                  <c:v>0.21075692688494049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C-4C65-B011-58F2E983EDF1}"/>
            </c:ext>
          </c:extLst>
        </c:ser>
        <c:ser>
          <c:idx val="13"/>
          <c:order val="4"/>
          <c:tx>
            <c:strRef>
              <c:f>'Model 1 - Inv &amp; GDP Paths'!$C$88</c:f>
              <c:strCache>
                <c:ptCount val="1"/>
                <c:pt idx="0">
                  <c:v>Singularity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Paths'!$D$88:$I$88</c15:sqref>
                  </c15:fullRef>
                </c:ext>
              </c:extLst>
              <c:f>'Model 1 - Inv &amp; GDP Paths'!$I$88</c:f>
              <c:numCache>
                <c:formatCode>#,##0</c:formatCode>
                <c:ptCount val="1"/>
                <c:pt idx="0" formatCode="0.0%">
                  <c:v>0.46707693645069254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C-4C65-B011-58F2E983E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920111"/>
        <c:axId val="14158112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Paths'!$C$84</c15:sqref>
                        </c15:formulaRef>
                      </c:ext>
                    </c:extLst>
                    <c:strCache>
                      <c:ptCount val="1"/>
                      <c:pt idx="0">
                        <c:v>Pre-boom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'Model 1 - Inv &amp; GDP Paths'!$D$83:$I$83</c15:sqref>
                        </c15:fullRef>
                        <c15:formulaRef>
                          <c15:sqref>'Model 1 - Inv &amp; GDP Paths'!$I$83</c15:sqref>
                        </c15:formulaRef>
                      </c:ext>
                    </c:extLst>
                    <c:strCache>
                      <c:ptCount val="1"/>
                      <c:pt idx="0">
                        <c:v> Y_a/Y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Paths'!$D$84:$I$84</c15:sqref>
                        </c15:fullRef>
                        <c15:formulaRef>
                          <c15:sqref>'Model 1 - Inv &amp; GDP Paths'!$I$84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 formatCode="0.0%">
                        <c:v>2.370556018104425E-2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6FC-4C65-B011-58F2E983EDF1}"/>
                  </c:ext>
                </c:extLst>
              </c15:ser>
            </c15:filteredBarSeries>
          </c:ext>
        </c:extLst>
      </c:bar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AI share of output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Long-run cumulative GDP level gain (expected)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Paths'!$F$433:$F$460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6.2156431646994692E-2</c:v>
                </c:pt>
                <c:pt idx="7">
                  <c:v>6.6785845421514667E-2</c:v>
                </c:pt>
                <c:pt idx="8">
                  <c:v>6.7091870355933336E-2</c:v>
                </c:pt>
                <c:pt idx="9">
                  <c:v>6.9520318445604121E-2</c:v>
                </c:pt>
                <c:pt idx="10">
                  <c:v>7.3649261570344252E-2</c:v>
                </c:pt>
                <c:pt idx="11">
                  <c:v>7.916440261966888E-2</c:v>
                </c:pt>
                <c:pt idx="12">
                  <c:v>8.5850488999947322E-2</c:v>
                </c:pt>
                <c:pt idx="13">
                  <c:v>9.3570155856501941E-2</c:v>
                </c:pt>
                <c:pt idx="14">
                  <c:v>0.10224529838641334</c:v>
                </c:pt>
                <c:pt idx="15">
                  <c:v>0.11184193394503066</c:v>
                </c:pt>
                <c:pt idx="16">
                  <c:v>0.12235866283430605</c:v>
                </c:pt>
                <c:pt idx="17">
                  <c:v>0.13381831164075852</c:v>
                </c:pt>
                <c:pt idx="18">
                  <c:v>0.14626212337816838</c:v>
                </c:pt>
                <c:pt idx="19">
                  <c:v>0.15974586229030194</c:v>
                </c:pt>
                <c:pt idx="20">
                  <c:v>0.1743373044669386</c:v>
                </c:pt>
                <c:pt idx="21">
                  <c:v>0.19011471018132522</c:v>
                </c:pt>
                <c:pt idx="22">
                  <c:v>0.20716598516209023</c:v>
                </c:pt>
                <c:pt idx="23">
                  <c:v>0.22558832565156556</c:v>
                </c:pt>
                <c:pt idx="24">
                  <c:v>0.24548820676545438</c:v>
                </c:pt>
                <c:pt idx="25">
                  <c:v>0.26698161964706973</c:v>
                </c:pt>
                <c:pt idx="26">
                  <c:v>0.29019449490051352</c:v>
                </c:pt>
                <c:pt idx="27">
                  <c:v>0.31526327177630031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3-4B39-8AD9-57C109D7A59D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Paths'!$I$433:$I$460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0.2273543336120416</c:v>
                </c:pt>
                <c:pt idx="8">
                  <c:v>0.24141039100988843</c:v>
                </c:pt>
                <c:pt idx="9">
                  <c:v>0.25942852591616478</c:v>
                </c:pt>
                <c:pt idx="10">
                  <c:v>0.28019815456273689</c:v>
                </c:pt>
                <c:pt idx="11">
                  <c:v>0.30333369902915391</c:v>
                </c:pt>
                <c:pt idx="12">
                  <c:v>0.32873192099361465</c:v>
                </c:pt>
                <c:pt idx="13">
                  <c:v>0.35641420825730885</c:v>
                </c:pt>
                <c:pt idx="14">
                  <c:v>0.38646953188932515</c:v>
                </c:pt>
                <c:pt idx="15">
                  <c:v>0.41903004973240898</c:v>
                </c:pt>
                <c:pt idx="16">
                  <c:v>0.45425958682309381</c:v>
                </c:pt>
                <c:pt idx="17">
                  <c:v>0.49234796444110568</c:v>
                </c:pt>
                <c:pt idx="18">
                  <c:v>0.53350829781595765</c:v>
                </c:pt>
                <c:pt idx="19">
                  <c:v>0.57797594786919992</c:v>
                </c:pt>
                <c:pt idx="20">
                  <c:v>0.62600847321320419</c:v>
                </c:pt>
                <c:pt idx="21">
                  <c:v>0.67788623462519393</c:v>
                </c:pt>
                <c:pt idx="22">
                  <c:v>0.73391345770505056</c:v>
                </c:pt>
                <c:pt idx="23">
                  <c:v>0.79441964200902648</c:v>
                </c:pt>
                <c:pt idx="24">
                  <c:v>0.85976125216231114</c:v>
                </c:pt>
                <c:pt idx="25">
                  <c:v>0.93032365486545365</c:v>
                </c:pt>
                <c:pt idx="26">
                  <c:v>1.0065232835794824</c:v>
                </c:pt>
                <c:pt idx="27">
                  <c:v>1.0888100243595022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3-4B39-8AD9-57C109D7A59D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Paths'!$L$433:$L$460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0.5307659378264058</c:v>
                </c:pt>
                <c:pt idx="8">
                  <c:v>0.69104898388500102</c:v>
                </c:pt>
                <c:pt idx="9">
                  <c:v>0.80960953403272462</c:v>
                </c:pt>
                <c:pt idx="10">
                  <c:v>0.91249262169460399</c:v>
                </c:pt>
                <c:pt idx="11">
                  <c:v>1.0098976704547036</c:v>
                </c:pt>
                <c:pt idx="12">
                  <c:v>1.1069428721676227</c:v>
                </c:pt>
                <c:pt idx="13">
                  <c:v>1.2066728659480641</c:v>
                </c:pt>
                <c:pt idx="14">
                  <c:v>1.3111309526155597</c:v>
                </c:pt>
                <c:pt idx="15">
                  <c:v>1.4218306765433881</c:v>
                </c:pt>
                <c:pt idx="16">
                  <c:v>1.5399946882154854</c:v>
                </c:pt>
                <c:pt idx="17">
                  <c:v>1.6666883275136144</c:v>
                </c:pt>
                <c:pt idx="18">
                  <c:v>1.8028999599508468</c:v>
                </c:pt>
                <c:pt idx="19">
                  <c:v>1.949592129686516</c:v>
                </c:pt>
                <c:pt idx="20">
                  <c:v>2.1077357992427768</c:v>
                </c:pt>
                <c:pt idx="21">
                  <c:v>2.2783344300626367</c:v>
                </c:pt>
                <c:pt idx="22">
                  <c:v>2.4624418480820576</c:v>
                </c:pt>
                <c:pt idx="23">
                  <c:v>2.6611763031472542</c:v>
                </c:pt>
                <c:pt idx="24">
                  <c:v>2.8757322444251439</c:v>
                </c:pt>
                <c:pt idx="25">
                  <c:v>3.1073908000253492</c:v>
                </c:pt>
                <c:pt idx="26">
                  <c:v>3.3575296178186758</c:v>
                </c:pt>
                <c:pt idx="27">
                  <c:v>3.6276325148544077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3-4B39-8AD9-57C109D7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Risk-free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ERP'!$D$35:$D$40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A-4074-A7D8-8BB63BBE0566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ERP'!$F$35:$F$40</c:f>
              <c:numCache>
                <c:formatCode>0.00%</c:formatCode>
                <c:ptCount val="6"/>
                <c:pt idx="0">
                  <c:v>4.1018451234621722E-2</c:v>
                </c:pt>
                <c:pt idx="1">
                  <c:v>3.9606872633895479E-2</c:v>
                </c:pt>
                <c:pt idx="2">
                  <c:v>3.8070097461641729E-2</c:v>
                </c:pt>
                <c:pt idx="3">
                  <c:v>3.639103495181676E-2</c:v>
                </c:pt>
                <c:pt idx="4">
                  <c:v>3.4551248133168025E-2</c:v>
                </c:pt>
                <c:pt idx="5">
                  <c:v>3.2531102221944802E-2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A-4074-A7D8-8BB63BBE0566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ERP'!$H$35:$H$40</c:f>
              <c:numCache>
                <c:formatCode>0.00%</c:formatCode>
                <c:ptCount val="6"/>
                <c:pt idx="0">
                  <c:v>4.4388062249839835E-2</c:v>
                </c:pt>
                <c:pt idx="1">
                  <c:v>4.2282886779681013E-2</c:v>
                </c:pt>
                <c:pt idx="2">
                  <c:v>4.0164147536256169E-2</c:v>
                </c:pt>
                <c:pt idx="3">
                  <c:v>3.799869180253853E-2</c:v>
                </c:pt>
                <c:pt idx="4">
                  <c:v>3.5754053656708619E-2</c:v>
                </c:pt>
                <c:pt idx="5">
                  <c:v>3.3398413266592132E-2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A-4074-A7D8-8BB63BBE0566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ERP'!$L$35:$L$40</c:f>
              <c:numCache>
                <c:formatCode>0.00%</c:formatCode>
                <c:ptCount val="6"/>
                <c:pt idx="0">
                  <c:v>5.8328957256730082E-2</c:v>
                </c:pt>
                <c:pt idx="1">
                  <c:v>4.6573511437199941E-2</c:v>
                </c:pt>
                <c:pt idx="2">
                  <c:v>4.0310666779069269E-2</c:v>
                </c:pt>
                <c:pt idx="3">
                  <c:v>3.6523921710734687E-2</c:v>
                </c:pt>
                <c:pt idx="4">
                  <c:v>3.3775529936890668E-2</c:v>
                </c:pt>
                <c:pt idx="5">
                  <c:v>3.139036476262614E-2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A-4074-A7D8-8BB63BBE0566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ERP'!$J$35:$J$40</c:f>
              <c:numCache>
                <c:formatCode>0.00%</c:formatCode>
                <c:ptCount val="6"/>
                <c:pt idx="0">
                  <c:v>4.9876042766731896E-2</c:v>
                </c:pt>
                <c:pt idx="1">
                  <c:v>4.5280836914942876E-2</c:v>
                </c:pt>
                <c:pt idx="2">
                  <c:v>4.1538194323272881E-2</c:v>
                </c:pt>
                <c:pt idx="3">
                  <c:v>3.8345445755523157E-2</c:v>
                </c:pt>
                <c:pt idx="4">
                  <c:v>3.5477576635136336E-2</c:v>
                </c:pt>
                <c:pt idx="5">
                  <c:v>3.2767705298517254E-2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A-4074-A7D8-8BB63BBE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Equity risk premium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ERP'!$E$35:$E$40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45A-802F-7BBEE970C54A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ERP'!$G$35:$G$40</c:f>
              <c:numCache>
                <c:formatCode>0.00%</c:formatCode>
                <c:ptCount val="6"/>
                <c:pt idx="0">
                  <c:v>1.3020592889251381E-3</c:v>
                </c:pt>
                <c:pt idx="1">
                  <c:v>2.7136378896513717E-3</c:v>
                </c:pt>
                <c:pt idx="2">
                  <c:v>4.2504130619052914E-3</c:v>
                </c:pt>
                <c:pt idx="3">
                  <c:v>5.9294755717301138E-3</c:v>
                </c:pt>
                <c:pt idx="4">
                  <c:v>7.7692623903789244E-3</c:v>
                </c:pt>
                <c:pt idx="5">
                  <c:v>9.7894083016021802E-3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1-445A-802F-7BBEE970C54A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ERP'!$I$35:$I$40</c:f>
              <c:numCache>
                <c:formatCode>0.00%</c:formatCode>
                <c:ptCount val="6"/>
                <c:pt idx="0">
                  <c:v>2.1255573347629458E-3</c:v>
                </c:pt>
                <c:pt idx="1">
                  <c:v>4.2307328049217925E-3</c:v>
                </c:pt>
                <c:pt idx="2">
                  <c:v>6.3494720483466237E-3</c:v>
                </c:pt>
                <c:pt idx="3">
                  <c:v>8.5149277820643736E-3</c:v>
                </c:pt>
                <c:pt idx="4">
                  <c:v>1.075956592789442E-2</c:v>
                </c:pt>
                <c:pt idx="5">
                  <c:v>1.3115206318010879E-2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1-445A-802F-7BBEE970C54A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ERP'!$M$35:$M$40</c:f>
              <c:numCache>
                <c:formatCode>0.00%</c:formatCode>
                <c:ptCount val="6"/>
                <c:pt idx="0">
                  <c:v>2.3272091656368725E-2</c:v>
                </c:pt>
                <c:pt idx="1">
                  <c:v>3.502753747589888E-2</c:v>
                </c:pt>
                <c:pt idx="2">
                  <c:v>4.1290382134029524E-2</c:v>
                </c:pt>
                <c:pt idx="3">
                  <c:v>4.5077127202364169E-2</c:v>
                </c:pt>
                <c:pt idx="4">
                  <c:v>4.7825518976208348E-2</c:v>
                </c:pt>
                <c:pt idx="5">
                  <c:v>5.0210684150472501E-2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1-445A-802F-7BBEE970C54A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ERP'!$K$35:$K$40</c:f>
              <c:numCache>
                <c:formatCode>0.00%</c:formatCode>
                <c:ptCount val="6"/>
                <c:pt idx="0">
                  <c:v>5.8498253410601032E-3</c:v>
                </c:pt>
                <c:pt idx="1">
                  <c:v>1.0445031192849194E-2</c:v>
                </c:pt>
                <c:pt idx="2">
                  <c:v>1.4187673784519128E-2</c:v>
                </c:pt>
                <c:pt idx="3">
                  <c:v>1.7380422352268752E-2</c:v>
                </c:pt>
                <c:pt idx="4">
                  <c:v>2.0248291472655673E-2</c:v>
                </c:pt>
                <c:pt idx="5">
                  <c:v>2.2958162809274686E-2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1-445A-802F-7BBEE970C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capex by firm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'Capex Build'!$C$8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Build'!$D$8:$I$8</c:f>
              <c:numCache>
                <c:formatCode>#,##0</c:formatCode>
                <c:ptCount val="6"/>
                <c:pt idx="0">
                  <c:v>58</c:v>
                </c:pt>
                <c:pt idx="1">
                  <c:v>48</c:v>
                </c:pt>
                <c:pt idx="2">
                  <c:v>78</c:v>
                </c:pt>
                <c:pt idx="3">
                  <c:v>128</c:v>
                </c:pt>
                <c:pt idx="4">
                  <c:v>200</c:v>
                </c:pt>
                <c:pt idx="5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68B-B950-37894B3B1DCC}"/>
            </c:ext>
          </c:extLst>
        </c:ser>
        <c:ser>
          <c:idx val="1"/>
          <c:order val="1"/>
          <c:tx>
            <c:strRef>
              <c:f>'Capex Build'!$C$9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Build'!$D$9:$I$9</c:f>
              <c:numCache>
                <c:formatCode>#,##0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185</c:v>
                </c:pt>
                <c:pt idx="5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0-468B-B950-37894B3B1DCC}"/>
            </c:ext>
          </c:extLst>
        </c:ser>
        <c:ser>
          <c:idx val="2"/>
          <c:order val="2"/>
          <c:tx>
            <c:strRef>
              <c:f>'Capex Build'!$C$10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Build'!$D$10:$I$10</c:f>
              <c:numCache>
                <c:formatCode>#,##0</c:formatCode>
                <c:ptCount val="6"/>
                <c:pt idx="0">
                  <c:v>28</c:v>
                </c:pt>
                <c:pt idx="1">
                  <c:v>41</c:v>
                </c:pt>
                <c:pt idx="2">
                  <c:v>76</c:v>
                </c:pt>
                <c:pt idx="3">
                  <c:v>118</c:v>
                </c:pt>
                <c:pt idx="4">
                  <c:v>175</c:v>
                </c:pt>
                <c:pt idx="5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0-468B-B950-37894B3B1DCC}"/>
            </c:ext>
          </c:extLst>
        </c:ser>
        <c:ser>
          <c:idx val="3"/>
          <c:order val="3"/>
          <c:tx>
            <c:strRef>
              <c:f>'Capex Build'!$C$11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Build'!$D$11:$I$11</c:f>
              <c:numCache>
                <c:formatCode>#,##0</c:formatCode>
                <c:ptCount val="6"/>
                <c:pt idx="0">
                  <c:v>32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138</c:v>
                </c:pt>
                <c:pt idx="5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60-468B-B950-37894B3B1DCC}"/>
            </c:ext>
          </c:extLst>
        </c:ser>
        <c:ser>
          <c:idx val="4"/>
          <c:order val="4"/>
          <c:tx>
            <c:strRef>
              <c:f>'Capex Build'!$C$12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Build'!$D$12:$I$12</c:f>
              <c:numCache>
                <c:formatCode>#,##0</c:formatCode>
                <c:ptCount val="6"/>
                <c:pt idx="0">
                  <c:v>7</c:v>
                </c:pt>
                <c:pt idx="1">
                  <c:v>7</c:v>
                </c:pt>
                <c:pt idx="2">
                  <c:v>11</c:v>
                </c:pt>
                <c:pt idx="3">
                  <c:v>35</c:v>
                </c:pt>
                <c:pt idx="4">
                  <c:v>92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60-468B-B950-37894B3B1DCC}"/>
            </c:ext>
          </c:extLst>
        </c:ser>
        <c:ser>
          <c:idx val="5"/>
          <c:order val="5"/>
          <c:tx>
            <c:strRef>
              <c:f>'Capex Build'!$C$19</c:f>
              <c:strCache>
                <c:ptCount val="1"/>
                <c:pt idx="0">
                  <c:v>Other five firms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Build'!$D$19:$I$19</c:f>
              <c:numCache>
                <c:formatCode>#,##0</c:formatCode>
                <c:ptCount val="6"/>
                <c:pt idx="0">
                  <c:v>0</c:v>
                </c:pt>
                <c:pt idx="1">
                  <c:v>3</c:v>
                </c:pt>
                <c:pt idx="2">
                  <c:v>16</c:v>
                </c:pt>
                <c:pt idx="3">
                  <c:v>26</c:v>
                </c:pt>
                <c:pt idx="4">
                  <c:v>97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60-468B-B950-37894B3B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Capex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investment as a share of GDP and of private fixed investment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'Capex Build'!$C$30</c:f>
              <c:strCache>
                <c:ptCount val="1"/>
                <c:pt idx="0">
                  <c:v>Share of GDP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Build'!$D$26:$I$26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Build'!$D$30:$I$30</c:f>
              <c:numCache>
                <c:formatCode>0.00%</c:formatCode>
                <c:ptCount val="6"/>
                <c:pt idx="0">
                  <c:v>5.9770114942528738E-3</c:v>
                </c:pt>
                <c:pt idx="1">
                  <c:v>5.7194244604316545E-3</c:v>
                </c:pt>
                <c:pt idx="2">
                  <c:v>9.285714285714286E-3</c:v>
                </c:pt>
                <c:pt idx="3">
                  <c:v>1.5210355987055016E-2</c:v>
                </c:pt>
                <c:pt idx="4">
                  <c:v>2.7893081761006289E-2</c:v>
                </c:pt>
                <c:pt idx="5">
                  <c:v>3.18348623853211E-2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ED8-849B-3A0B5362FD65}"/>
            </c:ext>
          </c:extLst>
        </c:ser>
        <c:ser>
          <c:idx val="4"/>
          <c:order val="1"/>
          <c:tx>
            <c:strRef>
              <c:f>'Capex Build'!$C$31</c:f>
              <c:strCache>
                <c:ptCount val="1"/>
                <c:pt idx="0">
                  <c:v>Share of gross private fixed investment (%)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Build'!$D$26:$I$26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Build'!$D$31:$I$31</c:f>
              <c:numCache>
                <c:formatCode>0.00%</c:formatCode>
                <c:ptCount val="6"/>
                <c:pt idx="0">
                  <c:v>3.3191489361702124E-2</c:v>
                </c:pt>
                <c:pt idx="1">
                  <c:v>3.1800000000000002E-2</c:v>
                </c:pt>
                <c:pt idx="2">
                  <c:v>5.1509433962264151E-2</c:v>
                </c:pt>
                <c:pt idx="3">
                  <c:v>8.3928571428571422E-2</c:v>
                </c:pt>
                <c:pt idx="4">
                  <c:v>0.15561403508771929</c:v>
                </c:pt>
                <c:pt idx="5">
                  <c:v>0.17644067796610169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1-4ED8-849B-3A0B5362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/>
      </c:lineChart>
      <c:catAx>
        <c:axId val="669758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Moderate: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Paths'!$D$433:$D$460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6.2156431646994692E-2</c:v>
                </c:pt>
                <c:pt idx="7">
                  <c:v>6.6785845421514667E-2</c:v>
                </c:pt>
                <c:pt idx="8">
                  <c:v>6.3407150959936986E-2</c:v>
                </c:pt>
                <c:pt idx="9">
                  <c:v>6.1000309726733093E-2</c:v>
                </c:pt>
                <c:pt idx="10">
                  <c:v>5.9316474411219344E-2</c:v>
                </c:pt>
                <c:pt idx="11">
                  <c:v>5.8154817892782429E-2</c:v>
                </c:pt>
                <c:pt idx="12">
                  <c:v>5.7361678561006268E-2</c:v>
                </c:pt>
                <c:pt idx="13">
                  <c:v>5.6824172915001636E-2</c:v>
                </c:pt>
                <c:pt idx="14">
                  <c:v>5.6461810643389843E-2</c:v>
                </c:pt>
                <c:pt idx="15">
                  <c:v>5.621840392352806E-2</c:v>
                </c:pt>
                <c:pt idx="16">
                  <c:v>5.6055305478244444E-2</c:v>
                </c:pt>
                <c:pt idx="17">
                  <c:v>5.5946201515369109E-2</c:v>
                </c:pt>
                <c:pt idx="18">
                  <c:v>5.5873299159133527E-2</c:v>
                </c:pt>
                <c:pt idx="19">
                  <c:v>5.5824623283289077E-2</c:v>
                </c:pt>
                <c:pt idx="20">
                  <c:v>5.5792139568186183E-2</c:v>
                </c:pt>
                <c:pt idx="21">
                  <c:v>5.5770469001366507E-2</c:v>
                </c:pt>
                <c:pt idx="22">
                  <c:v>5.5756015388822577E-2</c:v>
                </c:pt>
                <c:pt idx="23">
                  <c:v>5.5746376725213764E-2</c:v>
                </c:pt>
                <c:pt idx="24">
                  <c:v>5.5739949650015053E-2</c:v>
                </c:pt>
                <c:pt idx="25">
                  <c:v>5.5735664355431647E-2</c:v>
                </c:pt>
                <c:pt idx="26">
                  <c:v>5.5732807235510107E-2</c:v>
                </c:pt>
                <c:pt idx="27">
                  <c:v>5.5730902374711233E-2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7-4034-B349-C0F494EC463C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Paths'!$E$433:$E$460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0.10033402117798884</c:v>
                </c:pt>
                <c:pt idx="11">
                  <c:v>0.1336987200401325</c:v>
                </c:pt>
                <c:pt idx="12">
                  <c:v>0.15153067817750587</c:v>
                </c:pt>
                <c:pt idx="13">
                  <c:v>0.16217048286353708</c:v>
                </c:pt>
                <c:pt idx="14">
                  <c:v>0.16882664072395648</c:v>
                </c:pt>
                <c:pt idx="15">
                  <c:v>0.17309532250037774</c:v>
                </c:pt>
                <c:pt idx="16">
                  <c:v>0.17587237420978252</c:v>
                </c:pt>
                <c:pt idx="17">
                  <c:v>0.17769484585646533</c:v>
                </c:pt>
                <c:pt idx="18">
                  <c:v>0.17969449060751508</c:v>
                </c:pt>
                <c:pt idx="19">
                  <c:v>0.18022264847683367</c:v>
                </c:pt>
                <c:pt idx="20">
                  <c:v>0.180573806041463</c:v>
                </c:pt>
                <c:pt idx="21">
                  <c:v>0.18096314245891088</c:v>
                </c:pt>
                <c:pt idx="22">
                  <c:v>0.18106677352138356</c:v>
                </c:pt>
                <c:pt idx="23">
                  <c:v>0.49287501583074778</c:v>
                </c:pt>
                <c:pt idx="24">
                  <c:v>0.61424628087100941</c:v>
                </c:pt>
                <c:pt idx="25">
                  <c:v>0.67644236416454984</c:v>
                </c:pt>
                <c:pt idx="26">
                  <c:v>0.71274061761722729</c:v>
                </c:pt>
                <c:pt idx="27">
                  <c:v>0.73507087577275465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Paths'!$F$433:$F$460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6.2156431646994692E-2</c:v>
                </c:pt>
                <c:pt idx="7">
                  <c:v>6.6785845421514667E-2</c:v>
                </c:pt>
                <c:pt idx="8">
                  <c:v>6.7091870355933336E-2</c:v>
                </c:pt>
                <c:pt idx="9">
                  <c:v>6.9520318445604121E-2</c:v>
                </c:pt>
                <c:pt idx="10">
                  <c:v>7.3649261570344252E-2</c:v>
                </c:pt>
                <c:pt idx="11">
                  <c:v>7.916440261966888E-2</c:v>
                </c:pt>
                <c:pt idx="12">
                  <c:v>8.5850488999947322E-2</c:v>
                </c:pt>
                <c:pt idx="13">
                  <c:v>9.3570155856501941E-2</c:v>
                </c:pt>
                <c:pt idx="14">
                  <c:v>0.10224529838641334</c:v>
                </c:pt>
                <c:pt idx="15">
                  <c:v>0.11184193394503066</c:v>
                </c:pt>
                <c:pt idx="16">
                  <c:v>0.12235866283430605</c:v>
                </c:pt>
                <c:pt idx="17">
                  <c:v>0.13381831164075852</c:v>
                </c:pt>
                <c:pt idx="18">
                  <c:v>0.14626212337816838</c:v>
                </c:pt>
                <c:pt idx="19">
                  <c:v>0.15974586229030194</c:v>
                </c:pt>
                <c:pt idx="20">
                  <c:v>0.1743373044669386</c:v>
                </c:pt>
                <c:pt idx="21">
                  <c:v>0.19011471018132522</c:v>
                </c:pt>
                <c:pt idx="22">
                  <c:v>0.20716598516209023</c:v>
                </c:pt>
                <c:pt idx="23">
                  <c:v>0.22558832565156556</c:v>
                </c:pt>
                <c:pt idx="24">
                  <c:v>0.24548820676545438</c:v>
                </c:pt>
                <c:pt idx="25">
                  <c:v>0.26698161964706973</c:v>
                </c:pt>
                <c:pt idx="26">
                  <c:v>0.29019449490051352</c:v>
                </c:pt>
                <c:pt idx="27">
                  <c:v>0.31526327177630031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95F7-4034-B349-C0F494EC463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 Transformative (P10) 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0.19624318459765622</c:v>
                    </c:pt>
                    <c:pt idx="9">
                      <c:v>0.19624318459765622</c:v>
                    </c:pt>
                    <c:pt idx="10">
                      <c:v>0.19624318459765622</c:v>
                    </c:pt>
                    <c:pt idx="11">
                      <c:v>0.19624318459765622</c:v>
                    </c:pt>
                    <c:pt idx="12">
                      <c:v>0.19624318459765622</c:v>
                    </c:pt>
                    <c:pt idx="13">
                      <c:v>0.19624318459765622</c:v>
                    </c:pt>
                    <c:pt idx="14">
                      <c:v>0.19624318459765622</c:v>
                    </c:pt>
                    <c:pt idx="15">
                      <c:v>0.19624318459765622</c:v>
                    </c:pt>
                    <c:pt idx="16">
                      <c:v>0.19624318459765622</c:v>
                    </c:pt>
                    <c:pt idx="17">
                      <c:v>0.19624318459765622</c:v>
                    </c:pt>
                    <c:pt idx="18">
                      <c:v>0.19624318459765622</c:v>
                    </c:pt>
                    <c:pt idx="19">
                      <c:v>0.19624318459765622</c:v>
                    </c:pt>
                    <c:pt idx="20">
                      <c:v>0.19624318459765622</c:v>
                    </c:pt>
                    <c:pt idx="21">
                      <c:v>0.19624318459765622</c:v>
                    </c:pt>
                    <c:pt idx="22">
                      <c:v>0.19624318459765622</c:v>
                    </c:pt>
                    <c:pt idx="23">
                      <c:v>0.19624318459765622</c:v>
                    </c:pt>
                    <c:pt idx="24">
                      <c:v>0.19624318459765622</c:v>
                    </c:pt>
                    <c:pt idx="25">
                      <c:v>0.19624318459765622</c:v>
                    </c:pt>
                    <c:pt idx="26">
                      <c:v>0.19624318459765622</c:v>
                    </c:pt>
                    <c:pt idx="27">
                      <c:v>0.19624318459765622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5F7-4034-B349-C0F494EC463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 Transformative (P90 - P10) 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0.38343869448169432</c:v>
                    </c:pt>
                    <c:pt idx="11">
                      <c:v>0.38343869448169432</c:v>
                    </c:pt>
                    <c:pt idx="12">
                      <c:v>0.38343869448169432</c:v>
                    </c:pt>
                    <c:pt idx="13">
                      <c:v>0.38343869448169432</c:v>
                    </c:pt>
                    <c:pt idx="14">
                      <c:v>0.38343869448169432</c:v>
                    </c:pt>
                    <c:pt idx="15">
                      <c:v>0.38343869448169432</c:v>
                    </c:pt>
                    <c:pt idx="16">
                      <c:v>0.38343869448169432</c:v>
                    </c:pt>
                    <c:pt idx="17">
                      <c:v>0.38343869448169432</c:v>
                    </c:pt>
                    <c:pt idx="18">
                      <c:v>0.38343869448169432</c:v>
                    </c:pt>
                    <c:pt idx="19">
                      <c:v>0.38343869448169432</c:v>
                    </c:pt>
                    <c:pt idx="20">
                      <c:v>0.38343869448169432</c:v>
                    </c:pt>
                    <c:pt idx="21">
                      <c:v>1.4143056731020653</c:v>
                    </c:pt>
                    <c:pt idx="22">
                      <c:v>1.4143056731020653</c:v>
                    </c:pt>
                    <c:pt idx="23">
                      <c:v>1.4143056731020653</c:v>
                    </c:pt>
                    <c:pt idx="24">
                      <c:v>1.4143056731020653</c:v>
                    </c:pt>
                    <c:pt idx="25">
                      <c:v>1.4143056731020653</c:v>
                    </c:pt>
                    <c:pt idx="26">
                      <c:v>1.4143056731020653</c:v>
                    </c:pt>
                    <c:pt idx="27">
                      <c:v>1.4143056731020653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5F7-4034-B349-C0F494EC463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 Transformative (Mean) 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0.21158073237692387</c:v>
                    </c:pt>
                    <c:pt idx="9">
                      <c:v>0.22795416541081348</c:v>
                    </c:pt>
                    <c:pt idx="10">
                      <c:v>0.24543344653016264</c:v>
                    </c:pt>
                    <c:pt idx="11">
                      <c:v>0.26409326379736964</c:v>
                    </c:pt>
                    <c:pt idx="12">
                      <c:v>0.28401334964461444</c:v>
                    </c:pt>
                    <c:pt idx="13">
                      <c:v>0.30527882156640862</c:v>
                    </c:pt>
                    <c:pt idx="14">
                      <c:v>0.3279805458222389</c:v>
                    </c:pt>
                    <c:pt idx="15">
                      <c:v>0.3522155257033841</c:v>
                    </c:pt>
                    <c:pt idx="16">
                      <c:v>0.37808731602295409</c:v>
                    </c:pt>
                    <c:pt idx="17">
                      <c:v>0.40570646560023627</c:v>
                    </c:pt>
                    <c:pt idx="18">
                      <c:v>0.43519098963007496</c:v>
                    </c:pt>
                    <c:pt idx="19">
                      <c:v>0.46666687395567963</c:v>
                    </c:pt>
                    <c:pt idx="20">
                      <c:v>0.50026861339960749</c:v>
                    </c:pt>
                    <c:pt idx="21">
                      <c:v>0.53613978645316696</c:v>
                    </c:pt>
                    <c:pt idx="22">
                      <c:v>0.57443366877987456</c:v>
                    </c:pt>
                    <c:pt idx="23">
                      <c:v>0.61531388815441668</c:v>
                    </c:pt>
                    <c:pt idx="24">
                      <c:v>0.65895512363565611</c:v>
                    </c:pt>
                    <c:pt idx="25">
                      <c:v>0.70554385196119562</c:v>
                    </c:pt>
                    <c:pt idx="26">
                      <c:v>0.75527914435281374</c:v>
                    </c:pt>
                    <c:pt idx="27">
                      <c:v>0.8083735171374804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5F7-4034-B349-C0F494EC463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 Singularity (P10) 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0.57968187907935054</c:v>
                    </c:pt>
                    <c:pt idx="9">
                      <c:v>0.57968187907935054</c:v>
                    </c:pt>
                    <c:pt idx="10">
                      <c:v>0.57968187907935054</c:v>
                    </c:pt>
                    <c:pt idx="11">
                      <c:v>0.57968187907935054</c:v>
                    </c:pt>
                    <c:pt idx="12">
                      <c:v>0.57968187907935054</c:v>
                    </c:pt>
                    <c:pt idx="13">
                      <c:v>0.57968187907935054</c:v>
                    </c:pt>
                    <c:pt idx="14">
                      <c:v>0.57968187907935054</c:v>
                    </c:pt>
                    <c:pt idx="15">
                      <c:v>0.57968187907935054</c:v>
                    </c:pt>
                    <c:pt idx="16">
                      <c:v>0.57968187907935054</c:v>
                    </c:pt>
                    <c:pt idx="17">
                      <c:v>0.57968187907935054</c:v>
                    </c:pt>
                    <c:pt idx="18">
                      <c:v>0.57968187907935054</c:v>
                    </c:pt>
                    <c:pt idx="19">
                      <c:v>0.57968187907935054</c:v>
                    </c:pt>
                    <c:pt idx="20">
                      <c:v>0.57968187907935054</c:v>
                    </c:pt>
                    <c:pt idx="21">
                      <c:v>0.57968187907935054</c:v>
                    </c:pt>
                    <c:pt idx="22">
                      <c:v>0.57968187907935054</c:v>
                    </c:pt>
                    <c:pt idx="23">
                      <c:v>0.57968187907935054</c:v>
                    </c:pt>
                    <c:pt idx="24">
                      <c:v>0.57968187907935054</c:v>
                    </c:pt>
                    <c:pt idx="25">
                      <c:v>0.57968187907935054</c:v>
                    </c:pt>
                    <c:pt idx="26">
                      <c:v>0.57968187907935054</c:v>
                    </c:pt>
                    <c:pt idx="27">
                      <c:v>0.57968187907935054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5F7-4034-B349-C0F494EC463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 Singularity (P90 - P10) </c:v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1.030866978620371</c:v>
                    </c:pt>
                    <c:pt idx="11">
                      <c:v>1.030866978620371</c:v>
                    </c:pt>
                    <c:pt idx="12">
                      <c:v>1.030866978620371</c:v>
                    </c:pt>
                    <c:pt idx="13">
                      <c:v>1.030866978620371</c:v>
                    </c:pt>
                    <c:pt idx="14">
                      <c:v>1.030866978620371</c:v>
                    </c:pt>
                    <c:pt idx="15">
                      <c:v>1.030866978620371</c:v>
                    </c:pt>
                    <c:pt idx="16">
                      <c:v>1.030866978620371</c:v>
                    </c:pt>
                    <c:pt idx="17">
                      <c:v>1.030866978620371</c:v>
                    </c:pt>
                    <c:pt idx="18">
                      <c:v>1.030866978620371</c:v>
                    </c:pt>
                    <c:pt idx="19">
                      <c:v>1.030866978620371</c:v>
                    </c:pt>
                    <c:pt idx="20">
                      <c:v>1.030866978620371</c:v>
                    </c:pt>
                    <c:pt idx="21">
                      <c:v>3.8023314732154132</c:v>
                    </c:pt>
                    <c:pt idx="22">
                      <c:v>3.8023314732154132</c:v>
                    </c:pt>
                    <c:pt idx="23">
                      <c:v>3.8023314732154132</c:v>
                    </c:pt>
                    <c:pt idx="24">
                      <c:v>3.8023314732154132</c:v>
                    </c:pt>
                    <c:pt idx="25">
                      <c:v>3.8023314732154132</c:v>
                    </c:pt>
                    <c:pt idx="26">
                      <c:v>3.8023314732154132</c:v>
                    </c:pt>
                    <c:pt idx="27">
                      <c:v>3.8023314732154132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5F7-4034-B349-C0F494EC463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 Singularity (Mean) </c:v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0.62091655822416536</c:v>
                    </c:pt>
                    <c:pt idx="9">
                      <c:v>0.66493619339453969</c:v>
                    </c:pt>
                    <c:pt idx="10">
                      <c:v>0.7119288782103379</c:v>
                    </c:pt>
                    <c:pt idx="11">
                      <c:v>0.76209540997848846</c:v>
                    </c:pt>
                    <c:pt idx="12">
                      <c:v>0.81565014768946797</c:v>
                    </c:pt>
                    <c:pt idx="13">
                      <c:v>0.87282192796216229</c:v>
                    </c:pt>
                    <c:pt idx="14">
                      <c:v>0.93385504285087784</c:v>
                    </c:pt>
                    <c:pt idx="15">
                      <c:v>0.99901028369263067</c:v>
                    </c:pt>
                    <c:pt idx="16">
                      <c:v>1.0685660554550132</c:v>
                    </c:pt>
                    <c:pt idx="17">
                      <c:v>1.1428195663461955</c:v>
                    </c:pt>
                    <c:pt idx="18">
                      <c:v>1.222088097770194</c:v>
                    </c:pt>
                    <c:pt idx="19">
                      <c:v>1.306710360053871</c:v>
                    </c:pt>
                    <c:pt idx="20">
                      <c:v>1.3970479397386053</c:v>
                    </c:pt>
                    <c:pt idx="21">
                      <c:v>1.4934868446208487</c:v>
                    </c:pt>
                    <c:pt idx="22">
                      <c:v>1.5964391531434337</c:v>
                    </c:pt>
                    <c:pt idx="23">
                      <c:v>1.7063447751854062</c:v>
                    </c:pt>
                    <c:pt idx="24">
                      <c:v>1.8236733317741405</c:v>
                    </c:pt>
                    <c:pt idx="25">
                      <c:v>1.9489261617516491</c:v>
                    </c:pt>
                    <c:pt idx="26">
                      <c:v>2.0826384639694835</c:v>
                    </c:pt>
                    <c:pt idx="27">
                      <c:v>2.2253815841656799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5F7-4034-B349-C0F494EC463C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Transformative: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Paths'!$G$433:$G$460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0.2273543336120416</c:v>
                </c:pt>
                <c:pt idx="8">
                  <c:v>0.23065151951138918</c:v>
                </c:pt>
                <c:pt idx="9">
                  <c:v>0.23280302266985498</c:v>
                </c:pt>
                <c:pt idx="10">
                  <c:v>0.23421754627973312</c:v>
                </c:pt>
                <c:pt idx="11">
                  <c:v>0.23515201002678854</c:v>
                </c:pt>
                <c:pt idx="12">
                  <c:v>0.23577125708746038</c:v>
                </c:pt>
                <c:pt idx="13">
                  <c:v>0.23618245204585486</c:v>
                </c:pt>
                <c:pt idx="14">
                  <c:v>0.23645586078452152</c:v>
                </c:pt>
                <c:pt idx="15">
                  <c:v>0.23663781450445587</c:v>
                </c:pt>
                <c:pt idx="16">
                  <c:v>0.2367589758299089</c:v>
                </c:pt>
                <c:pt idx="17">
                  <c:v>0.23683968746548012</c:v>
                </c:pt>
                <c:pt idx="18">
                  <c:v>0.23689346745403106</c:v>
                </c:pt>
                <c:pt idx="19">
                  <c:v>0.23692930845161664</c:v>
                </c:pt>
                <c:pt idx="20">
                  <c:v>0.23695319697482087</c:v>
                </c:pt>
                <c:pt idx="21">
                  <c:v>0.23696912022471772</c:v>
                </c:pt>
                <c:pt idx="22">
                  <c:v>0.23697973464400213</c:v>
                </c:pt>
                <c:pt idx="23">
                  <c:v>0.23698681044334102</c:v>
                </c:pt>
                <c:pt idx="24">
                  <c:v>0.23699152742951535</c:v>
                </c:pt>
                <c:pt idx="25">
                  <c:v>0.23699467199213653</c:v>
                </c:pt>
                <c:pt idx="26">
                  <c:v>0.23699676832507399</c:v>
                </c:pt>
                <c:pt idx="27">
                  <c:v>0.23699816586163602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E4F-45D7-BAC2-CDF62A14EDDF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Paths'!$H$433:$H$460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0.31170595316077532</c:v>
                </c:pt>
                <c:pt idx="11">
                  <c:v>0.43361353329868213</c:v>
                </c:pt>
                <c:pt idx="12">
                  <c:v>0.49542291603221811</c:v>
                </c:pt>
                <c:pt idx="13">
                  <c:v>0.53149252640943478</c:v>
                </c:pt>
                <c:pt idx="14">
                  <c:v>0.55378612371122471</c:v>
                </c:pt>
                <c:pt idx="15">
                  <c:v>0.56798017152535962</c:v>
                </c:pt>
                <c:pt idx="16">
                  <c:v>0.57717252607862535</c:v>
                </c:pt>
                <c:pt idx="17">
                  <c:v>0.5831875756979501</c:v>
                </c:pt>
                <c:pt idx="18">
                  <c:v>0.58976889604230642</c:v>
                </c:pt>
                <c:pt idx="19">
                  <c:v>0.59150670193195509</c:v>
                </c:pt>
                <c:pt idx="20">
                  <c:v>0.59266115510041173</c:v>
                </c:pt>
                <c:pt idx="21">
                  <c:v>0.59394005679993711</c:v>
                </c:pt>
                <c:pt idx="22">
                  <c:v>0.5942804450164465</c:v>
                </c:pt>
                <c:pt idx="23">
                  <c:v>1.6175731785567968</c:v>
                </c:pt>
                <c:pt idx="24">
                  <c:v>2.0159955121146651</c:v>
                </c:pt>
                <c:pt idx="25">
                  <c:v>2.2201470034113804</c:v>
                </c:pt>
                <c:pt idx="26">
                  <c:v>2.3392876457705469</c:v>
                </c:pt>
                <c:pt idx="27">
                  <c:v>2.4125801996869383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v> Moderate (P10) </c:v>
                </c:tx>
                <c:spPr>
                  <a:noFill/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5.3620290009847471E-2</c:v>
                    </c:pt>
                    <c:pt idx="9">
                      <c:v>5.3620290009847471E-2</c:v>
                    </c:pt>
                    <c:pt idx="10">
                      <c:v>5.3620290009847471E-2</c:v>
                    </c:pt>
                    <c:pt idx="11">
                      <c:v>5.3620290009847471E-2</c:v>
                    </c:pt>
                    <c:pt idx="12">
                      <c:v>5.3620290009847471E-2</c:v>
                    </c:pt>
                    <c:pt idx="13">
                      <c:v>5.3620290009847471E-2</c:v>
                    </c:pt>
                    <c:pt idx="14">
                      <c:v>5.3620290009847471E-2</c:v>
                    </c:pt>
                    <c:pt idx="15">
                      <c:v>5.3620290009847471E-2</c:v>
                    </c:pt>
                    <c:pt idx="16">
                      <c:v>5.3620290009847471E-2</c:v>
                    </c:pt>
                    <c:pt idx="17">
                      <c:v>5.3620290009847471E-2</c:v>
                    </c:pt>
                    <c:pt idx="18">
                      <c:v>5.3620290009847471E-2</c:v>
                    </c:pt>
                    <c:pt idx="19">
                      <c:v>5.3620290009847471E-2</c:v>
                    </c:pt>
                    <c:pt idx="20">
                      <c:v>5.3620290009847471E-2</c:v>
                    </c:pt>
                    <c:pt idx="21">
                      <c:v>5.3620290009847471E-2</c:v>
                    </c:pt>
                    <c:pt idx="22">
                      <c:v>5.3620290009847471E-2</c:v>
                    </c:pt>
                    <c:pt idx="23">
                      <c:v>5.3620290009847471E-2</c:v>
                    </c:pt>
                    <c:pt idx="24">
                      <c:v>5.3620290009847471E-2</c:v>
                    </c:pt>
                    <c:pt idx="25">
                      <c:v>5.3620290009847471E-2</c:v>
                    </c:pt>
                    <c:pt idx="26">
                      <c:v>5.3620290009847471E-2</c:v>
                    </c:pt>
                    <c:pt idx="27">
                      <c:v>5.3620290009847471E-2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4-0E4F-45D7-BAC2-CDF62A14EDDF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0.14262289458780875</c:v>
                    </c:pt>
                    <c:pt idx="11">
                      <c:v>0.14262289458780875</c:v>
                    </c:pt>
                    <c:pt idx="12">
                      <c:v>0.14262289458780875</c:v>
                    </c:pt>
                    <c:pt idx="13">
                      <c:v>0.14262289458780875</c:v>
                    </c:pt>
                    <c:pt idx="14">
                      <c:v>0.14262289458780875</c:v>
                    </c:pt>
                    <c:pt idx="15">
                      <c:v>0.14262289458780875</c:v>
                    </c:pt>
                    <c:pt idx="16">
                      <c:v>0.14262289458780875</c:v>
                    </c:pt>
                    <c:pt idx="17">
                      <c:v>0.14262289458780875</c:v>
                    </c:pt>
                    <c:pt idx="18">
                      <c:v>0.14262289458780875</c:v>
                    </c:pt>
                    <c:pt idx="19">
                      <c:v>0.14262289458780875</c:v>
                    </c:pt>
                    <c:pt idx="20">
                      <c:v>0.14262289458780875</c:v>
                    </c:pt>
                    <c:pt idx="21">
                      <c:v>0.52606158906950307</c:v>
                    </c:pt>
                    <c:pt idx="22">
                      <c:v>0.52606158906950307</c:v>
                    </c:pt>
                    <c:pt idx="23">
                      <c:v>0.52606158906950307</c:v>
                    </c:pt>
                    <c:pt idx="24">
                      <c:v>0.52606158906950307</c:v>
                    </c:pt>
                    <c:pt idx="25">
                      <c:v>0.52606158906950307</c:v>
                    </c:pt>
                    <c:pt idx="26">
                      <c:v>0.52606158906950307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E4F-45D7-BAC2-CDF62A14EDDF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Paths'!$I$433:$I$460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0.2273543336120416</c:v>
                </c:pt>
                <c:pt idx="8">
                  <c:v>0.24141039100988843</c:v>
                </c:pt>
                <c:pt idx="9">
                  <c:v>0.25942852591616478</c:v>
                </c:pt>
                <c:pt idx="10">
                  <c:v>0.28019815456273689</c:v>
                </c:pt>
                <c:pt idx="11">
                  <c:v>0.30333369902915391</c:v>
                </c:pt>
                <c:pt idx="12">
                  <c:v>0.32873192099361465</c:v>
                </c:pt>
                <c:pt idx="13">
                  <c:v>0.35641420825730885</c:v>
                </c:pt>
                <c:pt idx="14">
                  <c:v>0.38646953188932515</c:v>
                </c:pt>
                <c:pt idx="15">
                  <c:v>0.41903004973240898</c:v>
                </c:pt>
                <c:pt idx="16">
                  <c:v>0.45425958682309381</c:v>
                </c:pt>
                <c:pt idx="17">
                  <c:v>0.49234796444110568</c:v>
                </c:pt>
                <c:pt idx="18">
                  <c:v>0.53350829781595765</c:v>
                </c:pt>
                <c:pt idx="19">
                  <c:v>0.57797594786919992</c:v>
                </c:pt>
                <c:pt idx="20">
                  <c:v>0.62600847321320419</c:v>
                </c:pt>
                <c:pt idx="21">
                  <c:v>0.67788623462519393</c:v>
                </c:pt>
                <c:pt idx="22">
                  <c:v>0.73391345770505056</c:v>
                </c:pt>
                <c:pt idx="23">
                  <c:v>0.79441964200902648</c:v>
                </c:pt>
                <c:pt idx="24">
                  <c:v>0.85976125216231114</c:v>
                </c:pt>
                <c:pt idx="25">
                  <c:v>0.93032365486545365</c:v>
                </c:pt>
                <c:pt idx="26">
                  <c:v>1.0065232835794824</c:v>
                </c:pt>
                <c:pt idx="27">
                  <c:v>1.0888100243595022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0E4F-45D7-BAC2-CDF62A14EDD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5.9325205793359759E-2</c:v>
                    </c:pt>
                    <c:pt idx="9">
                      <c:v>6.5415426856702208E-2</c:v>
                    </c:pt>
                    <c:pt idx="10">
                      <c:v>7.1916976398866739E-2</c:v>
                    </c:pt>
                    <c:pt idx="11">
                      <c:v>7.8857635204118592E-2</c:v>
                    </c:pt>
                    <c:pt idx="12">
                      <c:v>8.6267060347848812E-2</c:v>
                    </c:pt>
                    <c:pt idx="13">
                      <c:v>9.4176911919719331E-2</c:v>
                    </c:pt>
                    <c:pt idx="14">
                      <c:v>0.10262098830558686</c:v>
                    </c:pt>
                    <c:pt idx="15">
                      <c:v>0.11163537060625295</c:v>
                    </c:pt>
                    <c:pt idx="16">
                      <c:v>0.12125857681013819</c:v>
                    </c:pt>
                    <c:pt idx="17">
                      <c:v>0.13153172637865085</c:v>
                    </c:pt>
                    <c:pt idx="18">
                      <c:v>0.14249871594751418</c:v>
                    </c:pt>
                    <c:pt idx="19">
                      <c:v>0.15420640689481657</c:v>
                    </c:pt>
                    <c:pt idx="20">
                      <c:v>0.16670482557725119</c:v>
                    </c:pt>
                    <c:pt idx="21">
                      <c:v>0.1800473770901454</c:v>
                    </c:pt>
                    <c:pt idx="22">
                      <c:v>0.19429107346466634</c:v>
                    </c:pt>
                    <c:pt idx="23">
                      <c:v>0.20949677727727467</c:v>
                    </c:pt>
                    <c:pt idx="24">
                      <c:v>0.22572946171236041</c:v>
                    </c:pt>
                    <c:pt idx="25">
                      <c:v>0.2430584881892921</c:v>
                    </c:pt>
                    <c:pt idx="26">
                      <c:v>0.26155790274016821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4F-45D7-BAC2-CDF62A14EDD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 Singularity (P10) 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0.57968187907935054</c:v>
                    </c:pt>
                    <c:pt idx="9">
                      <c:v>0.57968187907935054</c:v>
                    </c:pt>
                    <c:pt idx="10">
                      <c:v>0.57968187907935054</c:v>
                    </c:pt>
                    <c:pt idx="11">
                      <c:v>0.57968187907935054</c:v>
                    </c:pt>
                    <c:pt idx="12">
                      <c:v>0.57968187907935054</c:v>
                    </c:pt>
                    <c:pt idx="13">
                      <c:v>0.57968187907935054</c:v>
                    </c:pt>
                    <c:pt idx="14">
                      <c:v>0.57968187907935054</c:v>
                    </c:pt>
                    <c:pt idx="15">
                      <c:v>0.57968187907935054</c:v>
                    </c:pt>
                    <c:pt idx="16">
                      <c:v>0.57968187907935054</c:v>
                    </c:pt>
                    <c:pt idx="17">
                      <c:v>0.57968187907935054</c:v>
                    </c:pt>
                    <c:pt idx="18">
                      <c:v>0.57968187907935054</c:v>
                    </c:pt>
                    <c:pt idx="19">
                      <c:v>0.57968187907935054</c:v>
                    </c:pt>
                    <c:pt idx="20">
                      <c:v>0.57968187907935054</c:v>
                    </c:pt>
                    <c:pt idx="21">
                      <c:v>0.57968187907935054</c:v>
                    </c:pt>
                    <c:pt idx="22">
                      <c:v>0.57968187907935054</c:v>
                    </c:pt>
                    <c:pt idx="23">
                      <c:v>0.57968187907935054</c:v>
                    </c:pt>
                    <c:pt idx="24">
                      <c:v>0.57968187907935054</c:v>
                    </c:pt>
                    <c:pt idx="25">
                      <c:v>0.57968187907935054</c:v>
                    </c:pt>
                    <c:pt idx="26">
                      <c:v>0.57968187907935054</c:v>
                    </c:pt>
                    <c:pt idx="27">
                      <c:v>0.57968187907935054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4F-45D7-BAC2-CDF62A14EDD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 Singularity (P90 - P10) </c:v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1.030866978620371</c:v>
                    </c:pt>
                    <c:pt idx="11">
                      <c:v>1.030866978620371</c:v>
                    </c:pt>
                    <c:pt idx="12">
                      <c:v>1.030866978620371</c:v>
                    </c:pt>
                    <c:pt idx="13">
                      <c:v>1.030866978620371</c:v>
                    </c:pt>
                    <c:pt idx="14">
                      <c:v>1.030866978620371</c:v>
                    </c:pt>
                    <c:pt idx="15">
                      <c:v>1.030866978620371</c:v>
                    </c:pt>
                    <c:pt idx="16">
                      <c:v>1.030866978620371</c:v>
                    </c:pt>
                    <c:pt idx="17">
                      <c:v>1.030866978620371</c:v>
                    </c:pt>
                    <c:pt idx="18">
                      <c:v>1.030866978620371</c:v>
                    </c:pt>
                    <c:pt idx="19">
                      <c:v>1.030866978620371</c:v>
                    </c:pt>
                    <c:pt idx="20">
                      <c:v>1.030866978620371</c:v>
                    </c:pt>
                    <c:pt idx="21">
                      <c:v>3.8023314732154132</c:v>
                    </c:pt>
                    <c:pt idx="22">
                      <c:v>3.8023314732154132</c:v>
                    </c:pt>
                    <c:pt idx="23">
                      <c:v>3.8023314732154132</c:v>
                    </c:pt>
                    <c:pt idx="24">
                      <c:v>3.8023314732154132</c:v>
                    </c:pt>
                    <c:pt idx="25">
                      <c:v>3.8023314732154132</c:v>
                    </c:pt>
                    <c:pt idx="26">
                      <c:v>3.8023314732154132</c:v>
                    </c:pt>
                    <c:pt idx="27">
                      <c:v>3.8023314732154132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4F-45D7-BAC2-CDF62A14EDDF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 Singularity (Mean) </c:v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0.62091655822416536</c:v>
                    </c:pt>
                    <c:pt idx="9">
                      <c:v>0.66493619339453969</c:v>
                    </c:pt>
                    <c:pt idx="10">
                      <c:v>0.7119288782103379</c:v>
                    </c:pt>
                    <c:pt idx="11">
                      <c:v>0.76209540997848846</c:v>
                    </c:pt>
                    <c:pt idx="12">
                      <c:v>0.81565014768946797</c:v>
                    </c:pt>
                    <c:pt idx="13">
                      <c:v>0.87282192796216229</c:v>
                    </c:pt>
                    <c:pt idx="14">
                      <c:v>0.93385504285087784</c:v>
                    </c:pt>
                    <c:pt idx="15">
                      <c:v>0.99901028369263067</c:v>
                    </c:pt>
                    <c:pt idx="16">
                      <c:v>1.0685660554550132</c:v>
                    </c:pt>
                    <c:pt idx="17">
                      <c:v>1.1428195663461955</c:v>
                    </c:pt>
                    <c:pt idx="18">
                      <c:v>1.222088097770194</c:v>
                    </c:pt>
                    <c:pt idx="19">
                      <c:v>1.306710360053871</c:v>
                    </c:pt>
                    <c:pt idx="20">
                      <c:v>1.3970479397386053</c:v>
                    </c:pt>
                    <c:pt idx="21">
                      <c:v>1.4934868446208487</c:v>
                    </c:pt>
                    <c:pt idx="22">
                      <c:v>1.5964391531434337</c:v>
                    </c:pt>
                    <c:pt idx="23">
                      <c:v>1.7063447751854062</c:v>
                    </c:pt>
                    <c:pt idx="24">
                      <c:v>1.8236733317741405</c:v>
                    </c:pt>
                    <c:pt idx="25">
                      <c:v>1.9489261617516491</c:v>
                    </c:pt>
                    <c:pt idx="26">
                      <c:v>2.0826384639694835</c:v>
                    </c:pt>
                    <c:pt idx="27">
                      <c:v>2.2253815841656799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4F-45D7-BAC2-CDF62A14EDDF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Singularity: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Paths'!$J$433:$J$460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0.5307659378264058</c:v>
                </c:pt>
                <c:pt idx="8">
                  <c:v>0.66204298761042457</c:v>
                </c:pt>
                <c:pt idx="9">
                  <c:v>0.72744093631965945</c:v>
                </c:pt>
                <c:pt idx="10">
                  <c:v>0.76540297536716806</c:v>
                </c:pt>
                <c:pt idx="11">
                  <c:v>0.78881173605784882</c:v>
                </c:pt>
                <c:pt idx="12">
                  <c:v>0.80369789205116171</c:v>
                </c:pt>
                <c:pt idx="13">
                  <c:v>0.81333190748327544</c:v>
                </c:pt>
                <c:pt idx="14">
                  <c:v>0.81963338668040264</c:v>
                </c:pt>
                <c:pt idx="15">
                  <c:v>0.82378261330479852</c:v>
                </c:pt>
                <c:pt idx="16">
                  <c:v>0.82652635123853746</c:v>
                </c:pt>
                <c:pt idx="17">
                  <c:v>0.82834571748813857</c:v>
                </c:pt>
                <c:pt idx="18">
                  <c:v>0.82955432508095472</c:v>
                </c:pt>
                <c:pt idx="19">
                  <c:v>0.83035816519918737</c:v>
                </c:pt>
                <c:pt idx="20">
                  <c:v>0.83089321911899994</c:v>
                </c:pt>
                <c:pt idx="21">
                  <c:v>0.83124954985648136</c:v>
                </c:pt>
                <c:pt idx="22">
                  <c:v>0.83148693876675184</c:v>
                </c:pt>
                <c:pt idx="23">
                  <c:v>0.83164512485218078</c:v>
                </c:pt>
                <c:pt idx="24">
                  <c:v>0.83175054974617191</c:v>
                </c:pt>
                <c:pt idx="25">
                  <c:v>0.83182081857542745</c:v>
                </c:pt>
                <c:pt idx="26">
                  <c:v>0.83186765804953144</c:v>
                </c:pt>
                <c:pt idx="27">
                  <c:v>0.83189888151661706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222-4B8D-A075-441AE174FC3E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Paths'!$K$433:$K$460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0.953655651855154</c:v>
                </c:pt>
                <c:pt idx="11">
                  <c:v>1.4055227571373488</c:v>
                </c:pt>
                <c:pt idx="12">
                  <c:v>1.6199236514042961</c:v>
                </c:pt>
                <c:pt idx="13">
                  <c:v>1.7420524738231231</c:v>
                </c:pt>
                <c:pt idx="14">
                  <c:v>1.8166194026850346</c:v>
                </c:pt>
                <c:pt idx="15">
                  <c:v>1.8637644983246631</c:v>
                </c:pt>
                <c:pt idx="16">
                  <c:v>1.8941672116056576</c:v>
                </c:pt>
                <c:pt idx="17">
                  <c:v>1.9140082555539861</c:v>
                </c:pt>
                <c:pt idx="18">
                  <c:v>1.9356645177803167</c:v>
                </c:pt>
                <c:pt idx="19">
                  <c:v>1.9413796459901602</c:v>
                </c:pt>
                <c:pt idx="20">
                  <c:v>1.9451737362595316</c:v>
                </c:pt>
                <c:pt idx="21">
                  <c:v>1.9493741897743719</c:v>
                </c:pt>
                <c:pt idx="22">
                  <c:v>1.9504919632040933</c:v>
                </c:pt>
                <c:pt idx="23">
                  <c:v>5.3087162737302256</c:v>
                </c:pt>
                <c:pt idx="24">
                  <c:v>6.6166206800520104</c:v>
                </c:pt>
                <c:pt idx="25">
                  <c:v>7.2867278742975303</c:v>
                </c:pt>
                <c:pt idx="26">
                  <c:v>7.6777806967396414</c:v>
                </c:pt>
                <c:pt idx="27">
                  <c:v>7.9183425489203341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v> Moderate (P10) </c:v>
                </c:tx>
                <c:spPr>
                  <a:noFill/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5.3620290009847471E-2</c:v>
                    </c:pt>
                    <c:pt idx="9">
                      <c:v>5.3620290009847471E-2</c:v>
                    </c:pt>
                    <c:pt idx="10">
                      <c:v>5.3620290009847471E-2</c:v>
                    </c:pt>
                    <c:pt idx="11">
                      <c:v>5.3620290009847471E-2</c:v>
                    </c:pt>
                    <c:pt idx="12">
                      <c:v>5.3620290009847471E-2</c:v>
                    </c:pt>
                    <c:pt idx="13">
                      <c:v>5.3620290009847471E-2</c:v>
                    </c:pt>
                    <c:pt idx="14">
                      <c:v>5.3620290009847471E-2</c:v>
                    </c:pt>
                    <c:pt idx="15">
                      <c:v>5.3620290009847471E-2</c:v>
                    </c:pt>
                    <c:pt idx="16">
                      <c:v>5.3620290009847471E-2</c:v>
                    </c:pt>
                    <c:pt idx="17">
                      <c:v>5.3620290009847471E-2</c:v>
                    </c:pt>
                    <c:pt idx="18">
                      <c:v>5.3620290009847471E-2</c:v>
                    </c:pt>
                    <c:pt idx="19">
                      <c:v>5.3620290009847471E-2</c:v>
                    </c:pt>
                    <c:pt idx="20">
                      <c:v>5.3620290009847471E-2</c:v>
                    </c:pt>
                    <c:pt idx="21">
                      <c:v>5.3620290009847471E-2</c:v>
                    </c:pt>
                    <c:pt idx="22">
                      <c:v>5.3620290009847471E-2</c:v>
                    </c:pt>
                    <c:pt idx="23">
                      <c:v>5.3620290009847471E-2</c:v>
                    </c:pt>
                    <c:pt idx="24">
                      <c:v>5.3620290009847471E-2</c:v>
                    </c:pt>
                    <c:pt idx="25">
                      <c:v>5.3620290009847471E-2</c:v>
                    </c:pt>
                    <c:pt idx="26">
                      <c:v>5.3620290009847471E-2</c:v>
                    </c:pt>
                    <c:pt idx="27">
                      <c:v>5.3620290009847471E-2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4-C222-4B8D-A075-441AE174FC3E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0.14262289458780875</c:v>
                    </c:pt>
                    <c:pt idx="11">
                      <c:v>0.14262289458780875</c:v>
                    </c:pt>
                    <c:pt idx="12">
                      <c:v>0.14262289458780875</c:v>
                    </c:pt>
                    <c:pt idx="13">
                      <c:v>0.14262289458780875</c:v>
                    </c:pt>
                    <c:pt idx="14">
                      <c:v>0.14262289458780875</c:v>
                    </c:pt>
                    <c:pt idx="15">
                      <c:v>0.14262289458780875</c:v>
                    </c:pt>
                    <c:pt idx="16">
                      <c:v>0.14262289458780875</c:v>
                    </c:pt>
                    <c:pt idx="17">
                      <c:v>0.14262289458780875</c:v>
                    </c:pt>
                    <c:pt idx="18">
                      <c:v>0.14262289458780875</c:v>
                    </c:pt>
                    <c:pt idx="19">
                      <c:v>0.14262289458780875</c:v>
                    </c:pt>
                    <c:pt idx="20">
                      <c:v>0.14262289458780875</c:v>
                    </c:pt>
                    <c:pt idx="21">
                      <c:v>0.52606158906950307</c:v>
                    </c:pt>
                    <c:pt idx="22">
                      <c:v>0.52606158906950307</c:v>
                    </c:pt>
                    <c:pt idx="23">
                      <c:v>0.52606158906950307</c:v>
                    </c:pt>
                    <c:pt idx="24">
                      <c:v>0.52606158906950307</c:v>
                    </c:pt>
                    <c:pt idx="25">
                      <c:v>0.52606158906950307</c:v>
                    </c:pt>
                    <c:pt idx="26">
                      <c:v>0.52606158906950307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222-4B8D-A075-441AE174FC3E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v> Transformative (P10) </c:v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0.19624318459765622</c:v>
                    </c:pt>
                    <c:pt idx="9">
                      <c:v>0.19624318459765622</c:v>
                    </c:pt>
                    <c:pt idx="10">
                      <c:v>0.19624318459765622</c:v>
                    </c:pt>
                    <c:pt idx="11">
                      <c:v>0.19624318459765622</c:v>
                    </c:pt>
                    <c:pt idx="12">
                      <c:v>0.19624318459765622</c:v>
                    </c:pt>
                    <c:pt idx="13">
                      <c:v>0.19624318459765622</c:v>
                    </c:pt>
                    <c:pt idx="14">
                      <c:v>0.19624318459765622</c:v>
                    </c:pt>
                    <c:pt idx="15">
                      <c:v>0.19624318459765622</c:v>
                    </c:pt>
                    <c:pt idx="16">
                      <c:v>0.19624318459765622</c:v>
                    </c:pt>
                    <c:pt idx="17">
                      <c:v>0.19624318459765622</c:v>
                    </c:pt>
                    <c:pt idx="18">
                      <c:v>0.19624318459765622</c:v>
                    </c:pt>
                    <c:pt idx="19">
                      <c:v>0.19624318459765622</c:v>
                    </c:pt>
                    <c:pt idx="20">
                      <c:v>0.19624318459765622</c:v>
                    </c:pt>
                    <c:pt idx="21">
                      <c:v>0.19624318459765622</c:v>
                    </c:pt>
                    <c:pt idx="22">
                      <c:v>0.19624318459765622</c:v>
                    </c:pt>
                    <c:pt idx="23">
                      <c:v>0.19624318459765622</c:v>
                    </c:pt>
                    <c:pt idx="24">
                      <c:v>0.19624318459765622</c:v>
                    </c:pt>
                    <c:pt idx="25">
                      <c:v>0.19624318459765622</c:v>
                    </c:pt>
                    <c:pt idx="26">
                      <c:v>0.19624318459765622</c:v>
                    </c:pt>
                    <c:pt idx="27">
                      <c:v>0.19624318459765622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222-4B8D-A075-441AE174FC3E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0.38343869448169432</c:v>
                    </c:pt>
                    <c:pt idx="11">
                      <c:v>0.38343869448169432</c:v>
                    </c:pt>
                    <c:pt idx="12">
                      <c:v>0.38343869448169432</c:v>
                    </c:pt>
                    <c:pt idx="13">
                      <c:v>0.38343869448169432</c:v>
                    </c:pt>
                    <c:pt idx="14">
                      <c:v>0.38343869448169432</c:v>
                    </c:pt>
                    <c:pt idx="15">
                      <c:v>0.38343869448169432</c:v>
                    </c:pt>
                    <c:pt idx="16">
                      <c:v>0.38343869448169432</c:v>
                    </c:pt>
                    <c:pt idx="17">
                      <c:v>0.38343869448169432</c:v>
                    </c:pt>
                    <c:pt idx="18">
                      <c:v>0.38343869448169432</c:v>
                    </c:pt>
                    <c:pt idx="19">
                      <c:v>0.38343869448169432</c:v>
                    </c:pt>
                    <c:pt idx="20">
                      <c:v>0.38343869448169432</c:v>
                    </c:pt>
                    <c:pt idx="21">
                      <c:v>1.4143056731020653</c:v>
                    </c:pt>
                    <c:pt idx="22">
                      <c:v>1.4143056731020653</c:v>
                    </c:pt>
                    <c:pt idx="23">
                      <c:v>1.4143056731020653</c:v>
                    </c:pt>
                    <c:pt idx="24">
                      <c:v>1.4143056731020653</c:v>
                    </c:pt>
                    <c:pt idx="25">
                      <c:v>1.4143056731020653</c:v>
                    </c:pt>
                    <c:pt idx="26">
                      <c:v>1.4143056731020653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222-4B8D-A075-441AE174FC3E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Paths'!$L$433:$L$460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0.5307659378264058</c:v>
                </c:pt>
                <c:pt idx="8">
                  <c:v>0.69104898388500102</c:v>
                </c:pt>
                <c:pt idx="9">
                  <c:v>0.80960953403272462</c:v>
                </c:pt>
                <c:pt idx="10">
                  <c:v>0.91249262169460399</c:v>
                </c:pt>
                <c:pt idx="11">
                  <c:v>1.0098976704547036</c:v>
                </c:pt>
                <c:pt idx="12">
                  <c:v>1.1069428721676227</c:v>
                </c:pt>
                <c:pt idx="13">
                  <c:v>1.2066728659480641</c:v>
                </c:pt>
                <c:pt idx="14">
                  <c:v>1.3111309526155597</c:v>
                </c:pt>
                <c:pt idx="15">
                  <c:v>1.4218306765433881</c:v>
                </c:pt>
                <c:pt idx="16">
                  <c:v>1.5399946882154854</c:v>
                </c:pt>
                <c:pt idx="17">
                  <c:v>1.6666883275136144</c:v>
                </c:pt>
                <c:pt idx="18">
                  <c:v>1.8028999599508468</c:v>
                </c:pt>
                <c:pt idx="19">
                  <c:v>1.949592129686516</c:v>
                </c:pt>
                <c:pt idx="20">
                  <c:v>2.1077357992427768</c:v>
                </c:pt>
                <c:pt idx="21">
                  <c:v>2.2783344300626367</c:v>
                </c:pt>
                <c:pt idx="22">
                  <c:v>2.4624418480820576</c:v>
                </c:pt>
                <c:pt idx="23">
                  <c:v>2.6611763031472542</c:v>
                </c:pt>
                <c:pt idx="24">
                  <c:v>2.8757322444251439</c:v>
                </c:pt>
                <c:pt idx="25">
                  <c:v>3.1073908000253492</c:v>
                </c:pt>
                <c:pt idx="26">
                  <c:v>3.3575296178186758</c:v>
                </c:pt>
                <c:pt idx="27">
                  <c:v>3.6276325148544077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C222-4B8D-A075-441AE174FC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5.9325205793359759E-2</c:v>
                    </c:pt>
                    <c:pt idx="9">
                      <c:v>6.5415426856702208E-2</c:v>
                    </c:pt>
                    <c:pt idx="10">
                      <c:v>7.1916976398866739E-2</c:v>
                    </c:pt>
                    <c:pt idx="11">
                      <c:v>7.8857635204118592E-2</c:v>
                    </c:pt>
                    <c:pt idx="12">
                      <c:v>8.6267060347848812E-2</c:v>
                    </c:pt>
                    <c:pt idx="13">
                      <c:v>9.4176911919719331E-2</c:v>
                    </c:pt>
                    <c:pt idx="14">
                      <c:v>0.10262098830558686</c:v>
                    </c:pt>
                    <c:pt idx="15">
                      <c:v>0.11163537060625295</c:v>
                    </c:pt>
                    <c:pt idx="16">
                      <c:v>0.12125857681013819</c:v>
                    </c:pt>
                    <c:pt idx="17">
                      <c:v>0.13153172637865085</c:v>
                    </c:pt>
                    <c:pt idx="18">
                      <c:v>0.14249871594751418</c:v>
                    </c:pt>
                    <c:pt idx="19">
                      <c:v>0.15420640689481657</c:v>
                    </c:pt>
                    <c:pt idx="20">
                      <c:v>0.16670482557725119</c:v>
                    </c:pt>
                    <c:pt idx="21">
                      <c:v>0.1800473770901454</c:v>
                    </c:pt>
                    <c:pt idx="22">
                      <c:v>0.19429107346466634</c:v>
                    </c:pt>
                    <c:pt idx="23">
                      <c:v>0.20949677727727467</c:v>
                    </c:pt>
                    <c:pt idx="24">
                      <c:v>0.22572946171236041</c:v>
                    </c:pt>
                    <c:pt idx="25">
                      <c:v>0.2430584881892921</c:v>
                    </c:pt>
                    <c:pt idx="26">
                      <c:v>0.26155790274016821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222-4B8D-A075-441AE174FC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0.21158073237692387</c:v>
                    </c:pt>
                    <c:pt idx="9">
                      <c:v>0.22795416541081348</c:v>
                    </c:pt>
                    <c:pt idx="10">
                      <c:v>0.24543344653016264</c:v>
                    </c:pt>
                    <c:pt idx="11">
                      <c:v>0.26409326379736964</c:v>
                    </c:pt>
                    <c:pt idx="12">
                      <c:v>0.28401334964461444</c:v>
                    </c:pt>
                    <c:pt idx="13">
                      <c:v>0.30527882156640862</c:v>
                    </c:pt>
                    <c:pt idx="14">
                      <c:v>0.3279805458222389</c:v>
                    </c:pt>
                    <c:pt idx="15">
                      <c:v>0.3522155257033841</c:v>
                    </c:pt>
                    <c:pt idx="16">
                      <c:v>0.37808731602295409</c:v>
                    </c:pt>
                    <c:pt idx="17">
                      <c:v>0.40570646560023627</c:v>
                    </c:pt>
                    <c:pt idx="18">
                      <c:v>0.43519098963007496</c:v>
                    </c:pt>
                    <c:pt idx="19">
                      <c:v>0.46666687395567963</c:v>
                    </c:pt>
                    <c:pt idx="20">
                      <c:v>0.50026861339960749</c:v>
                    </c:pt>
                    <c:pt idx="21">
                      <c:v>0.53613978645316696</c:v>
                    </c:pt>
                    <c:pt idx="22">
                      <c:v>0.57443366877987456</c:v>
                    </c:pt>
                    <c:pt idx="23">
                      <c:v>0.61531388815441668</c:v>
                    </c:pt>
                    <c:pt idx="24">
                      <c:v>0.65895512363565611</c:v>
                    </c:pt>
                    <c:pt idx="25">
                      <c:v>0.70554385196119562</c:v>
                    </c:pt>
                    <c:pt idx="26">
                      <c:v>0.75527914435281374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222-4B8D-A075-441AE174FC3E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7E-4648-B4D1-F8C773E0B2AB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B7E-4648-B4D1-F8C773E0B2AB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7E-4648-B4D1-F8C773E0B2AB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B7E-4648-B4D1-F8C773E0B2A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7E-4648-B4D1-F8C773E0B2AB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7E-4648-B4D1-F8C773E0B2AB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B7E-4648-B4D1-F8C773E0B2AB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7E-4648-B4D1-F8C773E0B2AB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7E-4648-B4D1-F8C773E0B2AB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B7E-4648-B4D1-F8C773E0B2AB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7E-4648-B4D1-F8C773E0B2AB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1157.79035293574</c:v>
                </c:pt>
                <c:pt idx="8">
                  <c:v>457.93216459707759</c:v>
                </c:pt>
                <c:pt idx="9">
                  <c:v>486.89997343702555</c:v>
                </c:pt>
                <c:pt idx="10">
                  <c:v>506.21184599699075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08D4-49DB-88BB-E8F5E433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B7E-4648-B4D1-F8C773E0B2AB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B7E-4648-B4D1-F8C773E0B2AB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5B7E-4648-B4D1-F8C773E0B2AB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5B7E-4648-B4D1-F8C773E0B2AB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5B7E-4648-B4D1-F8C773E0B2AB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5B7E-4648-B4D1-F8C773E0B2AB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8D4-49DB-88BB-E8F5E4335BE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D4-49DB-88BB-E8F5E4335BE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D4-49DB-88BB-E8F5E4335BE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D4-49DB-88BB-E8F5E4335BE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D4-49DB-88BB-E8F5E4335BE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D4-49DB-88BB-E8F5E4335BE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D4-49DB-88BB-E8F5E4335BEB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484-4F32-A5AC-FD12DFD466B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484-4F32-A5AC-FD12DFD466B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484-4F32-A5AC-FD12DFD466B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484-4F32-A5AC-FD12DFD466B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484-4F32-A5AC-FD12DFD466B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484-4F32-A5AC-FD12DFD466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484-4F32-A5AC-FD12DFD466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484-4F32-A5AC-FD12DFD466B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484-4F32-A5AC-FD12DFD466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484-4F32-A5AC-FD12DFD466B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7484-4F32-A5AC-FD12DFD466B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4323.4556914078757</c:v>
                </c:pt>
                <c:pt idx="8">
                  <c:v>1851.958054337362</c:v>
                </c:pt>
                <c:pt idx="9">
                  <c:v>1830.7084002504557</c:v>
                </c:pt>
                <c:pt idx="10">
                  <c:v>1816.5419641925182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7484-4F32-A5AC-FD12DFD46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7484-4F32-A5AC-FD12DFD466B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7484-4F32-A5AC-FD12DFD466B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7484-4F32-A5AC-FD12DFD466B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84-4F32-A5AC-FD12DFD466B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84-4F32-A5AC-FD12DFD466B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84-4F32-A5AC-FD12DFD466B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84-4F32-A5AC-FD12DFD466B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84-4F32-A5AC-FD12DFD466B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84-4F32-A5AC-FD12DFD466B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F73-42D7-A285-4C0E4EE1214D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F73-42D7-A285-4C0E4EE1214D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F73-42D7-A285-4C0E4EE1214D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F73-42D7-A285-4C0E4EE1214D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F73-42D7-A285-4C0E4EE1214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F73-42D7-A285-4C0E4EE121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EF73-42D7-A285-4C0E4EE121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F73-42D7-A285-4C0E4EE121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EF73-42D7-A285-4C0E4EE121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F73-42D7-A285-4C0E4EE1214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EF73-42D7-A285-4C0E4EE1214D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1157.79035293574</c:v>
                </c:pt>
                <c:pt idx="8">
                  <c:v>2115.7634992100402</c:v>
                </c:pt>
                <c:pt idx="9">
                  <c:v>2006.5786968322409</c:v>
                </c:pt>
                <c:pt idx="10">
                  <c:v>1933.7888285803751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EF73-42D7-A285-4C0E4EE12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F73-42D7-A285-4C0E4EE1214D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EF73-42D7-A285-4C0E4EE1214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73-42D7-A285-4C0E4EE1214D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EF73-42D7-A285-4C0E4EE1214D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73-42D7-A285-4C0E4EE1214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73-42D7-A285-4C0E4EE1214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73-42D7-A285-4C0E4EE1214D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73-42D7-A285-4C0E4EE1214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7293.1390528236807</c:v>
                      </c:pt>
                      <c:pt idx="9">
                        <c:v>6818.4576488629145</c:v>
                      </c:pt>
                      <c:pt idx="10">
                        <c:v>6502.0033795557374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73-42D7-A285-4C0E4EE1214D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C448-40D1-B51A-CB22D6F2238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C448-40D1-B51A-CB22D6F2238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C448-40D1-B51A-CB22D6F2238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C448-40D1-B51A-CB22D6F2238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448-40D1-B51A-CB22D6F2238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C448-40D1-B51A-CB22D6F22384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448-40D1-B51A-CB22D6F22384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C448-40D1-B51A-CB22D6F22384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448-40D1-B51A-CB22D6F2238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C448-40D1-B51A-CB22D6F22384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448-40D1-B51A-CB22D6F2238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156</c:v>
                </c:pt>
                <c:pt idx="1">
                  <c:v>152.69798459483496</c:v>
                </c:pt>
                <c:pt idx="2">
                  <c:v>254.66180211541035</c:v>
                </c:pt>
                <c:pt idx="3">
                  <c:v>427.17531882644533</c:v>
                </c:pt>
                <c:pt idx="4">
                  <c:v>782.18903256719409</c:v>
                </c:pt>
                <c:pt idx="5">
                  <c:v>917.27914778726768</c:v>
                </c:pt>
                <c:pt idx="6">
                  <c:v>1216.4977666456211</c:v>
                </c:pt>
                <c:pt idx="7">
                  <c:v>4323.4556914078757</c:v>
                </c:pt>
                <c:pt idx="8">
                  <c:v>7293.1390528236807</c:v>
                </c:pt>
                <c:pt idx="9">
                  <c:v>6818.4576488629145</c:v>
                </c:pt>
                <c:pt idx="10">
                  <c:v>6502.0033795557374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C448-40D1-B51A-CB22D6F2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C448-40D1-B51A-CB22D6F2238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-941.78421208024747</c:v>
                      </c:pt>
                      <c:pt idx="9">
                        <c:v>544.83559111692136</c:v>
                      </c:pt>
                      <c:pt idx="10">
                        <c:v>544.83559111692136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C448-40D1-B51A-CB22D6F2238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-3091.0372198036657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448-40D1-B51A-CB22D6F2238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1040.3755255159776</c:v>
                      </c:pt>
                      <c:pt idx="8">
                        <c:v>4031.7097917586398</c:v>
                      </c:pt>
                      <c:pt idx="9">
                        <c:v>1788.2090920766432</c:v>
                      </c:pt>
                      <c:pt idx="10">
                        <c:v>1788.2090920766432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448-40D1-B51A-CB22D6F2238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2625.4756956827705</c:v>
                      </c:pt>
                      <c:pt idx="7">
                        <c:v>10537.371540932385</c:v>
                      </c:pt>
                      <c:pt idx="8">
                        <c:v>13232.505775655291</c:v>
                      </c:pt>
                      <c:pt idx="9">
                        <c:v>5869.0948409413822</c:v>
                      </c:pt>
                      <c:pt idx="10">
                        <c:v>5869.0948409413822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448-40D1-B51A-CB22D6F2238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457.93216459707759</c:v>
                      </c:pt>
                      <c:pt idx="9">
                        <c:v>486.89997343702555</c:v>
                      </c:pt>
                      <c:pt idx="10">
                        <c:v>506.21184599699075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448-40D1-B51A-CB22D6F2238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4323.4556914078757</c:v>
                      </c:pt>
                      <c:pt idx="8">
                        <c:v>1851.958054337362</c:v>
                      </c:pt>
                      <c:pt idx="9">
                        <c:v>1830.7084002504557</c:v>
                      </c:pt>
                      <c:pt idx="10">
                        <c:v>1816.5419641925182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448-40D1-B51A-CB22D6F2238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156</c:v>
                      </c:pt>
                      <c:pt idx="1">
                        <c:v>152.69798459483496</c:v>
                      </c:pt>
                      <c:pt idx="2">
                        <c:v>254.66180211541035</c:v>
                      </c:pt>
                      <c:pt idx="3">
                        <c:v>427.17531882644533</c:v>
                      </c:pt>
                      <c:pt idx="4">
                        <c:v>782.18903256719409</c:v>
                      </c:pt>
                      <c:pt idx="5">
                        <c:v>917.27914778726768</c:v>
                      </c:pt>
                      <c:pt idx="6">
                        <c:v>1216.4977666456211</c:v>
                      </c:pt>
                      <c:pt idx="7">
                        <c:v>1157.79035293574</c:v>
                      </c:pt>
                      <c:pt idx="8">
                        <c:v>2115.7634992100402</c:v>
                      </c:pt>
                      <c:pt idx="9">
                        <c:v>2006.5786968322409</c:v>
                      </c:pt>
                      <c:pt idx="10">
                        <c:v>1933.7888285803751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448-40D1-B51A-CB22D6F2238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Long-run cumulative GDP level gain (expected)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Paths'!$F$241:$F$268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6.2156431646994692E-2</c:v>
                </c:pt>
                <c:pt idx="7">
                  <c:v>5.5727092379021848E-2</c:v>
                </c:pt>
                <c:pt idx="8">
                  <c:v>6.2071677776899703E-2</c:v>
                </c:pt>
                <c:pt idx="9">
                  <c:v>6.8923029127739843E-2</c:v>
                </c:pt>
                <c:pt idx="10">
                  <c:v>7.6321623738565769E-2</c:v>
                </c:pt>
                <c:pt idx="11">
                  <c:v>8.4311171991499512E-2</c:v>
                </c:pt>
                <c:pt idx="12">
                  <c:v>9.2938875581659142E-2</c:v>
                </c:pt>
                <c:pt idx="13">
                  <c:v>0.10225570638148795</c:v>
                </c:pt>
                <c:pt idx="14">
                  <c:v>0.11231670757903056</c:v>
                </c:pt>
                <c:pt idx="15">
                  <c:v>0.12318131886925743</c:v>
                </c:pt>
                <c:pt idx="16">
                  <c:v>0.13491372761964682</c:v>
                </c:pt>
                <c:pt idx="17">
                  <c:v>0.14758324808468481</c:v>
                </c:pt>
                <c:pt idx="18">
                  <c:v>0.16126473090965798</c:v>
                </c:pt>
                <c:pt idx="19">
                  <c:v>0.17603900534305672</c:v>
                </c:pt>
                <c:pt idx="20">
                  <c:v>0.19199335677015172</c:v>
                </c:pt>
                <c:pt idx="21">
                  <c:v>0.20922204238897457</c:v>
                </c:pt>
                <c:pt idx="22">
                  <c:v>0.22782684807528675</c:v>
                </c:pt>
                <c:pt idx="23">
                  <c:v>0.24791768972644923</c:v>
                </c:pt>
                <c:pt idx="24">
                  <c:v>0.26961326263689656</c:v>
                </c:pt>
                <c:pt idx="25">
                  <c:v>0.29304174274167583</c:v>
                </c:pt>
                <c:pt idx="26">
                  <c:v>0.3183415438709527</c:v>
                </c:pt>
                <c:pt idx="27">
                  <c:v>0.34566213548928726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4-4D2A-B343-0904F76EFA15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Paths'!$I$241:$I$268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0.23700096088981093</c:v>
                </c:pt>
                <c:pt idx="8">
                  <c:v>0.25782457351519583</c:v>
                </c:pt>
                <c:pt idx="9">
                  <c:v>0.28031144657990947</c:v>
                </c:pt>
                <c:pt idx="10">
                  <c:v>0.30459443096524641</c:v>
                </c:pt>
                <c:pt idx="11">
                  <c:v>0.33081698885320088</c:v>
                </c:pt>
                <c:pt idx="12">
                  <c:v>0.3591340412910522</c:v>
                </c:pt>
                <c:pt idx="13">
                  <c:v>0.38971288345413346</c:v>
                </c:pt>
                <c:pt idx="14">
                  <c:v>0.42273417301408611</c:v>
                </c:pt>
                <c:pt idx="15">
                  <c:v>0.45839299745181084</c:v>
                </c:pt>
                <c:pt idx="16">
                  <c:v>0.4969000266207324</c:v>
                </c:pt>
                <c:pt idx="17">
                  <c:v>0.53848275736963114</c:v>
                </c:pt>
                <c:pt idx="18">
                  <c:v>0.58338685757819664</c:v>
                </c:pt>
                <c:pt idx="19">
                  <c:v>0.63187761754576588</c:v>
                </c:pt>
                <c:pt idx="20">
                  <c:v>0.68424151730795013</c:v>
                </c:pt>
                <c:pt idx="21">
                  <c:v>0.74078791914075137</c:v>
                </c:pt>
                <c:pt idx="22">
                  <c:v>0.80185089525136166</c:v>
                </c:pt>
                <c:pt idx="23">
                  <c:v>0.86779120145351474</c:v>
                </c:pt>
                <c:pt idx="24">
                  <c:v>0.93899840848773386</c:v>
                </c:pt>
                <c:pt idx="25">
                  <c:v>1.0158932035781532</c:v>
                </c:pt>
                <c:pt idx="26">
                  <c:v>1.0989298758233677</c:v>
                </c:pt>
                <c:pt idx="27">
                  <c:v>1.1885990001048143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14-4D2A-B343-0904F76EFA15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Paths'!$L$241:$L$268</c:f>
              <c:numCache>
                <c:formatCode>0.00%</c:formatCode>
                <c:ptCount val="28"/>
                <c:pt idx="0">
                  <c:v>0</c:v>
                </c:pt>
                <c:pt idx="1">
                  <c:v>2.8556198896366958E-2</c:v>
                </c:pt>
                <c:pt idx="2">
                  <c:v>3.1211253026277364E-2</c:v>
                </c:pt>
                <c:pt idx="3">
                  <c:v>3.6886136330610331E-2</c:v>
                </c:pt>
                <c:pt idx="4">
                  <c:v>4.654661873964705E-2</c:v>
                </c:pt>
                <c:pt idx="5">
                  <c:v>5.4098641562847272E-2</c:v>
                </c:pt>
                <c:pt idx="6">
                  <c:v>0.16592260587734264</c:v>
                </c:pt>
                <c:pt idx="7">
                  <c:v>0.83196132161509762</c:v>
                </c:pt>
                <c:pt idx="8">
                  <c:v>0.90030666107843804</c:v>
                </c:pt>
                <c:pt idx="9">
                  <c:v>0.9741110004466873</c:v>
                </c:pt>
                <c:pt idx="10">
                  <c:v>1.0538103706210866</c:v>
                </c:pt>
                <c:pt idx="11">
                  <c:v>1.139875629934668</c:v>
                </c:pt>
                <c:pt idx="12">
                  <c:v>1.2328152459505204</c:v>
                </c:pt>
                <c:pt idx="13">
                  <c:v>1.3331782994527726</c:v>
                </c:pt>
                <c:pt idx="14">
                  <c:v>1.4415577283776542</c:v>
                </c:pt>
                <c:pt idx="15">
                  <c:v>1.5585938308495657</c:v>
                </c:pt>
                <c:pt idx="16">
                  <c:v>1.68497804801784</c:v>
                </c:pt>
                <c:pt idx="17">
                  <c:v>1.821457049042936</c:v>
                </c:pt>
                <c:pt idx="18">
                  <c:v>1.9688371423658886</c:v>
                </c:pt>
                <c:pt idx="19">
                  <c:v>2.1279890393224612</c:v>
                </c:pt>
                <c:pt idx="20">
                  <c:v>2.2998529982451319</c:v>
                </c:pt>
                <c:pt idx="21">
                  <c:v>2.4854443794438978</c:v>
                </c:pt>
                <c:pt idx="22">
                  <c:v>2.685859643884319</c:v>
                </c:pt>
                <c:pt idx="23">
                  <c:v>2.9022828310026219</c:v>
                </c:pt>
                <c:pt idx="24">
                  <c:v>3.1359925539282827</c:v>
                </c:pt>
                <c:pt idx="25">
                  <c:v>3.3883695534414269</c:v>
                </c:pt>
                <c:pt idx="26">
                  <c:v>3.6609048552932748</c:v>
                </c:pt>
                <c:pt idx="27">
                  <c:v>3.9552085790825355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14-4D2A-B343-0904F76E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Risk-free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ERP'!$D$35:$D$40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1-4D5E-91CA-7A71850BADEB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ERP'!$F$35:$F$40</c:f>
              <c:numCache>
                <c:formatCode>0.00%</c:formatCode>
                <c:ptCount val="6"/>
                <c:pt idx="0">
                  <c:v>4.1018451234621722E-2</c:v>
                </c:pt>
                <c:pt idx="1">
                  <c:v>3.9606872633895479E-2</c:v>
                </c:pt>
                <c:pt idx="2">
                  <c:v>3.8070097461641729E-2</c:v>
                </c:pt>
                <c:pt idx="3">
                  <c:v>3.639103495181676E-2</c:v>
                </c:pt>
                <c:pt idx="4">
                  <c:v>3.4551248133168025E-2</c:v>
                </c:pt>
                <c:pt idx="5">
                  <c:v>3.2531102221944802E-2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A1-4D5E-91CA-7A71850BADEB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ERP'!$H$35:$H$40</c:f>
              <c:numCache>
                <c:formatCode>0.00%</c:formatCode>
                <c:ptCount val="6"/>
                <c:pt idx="0">
                  <c:v>4.4388062249839835E-2</c:v>
                </c:pt>
                <c:pt idx="1">
                  <c:v>4.2282886779681013E-2</c:v>
                </c:pt>
                <c:pt idx="2">
                  <c:v>4.0164147536256169E-2</c:v>
                </c:pt>
                <c:pt idx="3">
                  <c:v>3.799869180253853E-2</c:v>
                </c:pt>
                <c:pt idx="4">
                  <c:v>3.5754053656708619E-2</c:v>
                </c:pt>
                <c:pt idx="5">
                  <c:v>3.3398413266592132E-2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1-4D5E-91CA-7A71850BADEB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ERP'!$L$35:$L$40</c:f>
              <c:numCache>
                <c:formatCode>0.00%</c:formatCode>
                <c:ptCount val="6"/>
                <c:pt idx="0">
                  <c:v>5.8328957256730082E-2</c:v>
                </c:pt>
                <c:pt idx="1">
                  <c:v>4.6573511437199941E-2</c:v>
                </c:pt>
                <c:pt idx="2">
                  <c:v>4.0310666779069269E-2</c:v>
                </c:pt>
                <c:pt idx="3">
                  <c:v>3.6523921710734687E-2</c:v>
                </c:pt>
                <c:pt idx="4">
                  <c:v>3.3775529936890668E-2</c:v>
                </c:pt>
                <c:pt idx="5">
                  <c:v>3.139036476262614E-2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A1-4D5E-91CA-7A71850BADEB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ERP'!$J$35:$J$40</c:f>
              <c:numCache>
                <c:formatCode>0.00%</c:formatCode>
                <c:ptCount val="6"/>
                <c:pt idx="0">
                  <c:v>4.9876042766731896E-2</c:v>
                </c:pt>
                <c:pt idx="1">
                  <c:v>4.5280836914942876E-2</c:v>
                </c:pt>
                <c:pt idx="2">
                  <c:v>4.1538194323272881E-2</c:v>
                </c:pt>
                <c:pt idx="3">
                  <c:v>3.8345445755523157E-2</c:v>
                </c:pt>
                <c:pt idx="4">
                  <c:v>3.5477576635136336E-2</c:v>
                </c:pt>
                <c:pt idx="5">
                  <c:v>3.2767705298517254E-2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1-4D5E-91CA-7A71850B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Equity risk premium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ERP'!$E$35:$E$40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2-4711-814F-580C83A15D4D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ERP'!$G$35:$G$40</c:f>
              <c:numCache>
                <c:formatCode>0.00%</c:formatCode>
                <c:ptCount val="6"/>
                <c:pt idx="0">
                  <c:v>1.3020592889251381E-3</c:v>
                </c:pt>
                <c:pt idx="1">
                  <c:v>2.7136378896513717E-3</c:v>
                </c:pt>
                <c:pt idx="2">
                  <c:v>4.2504130619052914E-3</c:v>
                </c:pt>
                <c:pt idx="3">
                  <c:v>5.9294755717301138E-3</c:v>
                </c:pt>
                <c:pt idx="4">
                  <c:v>7.7692623903789244E-3</c:v>
                </c:pt>
                <c:pt idx="5">
                  <c:v>9.7894083016021802E-3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D2-4711-814F-580C83A15D4D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ERP'!$I$35:$I$40</c:f>
              <c:numCache>
                <c:formatCode>0.00%</c:formatCode>
                <c:ptCount val="6"/>
                <c:pt idx="0">
                  <c:v>2.1255573347629458E-3</c:v>
                </c:pt>
                <c:pt idx="1">
                  <c:v>4.2307328049217925E-3</c:v>
                </c:pt>
                <c:pt idx="2">
                  <c:v>6.3494720483466237E-3</c:v>
                </c:pt>
                <c:pt idx="3">
                  <c:v>8.5149277820643736E-3</c:v>
                </c:pt>
                <c:pt idx="4">
                  <c:v>1.075956592789442E-2</c:v>
                </c:pt>
                <c:pt idx="5">
                  <c:v>1.3115206318010879E-2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D2-4711-814F-580C83A15D4D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ERP'!$M$35:$M$40</c:f>
              <c:numCache>
                <c:formatCode>0.00%</c:formatCode>
                <c:ptCount val="6"/>
                <c:pt idx="0">
                  <c:v>2.3272091656368725E-2</c:v>
                </c:pt>
                <c:pt idx="1">
                  <c:v>3.502753747589888E-2</c:v>
                </c:pt>
                <c:pt idx="2">
                  <c:v>4.1290382134029524E-2</c:v>
                </c:pt>
                <c:pt idx="3">
                  <c:v>4.5077127202364169E-2</c:v>
                </c:pt>
                <c:pt idx="4">
                  <c:v>4.7825518976208348E-2</c:v>
                </c:pt>
                <c:pt idx="5">
                  <c:v>5.0210684150472501E-2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D2-4711-814F-580C83A15D4D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ERP'!$K$35:$K$40</c:f>
              <c:numCache>
                <c:formatCode>0.00%</c:formatCode>
                <c:ptCount val="6"/>
                <c:pt idx="0">
                  <c:v>5.8498253410601032E-3</c:v>
                </c:pt>
                <c:pt idx="1">
                  <c:v>1.0445031192849194E-2</c:v>
                </c:pt>
                <c:pt idx="2">
                  <c:v>1.4187673784519128E-2</c:v>
                </c:pt>
                <c:pt idx="3">
                  <c:v>1.7380422352268752E-2</c:v>
                </c:pt>
                <c:pt idx="4">
                  <c:v>2.0248291472655673E-2</c:v>
                </c:pt>
                <c:pt idx="5">
                  <c:v>2.2958162809274686E-2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D2-4711-814F-580C83A1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99392</xdr:colOff>
      <xdr:row>25</xdr:row>
      <xdr:rowOff>129298</xdr:rowOff>
    </xdr:from>
    <xdr:to>
      <xdr:col>17</xdr:col>
      <xdr:colOff>238643</xdr:colOff>
      <xdr:row>49</xdr:row>
      <xdr:rowOff>24847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584AE59-9851-E191-2640-FD4952FC3291}"/>
            </a:ext>
          </a:extLst>
        </xdr:cNvPr>
        <xdr:cNvGrpSpPr/>
      </xdr:nvGrpSpPr>
      <xdr:grpSpPr>
        <a:xfrm>
          <a:off x="226392" y="4307598"/>
          <a:ext cx="10362751" cy="3857949"/>
          <a:chOff x="115957" y="3967370"/>
          <a:chExt cx="9076185" cy="4442701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86E89765-7B31-412F-91B4-842D5969A7BE}"/>
              </a:ext>
            </a:extLst>
          </xdr:cNvPr>
          <xdr:cNvGraphicFramePr>
            <a:graphicFrameLocks/>
          </xdr:cNvGraphicFramePr>
        </xdr:nvGraphicFramePr>
        <xdr:xfrm>
          <a:off x="115957" y="3967370"/>
          <a:ext cx="4536868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6C0B429-8926-40B1-97C1-D28EED50795C}"/>
              </a:ext>
            </a:extLst>
          </xdr:cNvPr>
          <xdr:cNvGraphicFramePr>
            <a:graphicFrameLocks/>
          </xdr:cNvGraphicFramePr>
        </xdr:nvGraphicFramePr>
        <xdr:xfrm>
          <a:off x="4659415" y="3967370"/>
          <a:ext cx="4532727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C8C41E79-0DDB-414C-AAB1-AF0CC44F5913}"/>
              </a:ext>
            </a:extLst>
          </xdr:cNvPr>
          <xdr:cNvGraphicFramePr>
            <a:graphicFrameLocks/>
          </xdr:cNvGraphicFramePr>
        </xdr:nvGraphicFramePr>
        <xdr:xfrm>
          <a:off x="115957" y="6188720"/>
          <a:ext cx="4536868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DF1AA6C-97D0-4B18-9A99-F08B16621BF4}"/>
              </a:ext>
            </a:extLst>
          </xdr:cNvPr>
          <xdr:cNvGraphicFramePr>
            <a:graphicFrameLocks/>
          </xdr:cNvGraphicFramePr>
        </xdr:nvGraphicFramePr>
        <xdr:xfrm>
          <a:off x="4659414" y="6188720"/>
          <a:ext cx="4532727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</xdr:col>
      <xdr:colOff>0</xdr:colOff>
      <xdr:row>49</xdr:row>
      <xdr:rowOff>87082</xdr:rowOff>
    </xdr:from>
    <xdr:to>
      <xdr:col>17</xdr:col>
      <xdr:colOff>251310</xdr:colOff>
      <xdr:row>73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265144A-5BD5-3F1E-506F-7A1AAF4154DD}"/>
            </a:ext>
          </a:extLst>
        </xdr:cNvPr>
        <xdr:cNvGrpSpPr/>
      </xdr:nvGrpSpPr>
      <xdr:grpSpPr>
        <a:xfrm>
          <a:off x="254000" y="8227782"/>
          <a:ext cx="10347810" cy="3875318"/>
          <a:chOff x="306457" y="9360618"/>
          <a:chExt cx="9076185" cy="4451301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70302619-B272-4B24-9E17-DE8C889C7116}"/>
              </a:ext>
            </a:extLst>
          </xdr:cNvPr>
          <xdr:cNvGraphicFramePr>
            <a:graphicFrameLocks/>
          </xdr:cNvGraphicFramePr>
        </xdr:nvGraphicFramePr>
        <xdr:xfrm>
          <a:off x="306457" y="9360618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A1555CA5-C284-48D6-BDFF-7D566D8E72AB}"/>
              </a:ext>
            </a:extLst>
          </xdr:cNvPr>
          <xdr:cNvGraphicFramePr>
            <a:graphicFrameLocks/>
          </xdr:cNvGraphicFramePr>
        </xdr:nvGraphicFramePr>
        <xdr:xfrm>
          <a:off x="4841632" y="9360618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8A1E6CAB-04E7-4AD8-9678-5554E2A6862C}"/>
              </a:ext>
            </a:extLst>
          </xdr:cNvPr>
          <xdr:cNvGraphicFramePr>
            <a:graphicFrameLocks/>
          </xdr:cNvGraphicFramePr>
        </xdr:nvGraphicFramePr>
        <xdr:xfrm>
          <a:off x="306457" y="11586259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C76B342D-E1C3-4A22-8716-2DED1B09B6EB}"/>
              </a:ext>
            </a:extLst>
          </xdr:cNvPr>
          <xdr:cNvGraphicFramePr>
            <a:graphicFrameLocks/>
          </xdr:cNvGraphicFramePr>
        </xdr:nvGraphicFramePr>
        <xdr:xfrm>
          <a:off x="4849915" y="11586259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85724</xdr:colOff>
      <xdr:row>74</xdr:row>
      <xdr:rowOff>150648</xdr:rowOff>
    </xdr:from>
    <xdr:to>
      <xdr:col>10</xdr:col>
      <xdr:colOff>60324</xdr:colOff>
      <xdr:row>91</xdr:row>
      <xdr:rowOff>87148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A10056-4EA1-4DE3-AEAE-4430AD630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96386</xdr:colOff>
      <xdr:row>74</xdr:row>
      <xdr:rowOff>150648</xdr:rowOff>
    </xdr:from>
    <xdr:to>
      <xdr:col>18</xdr:col>
      <xdr:colOff>197986</xdr:colOff>
      <xdr:row>91</xdr:row>
      <xdr:rowOff>87148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45AF35-AAF1-4117-BF35-6B062F37E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244198</xdr:colOff>
      <xdr:row>74</xdr:row>
      <xdr:rowOff>122445</xdr:rowOff>
    </xdr:from>
    <xdr:to>
      <xdr:col>26</xdr:col>
      <xdr:colOff>345798</xdr:colOff>
      <xdr:row>91</xdr:row>
      <xdr:rowOff>58945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F550D47-2783-408C-9C0E-1C2BE515F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70816</xdr:colOff>
      <xdr:row>93</xdr:row>
      <xdr:rowOff>15322</xdr:rowOff>
    </xdr:from>
    <xdr:to>
      <xdr:col>9</xdr:col>
      <xdr:colOff>408746</xdr:colOff>
      <xdr:row>109</xdr:row>
      <xdr:rowOff>108087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0030B27-C136-41E3-B6F1-9853C0C99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100852</xdr:colOff>
      <xdr:row>113</xdr:row>
      <xdr:rowOff>101970</xdr:rowOff>
    </xdr:from>
    <xdr:to>
      <xdr:col>9</xdr:col>
      <xdr:colOff>403411</xdr:colOff>
      <xdr:row>131</xdr:row>
      <xdr:rowOff>21288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5CED97-235B-47E3-BFD5-75561964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442634</xdr:colOff>
      <xdr:row>113</xdr:row>
      <xdr:rowOff>100852</xdr:rowOff>
    </xdr:from>
    <xdr:to>
      <xdr:col>17</xdr:col>
      <xdr:colOff>263340</xdr:colOff>
      <xdr:row>131</xdr:row>
      <xdr:rowOff>20170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6CC192B-1F79-4951-85AB-4EF6104C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67360</xdr:colOff>
      <xdr:row>6</xdr:row>
      <xdr:rowOff>16372</xdr:rowOff>
    </xdr:from>
    <xdr:to>
      <xdr:col>9</xdr:col>
      <xdr:colOff>344583</xdr:colOff>
      <xdr:row>23</xdr:row>
      <xdr:rowOff>89648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A120092-F36A-4CEC-A6F9-DD39CCF59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509870</xdr:colOff>
      <xdr:row>6</xdr:row>
      <xdr:rowOff>14910</xdr:rowOff>
    </xdr:from>
    <xdr:to>
      <xdr:col>17</xdr:col>
      <xdr:colOff>330576</xdr:colOff>
      <xdr:row>23</xdr:row>
      <xdr:rowOff>91110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8B132B3-B7AA-4748-B389-C100D4429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495300</xdr:colOff>
      <xdr:row>93</xdr:row>
      <xdr:rowOff>28575</xdr:rowOff>
    </xdr:from>
    <xdr:to>
      <xdr:col>17</xdr:col>
      <xdr:colOff>342900</xdr:colOff>
      <xdr:row>110</xdr:row>
      <xdr:rowOff>19050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8D7AB39C-42C8-44E8-AE48-49A195639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374023</xdr:colOff>
      <xdr:row>93</xdr:row>
      <xdr:rowOff>29747</xdr:rowOff>
    </xdr:from>
    <xdr:to>
      <xdr:col>25</xdr:col>
      <xdr:colOff>221623</xdr:colOff>
      <xdr:row>110</xdr:row>
      <xdr:rowOff>20222</xdr:rowOff>
    </xdr:to>
    <xdr:graphicFrame macro="">
      <xdr:nvGraphicFramePr>
        <xdr:cNvPr id="25" name="Chart 2">
          <a:extLst>
            <a:ext uri="{FF2B5EF4-FFF2-40B4-BE49-F238E27FC236}">
              <a16:creationId xmlns:a16="http://schemas.microsoft.com/office/drawing/2014/main" id="{BE7EB4B2-CE4C-4F4D-A582-51199134D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240673</xdr:colOff>
      <xdr:row>93</xdr:row>
      <xdr:rowOff>29747</xdr:rowOff>
    </xdr:from>
    <xdr:to>
      <xdr:col>33</xdr:col>
      <xdr:colOff>88273</xdr:colOff>
      <xdr:row>110</xdr:row>
      <xdr:rowOff>20222</xdr:rowOff>
    </xdr:to>
    <xdr:graphicFrame macro="">
      <xdr:nvGraphicFramePr>
        <xdr:cNvPr id="26" name="Chart 16">
          <a:extLst>
            <a:ext uri="{FF2B5EF4-FFF2-40B4-BE49-F238E27FC236}">
              <a16:creationId xmlns:a16="http://schemas.microsoft.com/office/drawing/2014/main" id="{EC54E5E9-DDD3-4970-9F3A-BC06392AD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35</xdr:row>
      <xdr:rowOff>1188</xdr:rowOff>
    </xdr:from>
    <xdr:to>
      <xdr:col>42</xdr:col>
      <xdr:colOff>98266</xdr:colOff>
      <xdr:row>46</xdr:row>
      <xdr:rowOff>149278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CABE6D-A573-491F-8617-20DF173C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35</xdr:row>
      <xdr:rowOff>23599</xdr:rowOff>
    </xdr:from>
    <xdr:to>
      <xdr:col>51</xdr:col>
      <xdr:colOff>497545</xdr:colOff>
      <xdr:row>47</xdr:row>
      <xdr:rowOff>14807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BBED65-090A-476B-B865-C99E513E7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35</xdr:row>
      <xdr:rowOff>21218</xdr:rowOff>
    </xdr:from>
    <xdr:to>
      <xdr:col>60</xdr:col>
      <xdr:colOff>326865</xdr:colOff>
      <xdr:row>47</xdr:row>
      <xdr:rowOff>12426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C59170-0177-47B3-AB92-72639B44F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35</xdr:row>
      <xdr:rowOff>21218</xdr:rowOff>
    </xdr:from>
    <xdr:to>
      <xdr:col>68</xdr:col>
      <xdr:colOff>345145</xdr:colOff>
      <xdr:row>47</xdr:row>
      <xdr:rowOff>12426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31B36D6-2BCF-494C-924B-357AF1C6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93</xdr:row>
      <xdr:rowOff>158000</xdr:rowOff>
    </xdr:from>
    <xdr:to>
      <xdr:col>11</xdr:col>
      <xdr:colOff>414616</xdr:colOff>
      <xdr:row>111</xdr:row>
      <xdr:rowOff>43700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744401F-05FF-BC3B-6C82-F4562EE9D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106453</xdr:colOff>
      <xdr:row>41</xdr:row>
      <xdr:rowOff>68354</xdr:rowOff>
    </xdr:from>
    <xdr:to>
      <xdr:col>5</xdr:col>
      <xdr:colOff>543483</xdr:colOff>
      <xdr:row>58</xdr:row>
      <xdr:rowOff>144554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796A8B-C509-5734-6972-FB7C6D770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582706</xdr:colOff>
      <xdr:row>41</xdr:row>
      <xdr:rowOff>67236</xdr:rowOff>
    </xdr:from>
    <xdr:to>
      <xdr:col>8</xdr:col>
      <xdr:colOff>1019735</xdr:colOff>
      <xdr:row>58</xdr:row>
      <xdr:rowOff>143436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20BD70-E99A-46B7-AEFA-B04451F81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75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66178AC-C6C5-4461-AB78-E2F4E673423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94844c60-451e-4ff9-9309-c168106d7b79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1"/>
  <sheetViews>
    <sheetView showGridLines="0" tabSelected="1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56.1640625" style="29" bestFit="1" customWidth="1"/>
    <col min="4" max="4" width="55" style="29" customWidth="1"/>
    <col min="5" max="5" width="22" style="29" customWidth="1"/>
    <col min="6" max="16384" width="8.6640625" style="29"/>
  </cols>
  <sheetData>
    <row r="2" spans="1:5" ht="15.75" customHeight="1" x14ac:dyDescent="0.2">
      <c r="B2" s="30"/>
      <c r="C2" s="1" t="s">
        <v>0</v>
      </c>
    </row>
    <row r="3" spans="1:5" ht="15" customHeight="1" x14ac:dyDescent="0.15">
      <c r="C3" s="2" t="s">
        <v>1</v>
      </c>
    </row>
    <row r="4" spans="1:5" x14ac:dyDescent="0.15">
      <c r="C4" s="98" t="s">
        <v>228</v>
      </c>
    </row>
    <row r="5" spans="1:5" x14ac:dyDescent="0.15">
      <c r="C5" s="98"/>
    </row>
    <row r="6" spans="1:5" ht="15" customHeight="1" x14ac:dyDescent="0.15">
      <c r="A6" s="29" t="s">
        <v>2</v>
      </c>
      <c r="C6" s="3" t="s">
        <v>3</v>
      </c>
    </row>
    <row r="7" spans="1:5" ht="15" customHeight="1" x14ac:dyDescent="0.3">
      <c r="C7" s="15" t="s">
        <v>4</v>
      </c>
      <c r="D7" s="101" t="s">
        <v>5</v>
      </c>
      <c r="E7" s="101"/>
    </row>
    <row r="8" spans="1:5" ht="15" customHeight="1" x14ac:dyDescent="0.15">
      <c r="C8" s="13" t="s">
        <v>6</v>
      </c>
      <c r="D8" s="4"/>
      <c r="E8" s="5"/>
    </row>
    <row r="9" spans="1:5" ht="15" customHeight="1" x14ac:dyDescent="0.15">
      <c r="C9" s="13" t="s">
        <v>7</v>
      </c>
      <c r="D9" s="4" t="s">
        <v>8</v>
      </c>
      <c r="E9" s="5"/>
    </row>
    <row r="10" spans="1:5" ht="15" customHeight="1" x14ac:dyDescent="0.15">
      <c r="C10" s="13" t="s">
        <v>9</v>
      </c>
      <c r="D10" s="4" t="s">
        <v>10</v>
      </c>
      <c r="E10" s="5"/>
    </row>
    <row r="11" spans="1:5" ht="15" customHeight="1" x14ac:dyDescent="0.15">
      <c r="C11" s="13" t="s">
        <v>11</v>
      </c>
      <c r="D11" s="4" t="s">
        <v>243</v>
      </c>
      <c r="E11" s="5"/>
    </row>
    <row r="12" spans="1:5" ht="15" customHeight="1" x14ac:dyDescent="0.15">
      <c r="C12" s="13" t="s">
        <v>244</v>
      </c>
      <c r="D12" s="4" t="s">
        <v>245</v>
      </c>
      <c r="E12" s="5"/>
    </row>
    <row r="13" spans="1:5" ht="15" customHeight="1" x14ac:dyDescent="0.15">
      <c r="C13" s="13" t="s">
        <v>12</v>
      </c>
      <c r="D13" s="13" t="s">
        <v>13</v>
      </c>
      <c r="E13" s="5"/>
    </row>
    <row r="14" spans="1:5" ht="15" customHeight="1" x14ac:dyDescent="0.15">
      <c r="C14" s="13" t="s">
        <v>14</v>
      </c>
      <c r="D14" s="13" t="s">
        <v>226</v>
      </c>
      <c r="E14" s="5"/>
    </row>
    <row r="15" spans="1:5" ht="15" customHeight="1" x14ac:dyDescent="0.15">
      <c r="C15" s="13" t="s">
        <v>15</v>
      </c>
      <c r="D15" s="4" t="s">
        <v>246</v>
      </c>
      <c r="E15" s="5"/>
    </row>
    <row r="16" spans="1:5" ht="15" customHeight="1" x14ac:dyDescent="0.15">
      <c r="C16" s="13"/>
      <c r="D16" s="4"/>
      <c r="E16" s="5"/>
    </row>
    <row r="17" spans="1:3" ht="15" customHeight="1" x14ac:dyDescent="0.15">
      <c r="A17" s="29" t="s">
        <v>2</v>
      </c>
      <c r="C17" s="3" t="s">
        <v>16</v>
      </c>
    </row>
    <row r="18" spans="1:3" ht="15" customHeight="1" x14ac:dyDescent="0.15">
      <c r="C18" s="26" t="s">
        <v>17</v>
      </c>
    </row>
    <row r="19" spans="1:3" ht="15" customHeight="1" x14ac:dyDescent="0.15">
      <c r="C19" s="27" t="s">
        <v>18</v>
      </c>
    </row>
    <row r="20" spans="1:3" ht="15" customHeight="1" x14ac:dyDescent="0.15">
      <c r="C20" s="25" t="s">
        <v>19</v>
      </c>
    </row>
    <row r="21" spans="1:3" ht="15" customHeight="1" x14ac:dyDescent="0.15">
      <c r="C21" s="28" t="s">
        <v>20</v>
      </c>
    </row>
    <row r="22" spans="1:3" ht="15" customHeight="1" x14ac:dyDescent="0.15">
      <c r="C22" s="4"/>
    </row>
    <row r="23" spans="1:3" ht="15" customHeight="1" x14ac:dyDescent="0.15">
      <c r="A23" s="29" t="s">
        <v>2</v>
      </c>
      <c r="C23" s="83" t="s">
        <v>21</v>
      </c>
    </row>
    <row r="24" spans="1:3" ht="15" customHeight="1" x14ac:dyDescent="0.15">
      <c r="C24" s="25" t="s">
        <v>227</v>
      </c>
    </row>
    <row r="25" spans="1:3" ht="15" customHeight="1" x14ac:dyDescent="0.15">
      <c r="C25" s="25" t="s">
        <v>264</v>
      </c>
    </row>
    <row r="26" spans="1:3" ht="15" customHeight="1" x14ac:dyDescent="0.15">
      <c r="C26" s="151" t="s">
        <v>282</v>
      </c>
    </row>
    <row r="27" spans="1:3" ht="15" customHeight="1" x14ac:dyDescent="0.15">
      <c r="C27" s="25"/>
    </row>
    <row r="28" spans="1:3" ht="15" customHeight="1" x14ac:dyDescent="0.15">
      <c r="C28" s="25"/>
    </row>
    <row r="29" spans="1:3" ht="15" customHeight="1" x14ac:dyDescent="0.15">
      <c r="C29" s="25"/>
    </row>
    <row r="30" spans="1:3" ht="15" customHeight="1" x14ac:dyDescent="0.15">
      <c r="C30" s="84"/>
    </row>
    <row r="31" spans="1:3" ht="15" customHeight="1" x14ac:dyDescent="0.15"/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A9A8-ED51-412D-A091-9E1C356A714B}">
  <sheetPr codeName="Sheet2"/>
  <dimension ref="A2:V113"/>
  <sheetViews>
    <sheetView showGridLines="0" zoomScaleNormal="100" workbookViewId="0"/>
  </sheetViews>
  <sheetFormatPr baseColWidth="10" defaultColWidth="8.83203125" defaultRowHeight="13" x14ac:dyDescent="0.15"/>
  <cols>
    <col min="1" max="2" width="1.6640625" style="29" customWidth="1"/>
    <col min="3" max="16384" width="8.83203125" style="29"/>
  </cols>
  <sheetData>
    <row r="2" spans="1:22" ht="15.75" customHeight="1" x14ac:dyDescent="0.2">
      <c r="B2" s="30"/>
      <c r="C2" s="1" t="s">
        <v>22</v>
      </c>
    </row>
    <row r="3" spans="1:22" ht="15.75" customHeight="1" x14ac:dyDescent="0.15">
      <c r="C3" s="2" t="s">
        <v>23</v>
      </c>
    </row>
    <row r="6" spans="1:22" x14ac:dyDescent="0.15">
      <c r="A6" s="29" t="s">
        <v>2</v>
      </c>
      <c r="C6" s="70" t="s">
        <v>24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25" spans="1:22" x14ac:dyDescent="0.15">
      <c r="A25" s="29" t="s">
        <v>2</v>
      </c>
      <c r="C25" s="70" t="s">
        <v>25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</row>
    <row r="30" spans="1:22" x14ac:dyDescent="0.15">
      <c r="I30" s="69"/>
    </row>
    <row r="74" spans="1:22" x14ac:dyDescent="0.15">
      <c r="A74" s="29" t="s">
        <v>2</v>
      </c>
      <c r="C74" s="70" t="s">
        <v>26</v>
      </c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</row>
    <row r="113" spans="1:22" x14ac:dyDescent="0.15">
      <c r="A113" s="29" t="s">
        <v>2</v>
      </c>
      <c r="C113" s="70" t="s">
        <v>27</v>
      </c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E52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32" style="29" customWidth="1"/>
    <col min="4" max="4" width="18" style="29" customWidth="1"/>
    <col min="5" max="5" width="50" style="29" customWidth="1"/>
    <col min="6" max="16384" width="8.6640625" style="29"/>
  </cols>
  <sheetData>
    <row r="2" spans="1:5" ht="15.75" customHeight="1" x14ac:dyDescent="0.2">
      <c r="B2" s="30"/>
      <c r="C2" s="1" t="s">
        <v>9</v>
      </c>
    </row>
    <row r="3" spans="1:5" ht="15.75" customHeight="1" x14ac:dyDescent="0.15">
      <c r="C3" s="2" t="s">
        <v>23</v>
      </c>
    </row>
    <row r="5" spans="1:5" ht="15" customHeight="1" x14ac:dyDescent="0.15">
      <c r="A5" s="29" t="s">
        <v>2</v>
      </c>
      <c r="C5" s="154" t="s">
        <v>28</v>
      </c>
      <c r="D5" s="154"/>
      <c r="E5" s="154"/>
    </row>
    <row r="6" spans="1:5" ht="15" customHeight="1" x14ac:dyDescent="0.15">
      <c r="C6" s="48"/>
      <c r="D6" s="48"/>
      <c r="E6" s="48"/>
    </row>
    <row r="7" spans="1:5" ht="15" customHeight="1" x14ac:dyDescent="0.3">
      <c r="C7" s="15" t="s">
        <v>29</v>
      </c>
      <c r="D7" s="15" t="s">
        <v>30</v>
      </c>
      <c r="E7" s="15" t="s">
        <v>5</v>
      </c>
    </row>
    <row r="8" spans="1:5" ht="15" customHeight="1" x14ac:dyDescent="0.15">
      <c r="C8" s="13" t="s">
        <v>31</v>
      </c>
      <c r="D8" s="132">
        <v>0.33333333333333331</v>
      </c>
      <c r="E8" s="4" t="s">
        <v>32</v>
      </c>
    </row>
    <row r="9" spans="1:5" ht="15" customHeight="1" x14ac:dyDescent="0.15">
      <c r="C9" s="13" t="s">
        <v>33</v>
      </c>
      <c r="D9" s="89">
        <v>0.25</v>
      </c>
      <c r="E9" s="13" t="s">
        <v>34</v>
      </c>
    </row>
    <row r="10" spans="1:5" ht="15" customHeight="1" x14ac:dyDescent="0.15">
      <c r="C10" s="13" t="s">
        <v>35</v>
      </c>
      <c r="D10" s="89">
        <v>7.0000000000000007E-2</v>
      </c>
      <c r="E10" s="4" t="s">
        <v>36</v>
      </c>
    </row>
    <row r="11" spans="1:5" ht="15" customHeight="1" x14ac:dyDescent="0.15">
      <c r="C11" s="13" t="s">
        <v>37</v>
      </c>
      <c r="D11" s="89">
        <v>0.08</v>
      </c>
      <c r="E11" s="4" t="s">
        <v>263</v>
      </c>
    </row>
    <row r="12" spans="1:5" ht="15" customHeight="1" x14ac:dyDescent="0.15">
      <c r="C12" s="13" t="s">
        <v>38</v>
      </c>
      <c r="D12" s="9">
        <f>(gdp_2022-Ya0)*alpha/Kn0-delta_n</f>
        <v>6.0643810886150201E-2</v>
      </c>
      <c r="E12" s="4" t="s">
        <v>280</v>
      </c>
    </row>
    <row r="13" spans="1:5" ht="15" customHeight="1" x14ac:dyDescent="0.15">
      <c r="C13" s="13" t="s">
        <v>39</v>
      </c>
      <c r="D13" s="89">
        <v>0.5</v>
      </c>
      <c r="E13" s="4" t="s">
        <v>40</v>
      </c>
    </row>
    <row r="14" spans="1:5" ht="15" customHeight="1" x14ac:dyDescent="0.15">
      <c r="C14" s="13" t="s">
        <v>41</v>
      </c>
      <c r="D14" s="88">
        <v>3</v>
      </c>
      <c r="E14" s="13" t="s">
        <v>42</v>
      </c>
    </row>
    <row r="15" spans="1:5" ht="15" customHeight="1" x14ac:dyDescent="0.15">
      <c r="C15" s="13" t="s">
        <v>43</v>
      </c>
      <c r="D15" s="90">
        <v>4700</v>
      </c>
      <c r="E15" s="13" t="s">
        <v>44</v>
      </c>
    </row>
    <row r="16" spans="1:5" customFormat="1" ht="15" customHeight="1" x14ac:dyDescent="0.2">
      <c r="C16" s="13" t="s">
        <v>247</v>
      </c>
      <c r="D16" s="124">
        <v>26059.708999999999</v>
      </c>
      <c r="E16" s="4" t="s">
        <v>284</v>
      </c>
    </row>
    <row r="17" spans="1:5" customFormat="1" ht="15" customHeight="1" x14ac:dyDescent="0.2">
      <c r="C17" s="13" t="s">
        <v>248</v>
      </c>
      <c r="D17" s="90">
        <v>40</v>
      </c>
      <c r="E17" s="4" t="s">
        <v>293</v>
      </c>
    </row>
    <row r="18" spans="1:5" customFormat="1" ht="15" customHeight="1" x14ac:dyDescent="0.2"/>
    <row r="20" spans="1:5" ht="15" customHeight="1" x14ac:dyDescent="0.15">
      <c r="A20" s="29" t="s">
        <v>2</v>
      </c>
      <c r="C20" s="154" t="s">
        <v>45</v>
      </c>
      <c r="D20" s="154"/>
      <c r="E20" s="154"/>
    </row>
    <row r="21" spans="1:5" ht="15" customHeight="1" x14ac:dyDescent="0.15">
      <c r="C21" s="48"/>
      <c r="D21" s="48"/>
      <c r="E21" s="48"/>
    </row>
    <row r="22" spans="1:5" ht="15" customHeight="1" x14ac:dyDescent="0.3">
      <c r="C22" s="15" t="s">
        <v>29</v>
      </c>
      <c r="D22" s="15" t="s">
        <v>46</v>
      </c>
      <c r="E22" s="15" t="s">
        <v>47</v>
      </c>
    </row>
    <row r="23" spans="1:5" ht="15" customHeight="1" x14ac:dyDescent="0.15">
      <c r="C23" s="13" t="s">
        <v>48</v>
      </c>
      <c r="D23" s="6">
        <f>'Capex Build'!D21</f>
        <v>156</v>
      </c>
      <c r="E23" s="4" t="s">
        <v>249</v>
      </c>
    </row>
    <row r="24" spans="1:5" ht="15" customHeight="1" x14ac:dyDescent="0.15">
      <c r="C24" s="13" t="s">
        <v>49</v>
      </c>
      <c r="D24" s="6">
        <f>'Capex Build'!D22</f>
        <v>2381.3053012963173</v>
      </c>
      <c r="E24" s="4" t="s">
        <v>265</v>
      </c>
    </row>
    <row r="25" spans="1:5" ht="15" customHeight="1" x14ac:dyDescent="0.15">
      <c r="C25" s="13" t="s">
        <v>50</v>
      </c>
      <c r="D25" s="23">
        <f>I_pre/delta_a</f>
        <v>624</v>
      </c>
      <c r="E25" s="4" t="s">
        <v>51</v>
      </c>
    </row>
    <row r="26" spans="1:5" ht="15" customHeight="1" x14ac:dyDescent="0.15">
      <c r="C26" s="13" t="s">
        <v>52</v>
      </c>
      <c r="D26" s="38">
        <f>'Model 1 - Calibration'!D14</f>
        <v>3.2821077059426069</v>
      </c>
      <c r="E26" s="4" t="s">
        <v>262</v>
      </c>
    </row>
    <row r="27" spans="1:5" ht="15" customHeight="1" x14ac:dyDescent="0.15">
      <c r="C27" s="13" t="s">
        <v>53</v>
      </c>
      <c r="D27" s="128">
        <f>'Model 1 - Calibration'!D15</f>
        <v>1.188485809296584</v>
      </c>
      <c r="E27" s="4" t="s">
        <v>54</v>
      </c>
    </row>
    <row r="28" spans="1:5" ht="15" customHeight="1" x14ac:dyDescent="0.15">
      <c r="C28" s="13" t="s">
        <v>55</v>
      </c>
      <c r="D28" s="23">
        <f>K0*((r_a+delta_a)/alpha)^(1/(1-alpha))</f>
        <v>614.66343914698564</v>
      </c>
      <c r="E28" s="4" t="s">
        <v>56</v>
      </c>
    </row>
    <row r="29" spans="1:5" ht="15" customHeight="1" x14ac:dyDescent="0.15">
      <c r="C29" s="13" t="s">
        <v>57</v>
      </c>
      <c r="D29" s="23">
        <f>z0*exp_xi</f>
        <v>2017.3916101855061</v>
      </c>
      <c r="E29" s="4" t="s">
        <v>58</v>
      </c>
    </row>
    <row r="30" spans="1:5" ht="15" customHeight="1" x14ac:dyDescent="0.15">
      <c r="C30" s="13" t="s">
        <v>59</v>
      </c>
      <c r="D30" s="23">
        <f>z0^(1-alpha)*K0^alpha</f>
        <v>617.76000000000033</v>
      </c>
      <c r="E30" s="4" t="s">
        <v>60</v>
      </c>
    </row>
    <row r="31" spans="1:5" ht="15" customHeight="1" x14ac:dyDescent="0.15">
      <c r="C31" s="13" t="s">
        <v>61</v>
      </c>
      <c r="D31" s="23">
        <f>Kn0*(r_n+delta_n)/alpha</f>
        <v>25441.948999999993</v>
      </c>
      <c r="E31" s="4" t="s">
        <v>62</v>
      </c>
    </row>
    <row r="32" spans="1:5" ht="15" customHeight="1" x14ac:dyDescent="0.15">
      <c r="C32" s="13" t="s">
        <v>63</v>
      </c>
      <c r="D32" s="23">
        <f>Ya0+Yn0</f>
        <v>26059.708999999995</v>
      </c>
      <c r="E32" s="4" t="s">
        <v>289</v>
      </c>
    </row>
    <row r="33" spans="1:5" ht="15" customHeight="1" x14ac:dyDescent="0.15">
      <c r="C33" s="13" t="s">
        <v>64</v>
      </c>
      <c r="D33" s="23">
        <f>(I_total_pre-I_pre)/delta_n</f>
        <v>64914.28571428571</v>
      </c>
      <c r="E33" s="4" t="s">
        <v>65</v>
      </c>
    </row>
    <row r="34" spans="1:5" ht="15" customHeight="1" x14ac:dyDescent="0.15">
      <c r="C34" s="13" t="s">
        <v>66</v>
      </c>
      <c r="D34" s="91">
        <v>3.5000000000000003E-2</v>
      </c>
      <c r="E34" s="13" t="s">
        <v>283</v>
      </c>
    </row>
    <row r="35" spans="1:5" ht="15" customHeight="1" x14ac:dyDescent="0.15">
      <c r="C35" s="13" t="s">
        <v>67</v>
      </c>
      <c r="D35" s="55">
        <f>Ya0/GDP_0</f>
        <v>2.370556018104425E-2</v>
      </c>
      <c r="E35" s="13" t="s">
        <v>250</v>
      </c>
    </row>
    <row r="37" spans="1:5" ht="15" customHeight="1" x14ac:dyDescent="0.15">
      <c r="A37" s="29" t="s">
        <v>2</v>
      </c>
      <c r="C37" s="154" t="s">
        <v>68</v>
      </c>
      <c r="D37" s="154"/>
      <c r="E37" s="154"/>
    </row>
    <row r="38" spans="1:5" ht="15" customHeight="1" x14ac:dyDescent="0.15">
      <c r="C38" s="48"/>
      <c r="D38" s="48"/>
      <c r="E38" s="48"/>
    </row>
    <row r="39" spans="1:5" ht="15" customHeight="1" x14ac:dyDescent="0.3">
      <c r="C39" s="15" t="s">
        <v>29</v>
      </c>
      <c r="D39" s="15" t="s">
        <v>30</v>
      </c>
      <c r="E39" s="15" t="s">
        <v>5</v>
      </c>
    </row>
    <row r="40" spans="1:5" ht="15" customHeight="1" x14ac:dyDescent="0.15">
      <c r="C40" s="13" t="s">
        <v>69</v>
      </c>
      <c r="D40" s="89">
        <v>3.5999999999999997E-2</v>
      </c>
      <c r="E40" s="4" t="s">
        <v>290</v>
      </c>
    </row>
    <row r="41" spans="1:5" ht="15" customHeight="1" x14ac:dyDescent="0.15">
      <c r="C41" s="13" t="s">
        <v>70</v>
      </c>
      <c r="D41" s="91">
        <v>-0.15</v>
      </c>
      <c r="E41" s="4" t="s">
        <v>291</v>
      </c>
    </row>
    <row r="42" spans="1:5" ht="15" customHeight="1" x14ac:dyDescent="0.15">
      <c r="C42" s="13" t="s">
        <v>71</v>
      </c>
      <c r="D42" s="89">
        <v>0.02</v>
      </c>
      <c r="E42" s="4" t="s">
        <v>72</v>
      </c>
    </row>
    <row r="43" spans="1:5" ht="15" customHeight="1" x14ac:dyDescent="0.15">
      <c r="C43" s="13" t="s">
        <v>73</v>
      </c>
      <c r="D43" s="89">
        <v>2.5000000000000001E-2</v>
      </c>
      <c r="E43" s="4" t="s">
        <v>74</v>
      </c>
    </row>
    <row r="44" spans="1:5" ht="15" customHeight="1" x14ac:dyDescent="0.15">
      <c r="C44" s="13" t="s">
        <v>75</v>
      </c>
      <c r="D44" s="89">
        <v>0.02</v>
      </c>
      <c r="E44" s="4" t="s">
        <v>76</v>
      </c>
    </row>
    <row r="45" spans="1:5" ht="15" customHeight="1" x14ac:dyDescent="0.15"/>
    <row r="47" spans="1:5" ht="15" customHeight="1" x14ac:dyDescent="0.15">
      <c r="A47" s="29" t="s">
        <v>2</v>
      </c>
      <c r="C47" s="95" t="s">
        <v>266</v>
      </c>
      <c r="D47" s="126"/>
      <c r="E47" s="126"/>
    </row>
    <row r="49" spans="3:5" ht="15" customHeight="1" x14ac:dyDescent="0.3">
      <c r="C49" s="15" t="s">
        <v>29</v>
      </c>
      <c r="D49" s="15" t="s">
        <v>46</v>
      </c>
      <c r="E49" s="15" t="s">
        <v>5</v>
      </c>
    </row>
    <row r="50" spans="3:5" ht="15" customHeight="1" x14ac:dyDescent="0.15">
      <c r="C50" s="13" t="s">
        <v>267</v>
      </c>
      <c r="D50" s="147">
        <f>r_a/(exp_xi-1)</f>
        <v>3.5055313030002949E-2</v>
      </c>
      <c r="E50" s="4" t="s">
        <v>285</v>
      </c>
    </row>
    <row r="51" spans="3:5" ht="15" customHeight="1" x14ac:dyDescent="0.15">
      <c r="C51" s="13" t="s">
        <v>268</v>
      </c>
      <c r="D51" s="153" t="str">
        <f>IF(p_star&lt;p_star_bound,"OK","p_star &gt;= bound: firm value infinite")</f>
        <v>OK</v>
      </c>
    </row>
    <row r="52" spans="3:5" ht="15" customHeight="1" x14ac:dyDescent="0.15">
      <c r="C52" s="13" t="s">
        <v>269</v>
      </c>
      <c r="D52" s="55">
        <f>p_star*(exp_xi-1)</f>
        <v>7.9873769707991246E-2</v>
      </c>
      <c r="E52" s="4" t="s">
        <v>270</v>
      </c>
    </row>
  </sheetData>
  <mergeCells count="3">
    <mergeCell ref="C5:E5"/>
    <mergeCell ref="C20:E20"/>
    <mergeCell ref="C37:E3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41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35.83203125" style="29" customWidth="1"/>
    <col min="4" max="9" width="10" style="29" customWidth="1"/>
    <col min="10" max="10" width="28" style="29" customWidth="1"/>
    <col min="11" max="16384" width="8.6640625" style="29"/>
  </cols>
  <sheetData>
    <row r="1" spans="1:9" ht="15" customHeight="1" x14ac:dyDescent="0.15"/>
    <row r="2" spans="1:9" ht="15" customHeight="1" x14ac:dyDescent="0.2">
      <c r="B2" s="30"/>
      <c r="C2" s="1" t="s">
        <v>11</v>
      </c>
    </row>
    <row r="3" spans="1:9" ht="15" customHeight="1" x14ac:dyDescent="0.15">
      <c r="C3" s="2" t="s">
        <v>23</v>
      </c>
    </row>
    <row r="4" spans="1:9" ht="15" customHeight="1" x14ac:dyDescent="0.15"/>
    <row r="5" spans="1:9" ht="15" customHeight="1" x14ac:dyDescent="0.15">
      <c r="A5" s="29" t="s">
        <v>2</v>
      </c>
      <c r="C5" s="95" t="s">
        <v>233</v>
      </c>
      <c r="D5" s="95"/>
      <c r="E5" s="95"/>
      <c r="F5" s="126"/>
      <c r="G5" s="126"/>
      <c r="H5" s="126"/>
      <c r="I5" s="126"/>
    </row>
    <row r="6" spans="1:9" ht="15" customHeight="1" x14ac:dyDescent="0.15">
      <c r="C6" s="48"/>
      <c r="D6" s="48"/>
      <c r="E6" s="48"/>
    </row>
    <row r="7" spans="1:9" ht="15" customHeight="1" x14ac:dyDescent="0.3">
      <c r="C7" s="15" t="s">
        <v>79</v>
      </c>
      <c r="D7" s="15" t="s">
        <v>88</v>
      </c>
      <c r="E7" s="15" t="s">
        <v>89</v>
      </c>
      <c r="F7" s="15" t="s">
        <v>90</v>
      </c>
      <c r="G7" s="15" t="s">
        <v>91</v>
      </c>
      <c r="H7" s="15" t="s">
        <v>78</v>
      </c>
      <c r="I7" s="15" t="s">
        <v>294</v>
      </c>
    </row>
    <row r="8" spans="1:9" ht="15" customHeight="1" x14ac:dyDescent="0.15">
      <c r="C8" s="13" t="s">
        <v>80</v>
      </c>
      <c r="D8" s="123">
        <v>58</v>
      </c>
      <c r="E8" s="123">
        <v>48</v>
      </c>
      <c r="F8" s="123">
        <v>78</v>
      </c>
      <c r="G8" s="123">
        <v>128</v>
      </c>
      <c r="H8" s="123">
        <v>200</v>
      </c>
      <c r="I8" s="6">
        <f>ROUND('Capital Schedule'!I10*$H$38,0)</f>
        <v>229</v>
      </c>
    </row>
    <row r="9" spans="1:9" ht="15" customHeight="1" x14ac:dyDescent="0.15">
      <c r="C9" s="13" t="s">
        <v>81</v>
      </c>
      <c r="D9" s="123">
        <v>31</v>
      </c>
      <c r="E9" s="123">
        <v>32</v>
      </c>
      <c r="F9" s="123">
        <v>53</v>
      </c>
      <c r="G9" s="123">
        <v>91</v>
      </c>
      <c r="H9" s="123">
        <v>185</v>
      </c>
      <c r="I9" s="6">
        <f>ROUND('Capital Schedule'!I16*$H$38,0)</f>
        <v>218</v>
      </c>
    </row>
    <row r="10" spans="1:9" ht="15" customHeight="1" x14ac:dyDescent="0.15">
      <c r="C10" s="13" t="s">
        <v>82</v>
      </c>
      <c r="D10" s="123">
        <v>28</v>
      </c>
      <c r="E10" s="123">
        <v>41</v>
      </c>
      <c r="F10" s="123">
        <v>76</v>
      </c>
      <c r="G10" s="123">
        <v>118</v>
      </c>
      <c r="H10" s="123">
        <v>175</v>
      </c>
      <c r="I10" s="6">
        <f>ROUND('Capital Schedule'!I22*$H$38,0)</f>
        <v>202</v>
      </c>
    </row>
    <row r="11" spans="1:9" ht="15" customHeight="1" x14ac:dyDescent="0.15">
      <c r="C11" s="13" t="s">
        <v>83</v>
      </c>
      <c r="D11" s="123">
        <v>32</v>
      </c>
      <c r="E11" s="123">
        <v>28</v>
      </c>
      <c r="F11" s="123">
        <v>39</v>
      </c>
      <c r="G11" s="123">
        <v>72</v>
      </c>
      <c r="H11" s="123">
        <v>138</v>
      </c>
      <c r="I11" s="6">
        <f>ROUND('Capital Schedule'!I28*$H$38,0)</f>
        <v>161</v>
      </c>
    </row>
    <row r="12" spans="1:9" ht="15" customHeight="1" x14ac:dyDescent="0.15">
      <c r="C12" s="13" t="s">
        <v>84</v>
      </c>
      <c r="D12" s="123">
        <v>7</v>
      </c>
      <c r="E12" s="123">
        <v>7</v>
      </c>
      <c r="F12" s="123">
        <v>11</v>
      </c>
      <c r="G12" s="123">
        <v>35</v>
      </c>
      <c r="H12" s="123">
        <v>92</v>
      </c>
      <c r="I12" s="6">
        <f>ROUND('Capital Schedule'!I34*$H$38,0)</f>
        <v>111</v>
      </c>
    </row>
    <row r="13" spans="1:9" ht="15" customHeight="1" x14ac:dyDescent="0.15">
      <c r="C13" s="13" t="s">
        <v>234</v>
      </c>
      <c r="D13" s="12">
        <f t="shared" ref="D13:I13" si="0">SUM(D8:D12)</f>
        <v>156</v>
      </c>
      <c r="E13" s="12">
        <f t="shared" si="0"/>
        <v>156</v>
      </c>
      <c r="F13" s="12">
        <f t="shared" si="0"/>
        <v>257</v>
      </c>
      <c r="G13" s="12">
        <f t="shared" si="0"/>
        <v>444</v>
      </c>
      <c r="H13" s="12">
        <f t="shared" si="0"/>
        <v>790</v>
      </c>
      <c r="I13" s="12">
        <f t="shared" si="0"/>
        <v>921</v>
      </c>
    </row>
    <row r="14" spans="1:9" ht="15" customHeight="1" x14ac:dyDescent="0.15">
      <c r="C14" s="13" t="s">
        <v>235</v>
      </c>
      <c r="D14" s="148">
        <v>0</v>
      </c>
      <c r="E14" s="148">
        <v>0</v>
      </c>
      <c r="F14" s="148">
        <v>6</v>
      </c>
      <c r="G14" s="148">
        <v>13</v>
      </c>
      <c r="H14" s="148">
        <v>55</v>
      </c>
      <c r="I14" s="6">
        <f>ROUND('Capital Schedule'!I40*$H$38,0)</f>
        <v>68</v>
      </c>
    </row>
    <row r="15" spans="1:9" ht="15" customHeight="1" x14ac:dyDescent="0.15">
      <c r="C15" s="13" t="s">
        <v>236</v>
      </c>
      <c r="D15" s="148">
        <v>0</v>
      </c>
      <c r="E15" s="148">
        <v>3</v>
      </c>
      <c r="F15" s="148">
        <v>9</v>
      </c>
      <c r="G15" s="148">
        <v>10</v>
      </c>
      <c r="H15" s="148">
        <v>27</v>
      </c>
      <c r="I15" s="6">
        <f>ROUND('Capital Schedule'!I46*$H$38,0)</f>
        <v>33</v>
      </c>
    </row>
    <row r="16" spans="1:9" ht="15" customHeight="1" x14ac:dyDescent="0.15">
      <c r="C16" s="13" t="s">
        <v>237</v>
      </c>
      <c r="D16" s="148">
        <v>0</v>
      </c>
      <c r="E16" s="148">
        <v>0</v>
      </c>
      <c r="F16" s="148">
        <v>0</v>
      </c>
      <c r="G16" s="148">
        <v>2</v>
      </c>
      <c r="H16" s="148">
        <v>7</v>
      </c>
      <c r="I16" s="6">
        <f>ROUND('Capital Schedule'!I52*$H$38,0)</f>
        <v>9</v>
      </c>
    </row>
    <row r="17" spans="1:10" ht="15" customHeight="1" x14ac:dyDescent="0.15">
      <c r="C17" s="13" t="s">
        <v>238</v>
      </c>
      <c r="D17" s="148">
        <v>0</v>
      </c>
      <c r="E17" s="148">
        <v>0</v>
      </c>
      <c r="F17" s="148">
        <v>1</v>
      </c>
      <c r="G17" s="148">
        <v>1</v>
      </c>
      <c r="H17" s="148">
        <v>6</v>
      </c>
      <c r="I17" s="6">
        <f>ROUND('Capital Schedule'!I58*$H$38,0)</f>
        <v>7</v>
      </c>
    </row>
    <row r="18" spans="1:10" ht="15" customHeight="1" x14ac:dyDescent="0.15">
      <c r="C18" s="13" t="s">
        <v>239</v>
      </c>
      <c r="D18" s="148">
        <v>0</v>
      </c>
      <c r="E18" s="148">
        <v>0</v>
      </c>
      <c r="F18" s="148">
        <v>0</v>
      </c>
      <c r="G18" s="148">
        <v>0</v>
      </c>
      <c r="H18" s="148">
        <v>2</v>
      </c>
      <c r="I18" s="6">
        <f>ROUND('Capital Schedule'!I64*$H$38,0)</f>
        <v>3</v>
      </c>
    </row>
    <row r="19" spans="1:10" ht="15" customHeight="1" x14ac:dyDescent="0.15">
      <c r="C19" s="13" t="s">
        <v>240</v>
      </c>
      <c r="D19" s="12">
        <f t="shared" ref="D19:I19" si="1">SUM(D14:D18)</f>
        <v>0</v>
      </c>
      <c r="E19" s="12">
        <f t="shared" si="1"/>
        <v>3</v>
      </c>
      <c r="F19" s="12">
        <f t="shared" si="1"/>
        <v>16</v>
      </c>
      <c r="G19" s="12">
        <f t="shared" si="1"/>
        <v>26</v>
      </c>
      <c r="H19" s="12">
        <f t="shared" si="1"/>
        <v>97</v>
      </c>
      <c r="I19" s="12">
        <f t="shared" si="1"/>
        <v>120</v>
      </c>
    </row>
    <row r="20" spans="1:10" ht="15" customHeight="1" thickBot="1" x14ac:dyDescent="0.2">
      <c r="C20" s="16" t="s">
        <v>271</v>
      </c>
      <c r="D20" s="17">
        <f t="shared" ref="D20:I20" si="2">D13+D19</f>
        <v>156</v>
      </c>
      <c r="E20" s="17">
        <f t="shared" si="2"/>
        <v>159</v>
      </c>
      <c r="F20" s="17">
        <f t="shared" si="2"/>
        <v>273</v>
      </c>
      <c r="G20" s="17">
        <f t="shared" si="2"/>
        <v>470</v>
      </c>
      <c r="H20" s="17">
        <f t="shared" si="2"/>
        <v>887</v>
      </c>
      <c r="I20" s="17">
        <f t="shared" si="2"/>
        <v>1041</v>
      </c>
    </row>
    <row r="21" spans="1:10" ht="15" customHeight="1" thickTop="1" x14ac:dyDescent="0.15">
      <c r="C21" s="16" t="s">
        <v>272</v>
      </c>
      <c r="D21" s="17">
        <f>D20/D$38</f>
        <v>156</v>
      </c>
      <c r="E21" s="17">
        <f>E20/E$38</f>
        <v>152.69798459483496</v>
      </c>
      <c r="F21" s="17">
        <f>F20/F$38</f>
        <v>254.66180211541035</v>
      </c>
      <c r="G21" s="17">
        <f>G20/G$38</f>
        <v>427.17531882644533</v>
      </c>
      <c r="H21" s="17">
        <f>H20/H$38</f>
        <v>782.18903256719409</v>
      </c>
      <c r="I21" s="17">
        <f>'Capital Schedule'!I70</f>
        <v>917.27914778726768</v>
      </c>
    </row>
    <row r="22" spans="1:10" ht="15" customHeight="1" x14ac:dyDescent="0.15">
      <c r="C22" s="18" t="s">
        <v>273</v>
      </c>
      <c r="D22" s="19">
        <f>SUM(F21:I21)</f>
        <v>2381.3053012963173</v>
      </c>
      <c r="E22" s="2"/>
    </row>
    <row r="23" spans="1:10" ht="15" customHeight="1" x14ac:dyDescent="0.15"/>
    <row r="24" spans="1:10" ht="15" customHeight="1" x14ac:dyDescent="0.15">
      <c r="A24" s="29" t="s">
        <v>2</v>
      </c>
      <c r="C24" s="95" t="s">
        <v>241</v>
      </c>
      <c r="D24" s="95"/>
      <c r="E24" s="95"/>
      <c r="F24" s="126"/>
      <c r="G24" s="126"/>
      <c r="H24" s="126"/>
      <c r="I24" s="126"/>
    </row>
    <row r="25" spans="1:10" ht="15" customHeight="1" x14ac:dyDescent="0.15">
      <c r="C25" s="48"/>
      <c r="D25" s="48"/>
      <c r="E25" s="48"/>
    </row>
    <row r="26" spans="1:10" ht="15" customHeight="1" x14ac:dyDescent="0.3">
      <c r="C26" s="15" t="s">
        <v>85</v>
      </c>
      <c r="D26" s="15" t="s">
        <v>88</v>
      </c>
      <c r="E26" s="15" t="s">
        <v>89</v>
      </c>
      <c r="F26" s="15" t="s">
        <v>90</v>
      </c>
      <c r="G26" s="15" t="s">
        <v>91</v>
      </c>
      <c r="H26" s="15" t="s">
        <v>78</v>
      </c>
      <c r="I26" s="15" t="s">
        <v>294</v>
      </c>
      <c r="J26" s="15"/>
    </row>
    <row r="27" spans="1:10" ht="15" customHeight="1" x14ac:dyDescent="0.15">
      <c r="C27" s="13" t="s">
        <v>242</v>
      </c>
      <c r="D27" s="23">
        <f t="shared" ref="D27:I27" si="3">D20</f>
        <v>156</v>
      </c>
      <c r="E27" s="23">
        <f t="shared" si="3"/>
        <v>159</v>
      </c>
      <c r="F27" s="23">
        <f t="shared" si="3"/>
        <v>273</v>
      </c>
      <c r="G27" s="23">
        <f t="shared" si="3"/>
        <v>470</v>
      </c>
      <c r="H27" s="23">
        <f t="shared" si="3"/>
        <v>887</v>
      </c>
      <c r="I27" s="23">
        <f t="shared" si="3"/>
        <v>1041</v>
      </c>
    </row>
    <row r="28" spans="1:10" ht="15" customHeight="1" x14ac:dyDescent="0.15">
      <c r="C28" s="13" t="s">
        <v>86</v>
      </c>
      <c r="D28" s="124">
        <v>26.1</v>
      </c>
      <c r="E28" s="127">
        <v>27.8</v>
      </c>
      <c r="F28" s="124">
        <v>29.4</v>
      </c>
      <c r="G28" s="124">
        <v>30.9</v>
      </c>
      <c r="H28" s="124">
        <v>31.8</v>
      </c>
      <c r="I28" s="124">
        <v>32.700000000000003</v>
      </c>
    </row>
    <row r="29" spans="1:10" ht="15" customHeight="1" x14ac:dyDescent="0.15">
      <c r="C29" s="13" t="s">
        <v>92</v>
      </c>
      <c r="D29" s="125">
        <v>4.7</v>
      </c>
      <c r="E29" s="127">
        <v>5</v>
      </c>
      <c r="F29" s="125">
        <v>5.3</v>
      </c>
      <c r="G29" s="125">
        <v>5.6</v>
      </c>
      <c r="H29" s="125">
        <v>5.7</v>
      </c>
      <c r="I29" s="125">
        <v>5.9</v>
      </c>
    </row>
    <row r="30" spans="1:10" ht="15" customHeight="1" x14ac:dyDescent="0.15">
      <c r="C30" s="13" t="s">
        <v>93</v>
      </c>
      <c r="D30" s="9">
        <f t="shared" ref="D30:I30" si="4">IF(D28="","",D27/(D28*1000))</f>
        <v>5.9770114942528738E-3</v>
      </c>
      <c r="E30" s="9">
        <f t="shared" si="4"/>
        <v>5.7194244604316545E-3</v>
      </c>
      <c r="F30" s="9">
        <f t="shared" si="4"/>
        <v>9.285714285714286E-3</v>
      </c>
      <c r="G30" s="9">
        <f t="shared" si="4"/>
        <v>1.5210355987055016E-2</v>
      </c>
      <c r="H30" s="9">
        <f t="shared" si="4"/>
        <v>2.7893081761006289E-2</v>
      </c>
      <c r="I30" s="9">
        <f t="shared" si="4"/>
        <v>3.18348623853211E-2</v>
      </c>
    </row>
    <row r="31" spans="1:10" ht="15" customHeight="1" x14ac:dyDescent="0.15">
      <c r="C31" s="13" t="s">
        <v>225</v>
      </c>
      <c r="D31" s="9">
        <f t="shared" ref="D31:I31" si="5">IF(D29="","",D27/(D29*1000))</f>
        <v>3.3191489361702124E-2</v>
      </c>
      <c r="E31" s="9">
        <f t="shared" si="5"/>
        <v>3.1800000000000002E-2</v>
      </c>
      <c r="F31" s="9">
        <f t="shared" si="5"/>
        <v>5.1509433962264151E-2</v>
      </c>
      <c r="G31" s="9">
        <f t="shared" si="5"/>
        <v>8.3928571428571422E-2</v>
      </c>
      <c r="H31" s="9">
        <f t="shared" si="5"/>
        <v>0.15561403508771929</v>
      </c>
      <c r="I31" s="9">
        <f t="shared" si="5"/>
        <v>0.17644067796610169</v>
      </c>
    </row>
    <row r="32" spans="1:10" ht="15" customHeight="1" x14ac:dyDescent="0.15">
      <c r="C32" s="2"/>
    </row>
    <row r="34" spans="1:10" ht="15" customHeight="1" x14ac:dyDescent="0.15">
      <c r="A34" s="29" t="s">
        <v>2</v>
      </c>
      <c r="C34" s="95" t="s">
        <v>281</v>
      </c>
      <c r="D34" s="126"/>
      <c r="E34" s="126"/>
      <c r="F34" s="126"/>
      <c r="G34" s="126"/>
      <c r="H34" s="126"/>
      <c r="I34" s="126"/>
    </row>
    <row r="36" spans="1:10" ht="15" customHeight="1" x14ac:dyDescent="0.3">
      <c r="C36" s="15" t="s">
        <v>85</v>
      </c>
      <c r="D36" s="15" t="s">
        <v>88</v>
      </c>
      <c r="E36" s="15" t="s">
        <v>89</v>
      </c>
      <c r="F36" s="15" t="s">
        <v>90</v>
      </c>
      <c r="G36" s="15" t="s">
        <v>91</v>
      </c>
      <c r="H36" s="15" t="s">
        <v>251</v>
      </c>
    </row>
    <row r="37" spans="1:10" ht="15" customHeight="1" x14ac:dyDescent="0.15">
      <c r="C37" s="13" t="s">
        <v>274</v>
      </c>
      <c r="D37" s="124">
        <v>292.62599999999998</v>
      </c>
      <c r="E37" s="124">
        <v>304.70299999999997</v>
      </c>
      <c r="F37" s="124">
        <v>313.69799999999998</v>
      </c>
      <c r="G37" s="124">
        <v>321.96199999999999</v>
      </c>
      <c r="H37" s="124">
        <v>331.83699999999999</v>
      </c>
    </row>
    <row r="38" spans="1:10" ht="15" customHeight="1" x14ac:dyDescent="0.15">
      <c r="C38" s="13" t="s">
        <v>275</v>
      </c>
      <c r="D38" s="147">
        <f>D37/$D$37</f>
        <v>1</v>
      </c>
      <c r="E38" s="147">
        <f>E37/$D$37</f>
        <v>1.0412711105643382</v>
      </c>
      <c r="F38" s="147">
        <f>F37/$D$37</f>
        <v>1.0720100059461566</v>
      </c>
      <c r="G38" s="147">
        <f>G37/$D$37</f>
        <v>1.1002508321201807</v>
      </c>
      <c r="H38" s="147">
        <f>H37/$D$37</f>
        <v>1.1339969790790976</v>
      </c>
    </row>
    <row r="39" spans="1:10" ht="15" customHeight="1" x14ac:dyDescent="0.15">
      <c r="C39" s="71"/>
    </row>
    <row r="40" spans="1:10" x14ac:dyDescent="0.15">
      <c r="A40" s="29" t="s">
        <v>2</v>
      </c>
      <c r="C40" s="126" t="s">
        <v>295</v>
      </c>
      <c r="D40" s="126"/>
      <c r="E40" s="126"/>
      <c r="F40" s="126"/>
      <c r="G40" s="126"/>
      <c r="H40" s="126"/>
      <c r="I40" s="126"/>
      <c r="J40" s="126"/>
    </row>
    <row r="41" spans="1:10" x14ac:dyDescent="0.15">
      <c r="C41" s="71" t="s">
        <v>296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9C14-5A2D-4C6E-8F31-7D0A2B4C9E58}">
  <sheetPr codeName="Sheet11"/>
  <dimension ref="A2:I71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40" style="29" customWidth="1"/>
    <col min="4" max="9" width="10.5" style="29" customWidth="1"/>
    <col min="10" max="16384" width="8.6640625" style="29"/>
  </cols>
  <sheetData>
    <row r="2" spans="1:9" ht="15" customHeight="1" x14ac:dyDescent="0.2">
      <c r="B2" s="30"/>
      <c r="C2" s="1" t="s">
        <v>244</v>
      </c>
    </row>
    <row r="3" spans="1:9" ht="15" customHeight="1" x14ac:dyDescent="0.15">
      <c r="C3" s="2" t="s">
        <v>23</v>
      </c>
    </row>
    <row r="4" spans="1:9" ht="15" customHeight="1" x14ac:dyDescent="0.15">
      <c r="C4" s="71"/>
    </row>
    <row r="6" spans="1:9" ht="15" customHeight="1" x14ac:dyDescent="0.3">
      <c r="A6" s="29" t="s">
        <v>2</v>
      </c>
      <c r="C6" s="15" t="s">
        <v>79</v>
      </c>
      <c r="D6" s="15" t="s">
        <v>88</v>
      </c>
      <c r="E6" s="15" t="s">
        <v>89</v>
      </c>
      <c r="F6" s="15" t="s">
        <v>90</v>
      </c>
      <c r="G6" s="15" t="s">
        <v>91</v>
      </c>
      <c r="H6" s="15" t="s">
        <v>251</v>
      </c>
      <c r="I6" s="15" t="s">
        <v>261</v>
      </c>
    </row>
    <row r="7" spans="1:9" ht="15" customHeight="1" x14ac:dyDescent="0.15">
      <c r="A7" s="29" t="s">
        <v>2</v>
      </c>
      <c r="C7" s="3" t="s">
        <v>80</v>
      </c>
    </row>
    <row r="8" spans="1:9" ht="15" customHeight="1" x14ac:dyDescent="0.15">
      <c r="C8" s="25" t="s">
        <v>252</v>
      </c>
      <c r="D8" s="150">
        <f>'Capex Build'!D8/'Capex Build'!D$38/delta_a</f>
        <v>232</v>
      </c>
      <c r="E8" s="150">
        <f>D8+D11</f>
        <v>232</v>
      </c>
      <c r="F8" s="150">
        <f>E8+E11</f>
        <v>220.09750478334641</v>
      </c>
      <c r="G8" s="150">
        <f>F8+F11</f>
        <v>237.83364347762705</v>
      </c>
      <c r="H8" s="150">
        <f>G8+G11</f>
        <v>294.71234071414585</v>
      </c>
      <c r="I8" s="150">
        <f>H8+H11</f>
        <v>397.40156840307145</v>
      </c>
    </row>
    <row r="9" spans="1:9" ht="15" customHeight="1" x14ac:dyDescent="0.15">
      <c r="C9" s="25" t="s">
        <v>253</v>
      </c>
      <c r="D9" s="150">
        <f t="shared" ref="D9:I9" si="0">delta_a*D8</f>
        <v>58</v>
      </c>
      <c r="E9" s="150">
        <f t="shared" si="0"/>
        <v>58</v>
      </c>
      <c r="F9" s="150">
        <f t="shared" si="0"/>
        <v>55.024376195836602</v>
      </c>
      <c r="G9" s="150">
        <f t="shared" si="0"/>
        <v>59.458410869406762</v>
      </c>
      <c r="H9" s="150">
        <f t="shared" si="0"/>
        <v>73.678085178536463</v>
      </c>
      <c r="I9" s="150">
        <f t="shared" si="0"/>
        <v>99.350392100767863</v>
      </c>
    </row>
    <row r="10" spans="1:9" ht="15" customHeight="1" x14ac:dyDescent="0.15">
      <c r="C10" s="25" t="s">
        <v>205</v>
      </c>
      <c r="D10" s="6">
        <f>'Capex Build'!D8/'Capex Build'!D$38</f>
        <v>58</v>
      </c>
      <c r="E10" s="6">
        <f>'Capex Build'!E8/'Capex Build'!E$38</f>
        <v>46.097504783346402</v>
      </c>
      <c r="F10" s="6">
        <f>'Capex Build'!F8/'Capex Build'!F$38</f>
        <v>72.760514890117236</v>
      </c>
      <c r="G10" s="6">
        <f>'Capex Build'!G8/'Capex Build'!G$38</f>
        <v>116.33710810592554</v>
      </c>
      <c r="H10" s="6">
        <f>'Capex Build'!H8/'Capex Build'!H$38</f>
        <v>176.36731286746203</v>
      </c>
      <c r="I10" s="150">
        <f>I11+I9</f>
        <v>202.03961978969343</v>
      </c>
    </row>
    <row r="11" spans="1:9" ht="15" customHeight="1" x14ac:dyDescent="0.15">
      <c r="C11" s="25" t="s">
        <v>254</v>
      </c>
      <c r="D11" s="150">
        <f>D10-D9</f>
        <v>0</v>
      </c>
      <c r="E11" s="150">
        <f>E10-E9</f>
        <v>-11.902495216653598</v>
      </c>
      <c r="F11" s="150">
        <f>F10-F9</f>
        <v>17.736138694280633</v>
      </c>
      <c r="G11" s="150">
        <f>G10-G9</f>
        <v>56.878697236518775</v>
      </c>
      <c r="H11" s="150">
        <f>H10-H9</f>
        <v>102.68922768892557</v>
      </c>
      <c r="I11" s="124">
        <f>H11</f>
        <v>102.68922768892557</v>
      </c>
    </row>
    <row r="13" spans="1:9" ht="15" customHeight="1" x14ac:dyDescent="0.15">
      <c r="A13" s="29" t="s">
        <v>2</v>
      </c>
      <c r="C13" s="3" t="s">
        <v>81</v>
      </c>
    </row>
    <row r="14" spans="1:9" ht="15" customHeight="1" x14ac:dyDescent="0.15">
      <c r="C14" s="25" t="s">
        <v>252</v>
      </c>
      <c r="D14" s="150">
        <f>'Capex Build'!D9/'Capex Build'!D$38/delta_a</f>
        <v>124</v>
      </c>
      <c r="E14" s="150">
        <f>D14+D17</f>
        <v>124</v>
      </c>
      <c r="F14" s="150">
        <f>E14+E17</f>
        <v>123.73166985556426</v>
      </c>
      <c r="G14" s="150">
        <f>F14+F17</f>
        <v>142.23858943239389</v>
      </c>
      <c r="H14" s="150">
        <f>G14+G17</f>
        <v>189.38735486835185</v>
      </c>
      <c r="I14" s="150">
        <f>H14+H17</f>
        <v>305.18028055366631</v>
      </c>
    </row>
    <row r="15" spans="1:9" ht="15" customHeight="1" x14ac:dyDescent="0.15">
      <c r="C15" s="25" t="s">
        <v>253</v>
      </c>
      <c r="D15" s="150">
        <f t="shared" ref="D15:I15" si="1">delta_a*D14</f>
        <v>31</v>
      </c>
      <c r="E15" s="150">
        <f t="shared" si="1"/>
        <v>31</v>
      </c>
      <c r="F15" s="150">
        <f t="shared" si="1"/>
        <v>30.932917463891066</v>
      </c>
      <c r="G15" s="150">
        <f t="shared" si="1"/>
        <v>35.559647358098474</v>
      </c>
      <c r="H15" s="150">
        <f t="shared" si="1"/>
        <v>47.346838717087962</v>
      </c>
      <c r="I15" s="150">
        <f t="shared" si="1"/>
        <v>76.295070138416577</v>
      </c>
    </row>
    <row r="16" spans="1:9" ht="15" customHeight="1" x14ac:dyDescent="0.15">
      <c r="C16" s="25" t="s">
        <v>205</v>
      </c>
      <c r="D16" s="6">
        <f>'Capex Build'!D9/'Capex Build'!D$38</f>
        <v>31</v>
      </c>
      <c r="E16" s="6">
        <f>'Capex Build'!E9/'Capex Build'!E$38</f>
        <v>30.731669855564267</v>
      </c>
      <c r="F16" s="6">
        <f>'Capex Build'!F9/'Capex Build'!F$38</f>
        <v>49.43983704072069</v>
      </c>
      <c r="G16" s="6">
        <f>'Capex Build'!G9/'Capex Build'!G$38</f>
        <v>82.708412794056443</v>
      </c>
      <c r="H16" s="6">
        <f>'Capex Build'!H9/'Capex Build'!H$38</f>
        <v>163.13976440240239</v>
      </c>
      <c r="I16" s="150">
        <f>I17+I15</f>
        <v>192.08799582373101</v>
      </c>
    </row>
    <row r="17" spans="1:9" ht="15" customHeight="1" x14ac:dyDescent="0.15">
      <c r="C17" s="25" t="s">
        <v>254</v>
      </c>
      <c r="D17" s="150">
        <f>D16-D15</f>
        <v>0</v>
      </c>
      <c r="E17" s="150">
        <f>E16-E15</f>
        <v>-0.26833014443573333</v>
      </c>
      <c r="F17" s="150">
        <f>F16-F15</f>
        <v>18.506919576829624</v>
      </c>
      <c r="G17" s="150">
        <f>G16-G15</f>
        <v>47.148765435957969</v>
      </c>
      <c r="H17" s="150">
        <f>H16-H15</f>
        <v>115.79292568531443</v>
      </c>
      <c r="I17" s="124">
        <f>H17</f>
        <v>115.79292568531443</v>
      </c>
    </row>
    <row r="19" spans="1:9" ht="15" customHeight="1" x14ac:dyDescent="0.15">
      <c r="A19" s="29" t="s">
        <v>2</v>
      </c>
      <c r="C19" s="3" t="s">
        <v>82</v>
      </c>
    </row>
    <row r="20" spans="1:9" ht="15" customHeight="1" x14ac:dyDescent="0.15">
      <c r="C20" s="25" t="s">
        <v>252</v>
      </c>
      <c r="D20" s="150">
        <f>'Capex Build'!D10/'Capex Build'!D$38/delta_a</f>
        <v>112</v>
      </c>
      <c r="E20" s="150">
        <f>D20+D23</f>
        <v>112</v>
      </c>
      <c r="F20" s="150">
        <f>E20+E23</f>
        <v>123.37495200244172</v>
      </c>
      <c r="G20" s="150">
        <f>F20+F23</f>
        <v>163.42607466399681</v>
      </c>
      <c r="H20" s="150">
        <f>G20+G23</f>
        <v>229.81782753314772</v>
      </c>
      <c r="I20" s="150">
        <f>H20+H23</f>
        <v>326.68476940889008</v>
      </c>
    </row>
    <row r="21" spans="1:9" ht="15" customHeight="1" x14ac:dyDescent="0.15">
      <c r="C21" s="25" t="s">
        <v>253</v>
      </c>
      <c r="D21" s="150">
        <f t="shared" ref="D21:I21" si="2">delta_a*D20</f>
        <v>28</v>
      </c>
      <c r="E21" s="150">
        <f t="shared" si="2"/>
        <v>28</v>
      </c>
      <c r="F21" s="150">
        <f t="shared" si="2"/>
        <v>30.843738000610429</v>
      </c>
      <c r="G21" s="150">
        <f t="shared" si="2"/>
        <v>40.856518665999204</v>
      </c>
      <c r="H21" s="150">
        <f t="shared" si="2"/>
        <v>57.45445688328693</v>
      </c>
      <c r="I21" s="150">
        <f t="shared" si="2"/>
        <v>81.671192352222519</v>
      </c>
    </row>
    <row r="22" spans="1:9" ht="15" customHeight="1" x14ac:dyDescent="0.15">
      <c r="C22" s="25" t="s">
        <v>205</v>
      </c>
      <c r="D22" s="6">
        <f>'Capex Build'!D10/'Capex Build'!D$38</f>
        <v>28</v>
      </c>
      <c r="E22" s="6">
        <f>'Capex Build'!E10/'Capex Build'!E$38</f>
        <v>39.374952002441717</v>
      </c>
      <c r="F22" s="6">
        <f>'Capex Build'!F10/'Capex Build'!F$38</f>
        <v>70.894860662165513</v>
      </c>
      <c r="G22" s="6">
        <f>'Capex Build'!G10/'Capex Build'!G$38</f>
        <v>107.24827153515011</v>
      </c>
      <c r="H22" s="6">
        <f>'Capex Build'!H10/'Capex Build'!H$38</f>
        <v>154.32139875902928</v>
      </c>
      <c r="I22" s="150">
        <f>I23+I21</f>
        <v>178.53813422796486</v>
      </c>
    </row>
    <row r="23" spans="1:9" ht="15" customHeight="1" x14ac:dyDescent="0.15">
      <c r="C23" s="25" t="s">
        <v>254</v>
      </c>
      <c r="D23" s="150">
        <f>D22-D21</f>
        <v>0</v>
      </c>
      <c r="E23" s="150">
        <f>E22-E21</f>
        <v>11.374952002441717</v>
      </c>
      <c r="F23" s="150">
        <f>F22-F21</f>
        <v>40.051122661555084</v>
      </c>
      <c r="G23" s="150">
        <f>G22-G21</f>
        <v>66.391752869150906</v>
      </c>
      <c r="H23" s="150">
        <f>H22-H21</f>
        <v>96.866941875742356</v>
      </c>
      <c r="I23" s="124">
        <f>H23</f>
        <v>96.866941875742356</v>
      </c>
    </row>
    <row r="25" spans="1:9" ht="15" customHeight="1" x14ac:dyDescent="0.15">
      <c r="A25" s="29" t="s">
        <v>2</v>
      </c>
      <c r="C25" s="3" t="s">
        <v>83</v>
      </c>
    </row>
    <row r="26" spans="1:9" ht="15" customHeight="1" x14ac:dyDescent="0.15">
      <c r="C26" s="25" t="s">
        <v>252</v>
      </c>
      <c r="D26" s="150">
        <f>'Capex Build'!D11/'Capex Build'!D$38/delta_a</f>
        <v>128</v>
      </c>
      <c r="E26" s="150">
        <f>D26+D29</f>
        <v>128</v>
      </c>
      <c r="F26" s="150">
        <f>E26+E29</f>
        <v>122.89021112361874</v>
      </c>
      <c r="G26" s="150">
        <f>F26+F29</f>
        <v>128.54791578777267</v>
      </c>
      <c r="H26" s="150">
        <f>G26+G29</f>
        <v>161.8505601504126</v>
      </c>
      <c r="I26" s="150">
        <f>H26+H29</f>
        <v>243.08136599135827</v>
      </c>
    </row>
    <row r="27" spans="1:9" ht="15" customHeight="1" x14ac:dyDescent="0.15">
      <c r="C27" s="25" t="s">
        <v>253</v>
      </c>
      <c r="D27" s="150">
        <f t="shared" ref="D27:I27" si="3">delta_a*D26</f>
        <v>32</v>
      </c>
      <c r="E27" s="150">
        <f t="shared" si="3"/>
        <v>32</v>
      </c>
      <c r="F27" s="150">
        <f t="shared" si="3"/>
        <v>30.722552780904685</v>
      </c>
      <c r="G27" s="150">
        <f t="shared" si="3"/>
        <v>32.136978946943167</v>
      </c>
      <c r="H27" s="150">
        <f t="shared" si="3"/>
        <v>40.462640037603151</v>
      </c>
      <c r="I27" s="150">
        <f t="shared" si="3"/>
        <v>60.770341497839567</v>
      </c>
    </row>
    <row r="28" spans="1:9" ht="15" customHeight="1" x14ac:dyDescent="0.15">
      <c r="C28" s="25" t="s">
        <v>205</v>
      </c>
      <c r="D28" s="6">
        <f>'Capex Build'!D11/'Capex Build'!D$38</f>
        <v>32</v>
      </c>
      <c r="E28" s="6">
        <f>'Capex Build'!E11/'Capex Build'!E$38</f>
        <v>26.890211123618734</v>
      </c>
      <c r="F28" s="6">
        <f>'Capex Build'!F11/'Capex Build'!F$38</f>
        <v>36.380257445058618</v>
      </c>
      <c r="G28" s="6">
        <f>'Capex Build'!G11/'Capex Build'!G$38</f>
        <v>65.439623309583112</v>
      </c>
      <c r="H28" s="6">
        <f>'Capex Build'!H11/'Capex Build'!H$38</f>
        <v>121.6934458785488</v>
      </c>
      <c r="I28" s="150">
        <f>I29+I27</f>
        <v>142.00114733878522</v>
      </c>
    </row>
    <row r="29" spans="1:9" ht="15" customHeight="1" x14ac:dyDescent="0.15">
      <c r="C29" s="25" t="s">
        <v>254</v>
      </c>
      <c r="D29" s="150">
        <f>D28-D27</f>
        <v>0</v>
      </c>
      <c r="E29" s="150">
        <f>E28-E27</f>
        <v>-5.1097888763812662</v>
      </c>
      <c r="F29" s="150">
        <f>F28-F27</f>
        <v>5.6577046641539326</v>
      </c>
      <c r="G29" s="150">
        <f>G28-G27</f>
        <v>33.302644362639946</v>
      </c>
      <c r="H29" s="150">
        <f>H28-H27</f>
        <v>81.230805840945649</v>
      </c>
      <c r="I29" s="124">
        <f>H29</f>
        <v>81.230805840945649</v>
      </c>
    </row>
    <row r="31" spans="1:9" ht="15" customHeight="1" x14ac:dyDescent="0.15">
      <c r="A31" s="29" t="s">
        <v>2</v>
      </c>
      <c r="C31" s="3" t="s">
        <v>84</v>
      </c>
    </row>
    <row r="32" spans="1:9" ht="15" customHeight="1" x14ac:dyDescent="0.15">
      <c r="C32" s="25" t="s">
        <v>252</v>
      </c>
      <c r="D32" s="150">
        <f>'Capex Build'!D12/'Capex Build'!D$38/delta_a</f>
        <v>28</v>
      </c>
      <c r="E32" s="150">
        <f>D32+D35</f>
        <v>28</v>
      </c>
      <c r="F32" s="150">
        <f>E32+E35</f>
        <v>27.722552780904685</v>
      </c>
      <c r="G32" s="150">
        <f>F32+F35</f>
        <v>31.053012839412997</v>
      </c>
      <c r="H32" s="150">
        <f>G32+G35</f>
        <v>55.100687627273764</v>
      </c>
      <c r="I32" s="150">
        <f>H32+H35</f>
        <v>122.45447963948786</v>
      </c>
    </row>
    <row r="33" spans="1:9" ht="15" customHeight="1" x14ac:dyDescent="0.15">
      <c r="C33" s="25" t="s">
        <v>253</v>
      </c>
      <c r="D33" s="150">
        <f t="shared" ref="D33:I33" si="4">delta_a*D32</f>
        <v>7</v>
      </c>
      <c r="E33" s="150">
        <f t="shared" si="4"/>
        <v>7</v>
      </c>
      <c r="F33" s="150">
        <f t="shared" si="4"/>
        <v>6.9306381952261713</v>
      </c>
      <c r="G33" s="150">
        <f t="shared" si="4"/>
        <v>7.7632532098532492</v>
      </c>
      <c r="H33" s="150">
        <f t="shared" si="4"/>
        <v>13.775171906818441</v>
      </c>
      <c r="I33" s="150">
        <f t="shared" si="4"/>
        <v>30.613619909871964</v>
      </c>
    </row>
    <row r="34" spans="1:9" ht="15" customHeight="1" x14ac:dyDescent="0.15">
      <c r="C34" s="25" t="s">
        <v>205</v>
      </c>
      <c r="D34" s="6">
        <f>'Capex Build'!D12/'Capex Build'!D$38</f>
        <v>7</v>
      </c>
      <c r="E34" s="6">
        <f>'Capex Build'!E12/'Capex Build'!E$38</f>
        <v>6.7225527809046834</v>
      </c>
      <c r="F34" s="6">
        <f>'Capex Build'!F12/'Capex Build'!F$38</f>
        <v>10.261098253734483</v>
      </c>
      <c r="G34" s="6">
        <f>'Capex Build'!G12/'Capex Build'!G$38</f>
        <v>31.810927997714018</v>
      </c>
      <c r="H34" s="6">
        <f>'Capex Build'!H12/'Capex Build'!H$38</f>
        <v>81.128963919032529</v>
      </c>
      <c r="I34" s="150">
        <f>I35+I33</f>
        <v>97.967411922086058</v>
      </c>
    </row>
    <row r="35" spans="1:9" ht="15" customHeight="1" x14ac:dyDescent="0.15">
      <c r="C35" s="25" t="s">
        <v>254</v>
      </c>
      <c r="D35" s="150">
        <f>D34-D33</f>
        <v>0</v>
      </c>
      <c r="E35" s="150">
        <f>E34-E33</f>
        <v>-0.27744721909531656</v>
      </c>
      <c r="F35" s="150">
        <f>F34-F33</f>
        <v>3.3304600585083115</v>
      </c>
      <c r="G35" s="150">
        <f>G34-G33</f>
        <v>24.047674787860768</v>
      </c>
      <c r="H35" s="150">
        <f>H34-H33</f>
        <v>67.353792012214086</v>
      </c>
      <c r="I35" s="124">
        <f>H35</f>
        <v>67.353792012214086</v>
      </c>
    </row>
    <row r="37" spans="1:9" ht="15" customHeight="1" x14ac:dyDescent="0.15">
      <c r="A37" s="29" t="s">
        <v>2</v>
      </c>
      <c r="C37" s="3" t="s">
        <v>235</v>
      </c>
    </row>
    <row r="38" spans="1:9" ht="15" customHeight="1" x14ac:dyDescent="0.15">
      <c r="C38" s="25" t="s">
        <v>252</v>
      </c>
      <c r="D38" s="150">
        <f>'Capex Build'!D14/'Capex Build'!D$38/delta_a</f>
        <v>0</v>
      </c>
      <c r="E38" s="150">
        <f>D38+D41</f>
        <v>0</v>
      </c>
      <c r="F38" s="150">
        <f>E38+E41</f>
        <v>0</v>
      </c>
      <c r="G38" s="150">
        <f>F38+F41</f>
        <v>5.5969626838551729</v>
      </c>
      <c r="H38" s="150">
        <f>G38+G41</f>
        <v>16.01320955489944</v>
      </c>
      <c r="I38" s="150">
        <f>H38+H41</f>
        <v>60.510918204726636</v>
      </c>
    </row>
    <row r="39" spans="1:9" ht="15" customHeight="1" x14ac:dyDescent="0.15">
      <c r="C39" s="25" t="s">
        <v>253</v>
      </c>
      <c r="D39" s="150">
        <f t="shared" ref="D39:I39" si="5">delta_a*D38</f>
        <v>0</v>
      </c>
      <c r="E39" s="150">
        <f t="shared" si="5"/>
        <v>0</v>
      </c>
      <c r="F39" s="150">
        <f t="shared" si="5"/>
        <v>0</v>
      </c>
      <c r="G39" s="150">
        <f t="shared" si="5"/>
        <v>1.3992406709637932</v>
      </c>
      <c r="H39" s="150">
        <f t="shared" si="5"/>
        <v>4.00330238872486</v>
      </c>
      <c r="I39" s="150">
        <f t="shared" si="5"/>
        <v>15.127729551181659</v>
      </c>
    </row>
    <row r="40" spans="1:9" ht="15" customHeight="1" x14ac:dyDescent="0.15">
      <c r="C40" s="25" t="s">
        <v>205</v>
      </c>
      <c r="D40" s="6">
        <f>'Capex Build'!D14/'Capex Build'!D$38</f>
        <v>0</v>
      </c>
      <c r="E40" s="6">
        <f>'Capex Build'!E14/'Capex Build'!E$38</f>
        <v>0</v>
      </c>
      <c r="F40" s="6">
        <f>'Capex Build'!F14/'Capex Build'!F$38</f>
        <v>5.5969626838551729</v>
      </c>
      <c r="G40" s="6">
        <f>'Capex Build'!G14/'Capex Build'!G$38</f>
        <v>11.815487542008063</v>
      </c>
      <c r="H40" s="6">
        <f>'Capex Build'!H14/'Capex Build'!H$38</f>
        <v>48.501011038552058</v>
      </c>
      <c r="I40" s="150">
        <f>I41+I39</f>
        <v>59.625438201008855</v>
      </c>
    </row>
    <row r="41" spans="1:9" ht="15" customHeight="1" x14ac:dyDescent="0.15">
      <c r="C41" s="25" t="s">
        <v>254</v>
      </c>
      <c r="D41" s="150">
        <f>D40-D39</f>
        <v>0</v>
      </c>
      <c r="E41" s="150">
        <f>E40-E39</f>
        <v>0</v>
      </c>
      <c r="F41" s="150">
        <f>F40-F39</f>
        <v>5.5969626838551729</v>
      </c>
      <c r="G41" s="150">
        <f>G40-G39</f>
        <v>10.416246871044269</v>
      </c>
      <c r="H41" s="150">
        <f>H40-H39</f>
        <v>44.497708649827196</v>
      </c>
      <c r="I41" s="124">
        <f>H41</f>
        <v>44.497708649827196</v>
      </c>
    </row>
    <row r="43" spans="1:9" ht="15" customHeight="1" x14ac:dyDescent="0.15">
      <c r="A43" s="29" t="s">
        <v>2</v>
      </c>
      <c r="C43" s="3" t="s">
        <v>236</v>
      </c>
    </row>
    <row r="44" spans="1:9" ht="15" customHeight="1" x14ac:dyDescent="0.15">
      <c r="C44" s="25" t="s">
        <v>252</v>
      </c>
      <c r="D44" s="150">
        <f>'Capex Build'!D15/'Capex Build'!D$38/delta_a</f>
        <v>0</v>
      </c>
      <c r="E44" s="150">
        <f>D44+D47</f>
        <v>0</v>
      </c>
      <c r="F44" s="150">
        <f>E44+E47</f>
        <v>2.8810940489591501</v>
      </c>
      <c r="G44" s="150">
        <f>F44+F47</f>
        <v>10.556264562502122</v>
      </c>
      <c r="H44" s="150">
        <f>G44+G47</f>
        <v>17.006034992652026</v>
      </c>
      <c r="I44" s="150">
        <f>H44+H47</f>
        <v>36.564113481596394</v>
      </c>
    </row>
    <row r="45" spans="1:9" ht="15" customHeight="1" x14ac:dyDescent="0.15">
      <c r="C45" s="25" t="s">
        <v>253</v>
      </c>
      <c r="D45" s="150">
        <f t="shared" ref="D45:I45" si="6">delta_a*D44</f>
        <v>0</v>
      </c>
      <c r="E45" s="150">
        <f t="shared" si="6"/>
        <v>0</v>
      </c>
      <c r="F45" s="150">
        <f t="shared" si="6"/>
        <v>0.72027351223978753</v>
      </c>
      <c r="G45" s="150">
        <f t="shared" si="6"/>
        <v>2.6390661406255305</v>
      </c>
      <c r="H45" s="150">
        <f t="shared" si="6"/>
        <v>4.2515087481630065</v>
      </c>
      <c r="I45" s="150">
        <f t="shared" si="6"/>
        <v>9.1410283703990984</v>
      </c>
    </row>
    <row r="46" spans="1:9" ht="15" customHeight="1" x14ac:dyDescent="0.15">
      <c r="C46" s="25" t="s">
        <v>205</v>
      </c>
      <c r="D46" s="6">
        <f>'Capex Build'!D15/'Capex Build'!D$38</f>
        <v>0</v>
      </c>
      <c r="E46" s="6">
        <f>'Capex Build'!E15/'Capex Build'!E$38</f>
        <v>2.8810940489591501</v>
      </c>
      <c r="F46" s="6">
        <f>'Capex Build'!F15/'Capex Build'!F$38</f>
        <v>8.3954440257827585</v>
      </c>
      <c r="G46" s="6">
        <f>'Capex Build'!G15/'Capex Build'!G$38</f>
        <v>9.0888365707754328</v>
      </c>
      <c r="H46" s="6">
        <f>'Capex Build'!H15/'Capex Build'!H$38</f>
        <v>23.809587237107376</v>
      </c>
      <c r="I46" s="150">
        <f>I47+I45</f>
        <v>28.699106859343466</v>
      </c>
    </row>
    <row r="47" spans="1:9" ht="15" customHeight="1" x14ac:dyDescent="0.15">
      <c r="C47" s="25" t="s">
        <v>254</v>
      </c>
      <c r="D47" s="150">
        <f>D46-D45</f>
        <v>0</v>
      </c>
      <c r="E47" s="150">
        <f>E46-E45</f>
        <v>2.8810940489591501</v>
      </c>
      <c r="F47" s="150">
        <f>F46-F45</f>
        <v>7.6751705135429713</v>
      </c>
      <c r="G47" s="150">
        <f>G46-G45</f>
        <v>6.4497704301499024</v>
      </c>
      <c r="H47" s="150">
        <f>H46-H45</f>
        <v>19.558078488944368</v>
      </c>
      <c r="I47" s="124">
        <f>H47</f>
        <v>19.558078488944368</v>
      </c>
    </row>
    <row r="49" spans="1:9" ht="15" customHeight="1" x14ac:dyDescent="0.15">
      <c r="A49" s="29" t="s">
        <v>2</v>
      </c>
      <c r="C49" s="3" t="s">
        <v>237</v>
      </c>
    </row>
    <row r="50" spans="1:9" ht="15" customHeight="1" x14ac:dyDescent="0.15">
      <c r="C50" s="25" t="s">
        <v>252</v>
      </c>
      <c r="D50" s="150">
        <f>'Capex Build'!D16/'Capex Build'!D$38/delta_a</f>
        <v>0</v>
      </c>
      <c r="E50" s="150">
        <f>D50+D53</f>
        <v>0</v>
      </c>
      <c r="F50" s="150">
        <f>E50+E53</f>
        <v>0</v>
      </c>
      <c r="G50" s="150">
        <f>F50+F53</f>
        <v>0</v>
      </c>
      <c r="H50" s="150">
        <f>G50+G53</f>
        <v>1.8177673141550865</v>
      </c>
      <c r="I50" s="150">
        <f>H50+H53</f>
        <v>7.5361814359774861</v>
      </c>
    </row>
    <row r="51" spans="1:9" ht="15" customHeight="1" x14ac:dyDescent="0.15">
      <c r="C51" s="25" t="s">
        <v>253</v>
      </c>
      <c r="D51" s="150">
        <f t="shared" ref="D51:I51" si="7">delta_a*D50</f>
        <v>0</v>
      </c>
      <c r="E51" s="150">
        <f t="shared" si="7"/>
        <v>0</v>
      </c>
      <c r="F51" s="150">
        <f t="shared" si="7"/>
        <v>0</v>
      </c>
      <c r="G51" s="150">
        <f t="shared" si="7"/>
        <v>0</v>
      </c>
      <c r="H51" s="150">
        <f t="shared" si="7"/>
        <v>0.45444182853877163</v>
      </c>
      <c r="I51" s="150">
        <f t="shared" si="7"/>
        <v>1.8840453589943715</v>
      </c>
    </row>
    <row r="52" spans="1:9" ht="15" customHeight="1" x14ac:dyDescent="0.15">
      <c r="C52" s="25" t="s">
        <v>205</v>
      </c>
      <c r="D52" s="6">
        <f>'Capex Build'!D16/'Capex Build'!D$38</f>
        <v>0</v>
      </c>
      <c r="E52" s="6">
        <f>'Capex Build'!E16/'Capex Build'!E$38</f>
        <v>0</v>
      </c>
      <c r="F52" s="6">
        <f>'Capex Build'!F16/'Capex Build'!F$38</f>
        <v>0</v>
      </c>
      <c r="G52" s="6">
        <f>'Capex Build'!G16/'Capex Build'!G$38</f>
        <v>1.8177673141550865</v>
      </c>
      <c r="H52" s="6">
        <f>'Capex Build'!H16/'Capex Build'!H$38</f>
        <v>6.1728559503611713</v>
      </c>
      <c r="I52" s="150">
        <f>I53+I51</f>
        <v>7.6024594808167709</v>
      </c>
    </row>
    <row r="53" spans="1:9" ht="15" customHeight="1" x14ac:dyDescent="0.15">
      <c r="C53" s="25" t="s">
        <v>254</v>
      </c>
      <c r="D53" s="150">
        <f>D52-D51</f>
        <v>0</v>
      </c>
      <c r="E53" s="150">
        <f>E52-E51</f>
        <v>0</v>
      </c>
      <c r="F53" s="150">
        <f>F52-F51</f>
        <v>0</v>
      </c>
      <c r="G53" s="150">
        <f>G52-G51</f>
        <v>1.8177673141550865</v>
      </c>
      <c r="H53" s="150">
        <f>H52-H51</f>
        <v>5.7184141218223994</v>
      </c>
      <c r="I53" s="124">
        <f>H53</f>
        <v>5.7184141218223994</v>
      </c>
    </row>
    <row r="55" spans="1:9" ht="15" customHeight="1" x14ac:dyDescent="0.15">
      <c r="A55" s="29" t="s">
        <v>2</v>
      </c>
      <c r="C55" s="3" t="s">
        <v>238</v>
      </c>
    </row>
    <row r="56" spans="1:9" ht="15" customHeight="1" x14ac:dyDescent="0.15">
      <c r="C56" s="25" t="s">
        <v>252</v>
      </c>
      <c r="D56" s="150">
        <f>'Capex Build'!D17/'Capex Build'!D$38/delta_a</f>
        <v>0</v>
      </c>
      <c r="E56" s="150">
        <f>D56+D59</f>
        <v>0</v>
      </c>
      <c r="F56" s="150">
        <f>E56+E59</f>
        <v>0</v>
      </c>
      <c r="G56" s="150">
        <f>F56+F59</f>
        <v>0.93282711397586204</v>
      </c>
      <c r="H56" s="150">
        <f>G56+G59</f>
        <v>1.6085039925594398</v>
      </c>
      <c r="I56" s="150">
        <f>H56+H59</f>
        <v>6.4973973804434415</v>
      </c>
    </row>
    <row r="57" spans="1:9" ht="15" customHeight="1" x14ac:dyDescent="0.15">
      <c r="C57" s="25" t="s">
        <v>253</v>
      </c>
      <c r="D57" s="150">
        <f t="shared" ref="D57:I57" si="8">delta_a*D56</f>
        <v>0</v>
      </c>
      <c r="E57" s="150">
        <f t="shared" si="8"/>
        <v>0</v>
      </c>
      <c r="F57" s="150">
        <f t="shared" si="8"/>
        <v>0</v>
      </c>
      <c r="G57" s="150">
        <f t="shared" si="8"/>
        <v>0.23320677849396551</v>
      </c>
      <c r="H57" s="150">
        <f t="shared" si="8"/>
        <v>0.40212599813985994</v>
      </c>
      <c r="I57" s="150">
        <f t="shared" si="8"/>
        <v>1.6243493451108604</v>
      </c>
    </row>
    <row r="58" spans="1:9" ht="15" customHeight="1" x14ac:dyDescent="0.15">
      <c r="C58" s="25" t="s">
        <v>205</v>
      </c>
      <c r="D58" s="6">
        <f>'Capex Build'!D17/'Capex Build'!D$38</f>
        <v>0</v>
      </c>
      <c r="E58" s="6">
        <f>'Capex Build'!E17/'Capex Build'!E$38</f>
        <v>0</v>
      </c>
      <c r="F58" s="6">
        <f>'Capex Build'!F17/'Capex Build'!F$38</f>
        <v>0.93282711397586204</v>
      </c>
      <c r="G58" s="6">
        <f>'Capex Build'!G17/'Capex Build'!G$38</f>
        <v>0.90888365707754326</v>
      </c>
      <c r="H58" s="6">
        <f>'Capex Build'!H17/'Capex Build'!H$38</f>
        <v>5.2910193860238612</v>
      </c>
      <c r="I58" s="150">
        <f>I59+I57</f>
        <v>6.5132427329948621</v>
      </c>
    </row>
    <row r="59" spans="1:9" ht="15" customHeight="1" x14ac:dyDescent="0.15">
      <c r="C59" s="25" t="s">
        <v>254</v>
      </c>
      <c r="D59" s="150">
        <f>D58-D57</f>
        <v>0</v>
      </c>
      <c r="E59" s="150">
        <f>E58-E57</f>
        <v>0</v>
      </c>
      <c r="F59" s="150">
        <f>F58-F57</f>
        <v>0.93282711397586204</v>
      </c>
      <c r="G59" s="150">
        <f>G58-G57</f>
        <v>0.67567687858357772</v>
      </c>
      <c r="H59" s="150">
        <f>H58-H57</f>
        <v>4.8888933878840017</v>
      </c>
      <c r="I59" s="124">
        <f>H59</f>
        <v>4.8888933878840017</v>
      </c>
    </row>
    <row r="61" spans="1:9" ht="15" customHeight="1" x14ac:dyDescent="0.15">
      <c r="A61" s="29" t="s">
        <v>2</v>
      </c>
      <c r="C61" s="3" t="s">
        <v>239</v>
      </c>
    </row>
    <row r="62" spans="1:9" ht="15" customHeight="1" x14ac:dyDescent="0.15">
      <c r="C62" s="25" t="s">
        <v>252</v>
      </c>
      <c r="D62" s="150">
        <f>'Capex Build'!D18/'Capex Build'!D$38/delta_a</f>
        <v>0</v>
      </c>
      <c r="E62" s="150">
        <f>D62+D65</f>
        <v>0</v>
      </c>
      <c r="F62" s="150">
        <f>E62+E65</f>
        <v>0</v>
      </c>
      <c r="G62" s="150">
        <f>F62+F65</f>
        <v>0</v>
      </c>
      <c r="H62" s="150">
        <f>G62+G65</f>
        <v>0</v>
      </c>
      <c r="I62" s="150">
        <f>H62+H65</f>
        <v>1.7636731286746203</v>
      </c>
    </row>
    <row r="63" spans="1:9" ht="15" customHeight="1" x14ac:dyDescent="0.15">
      <c r="C63" s="25" t="s">
        <v>253</v>
      </c>
      <c r="D63" s="150">
        <f t="shared" ref="D63:I63" si="9">delta_a*D62</f>
        <v>0</v>
      </c>
      <c r="E63" s="150">
        <f t="shared" si="9"/>
        <v>0</v>
      </c>
      <c r="F63" s="150">
        <f t="shared" si="9"/>
        <v>0</v>
      </c>
      <c r="G63" s="150">
        <f t="shared" si="9"/>
        <v>0</v>
      </c>
      <c r="H63" s="150">
        <f t="shared" si="9"/>
        <v>0</v>
      </c>
      <c r="I63" s="150">
        <f t="shared" si="9"/>
        <v>0.44091828216865508</v>
      </c>
    </row>
    <row r="64" spans="1:9" ht="15" customHeight="1" x14ac:dyDescent="0.15">
      <c r="C64" s="25" t="s">
        <v>205</v>
      </c>
      <c r="D64" s="6">
        <f>'Capex Build'!D18/'Capex Build'!D$38</f>
        <v>0</v>
      </c>
      <c r="E64" s="6">
        <f>'Capex Build'!E18/'Capex Build'!E$38</f>
        <v>0</v>
      </c>
      <c r="F64" s="6">
        <f>'Capex Build'!F18/'Capex Build'!F$38</f>
        <v>0</v>
      </c>
      <c r="G64" s="6">
        <f>'Capex Build'!G18/'Capex Build'!G$38</f>
        <v>0</v>
      </c>
      <c r="H64" s="6">
        <f>'Capex Build'!H18/'Capex Build'!H$38</f>
        <v>1.7636731286746203</v>
      </c>
      <c r="I64" s="150">
        <f>I65+I63</f>
        <v>2.2045914108432756</v>
      </c>
    </row>
    <row r="65" spans="1:9" ht="15" customHeight="1" x14ac:dyDescent="0.15">
      <c r="C65" s="25" t="s">
        <v>254</v>
      </c>
      <c r="D65" s="150">
        <f>D64-D63</f>
        <v>0</v>
      </c>
      <c r="E65" s="150">
        <f>E64-E63</f>
        <v>0</v>
      </c>
      <c r="F65" s="150">
        <f>F64-F63</f>
        <v>0</v>
      </c>
      <c r="G65" s="150">
        <f>G64-G63</f>
        <v>0</v>
      </c>
      <c r="H65" s="150">
        <f>H64-H63</f>
        <v>1.7636731286746203</v>
      </c>
      <c r="I65" s="124">
        <f>H65</f>
        <v>1.7636731286746203</v>
      </c>
    </row>
    <row r="67" spans="1:9" ht="15" customHeight="1" x14ac:dyDescent="0.15">
      <c r="A67" s="29" t="s">
        <v>2</v>
      </c>
      <c r="C67" s="3" t="s">
        <v>255</v>
      </c>
    </row>
    <row r="68" spans="1:9" ht="15" customHeight="1" x14ac:dyDescent="0.15">
      <c r="C68" s="25" t="s">
        <v>252</v>
      </c>
      <c r="D68" s="150">
        <f t="shared" ref="D68:I71" si="10">D8+D14+D20+D26+D32+D38+D44+D50+D56+D62</f>
        <v>624</v>
      </c>
      <c r="E68" s="150">
        <f t="shared" si="10"/>
        <v>624</v>
      </c>
      <c r="F68" s="150">
        <f t="shared" si="10"/>
        <v>620.69798459483502</v>
      </c>
      <c r="G68" s="150">
        <f t="shared" si="10"/>
        <v>720.1852905615367</v>
      </c>
      <c r="H68" s="150">
        <f t="shared" si="10"/>
        <v>967.31428674759775</v>
      </c>
      <c r="I68" s="150">
        <f t="shared" si="10"/>
        <v>1507.6747476278927</v>
      </c>
    </row>
    <row r="69" spans="1:9" ht="15" customHeight="1" x14ac:dyDescent="0.15">
      <c r="C69" s="25" t="s">
        <v>253</v>
      </c>
      <c r="D69" s="150">
        <f t="shared" si="10"/>
        <v>156</v>
      </c>
      <c r="E69" s="150">
        <f t="shared" si="10"/>
        <v>156</v>
      </c>
      <c r="F69" s="150">
        <f t="shared" si="10"/>
        <v>155.17449614870876</v>
      </c>
      <c r="G69" s="150">
        <f t="shared" si="10"/>
        <v>180.04632264038418</v>
      </c>
      <c r="H69" s="150">
        <f t="shared" si="10"/>
        <v>241.82857168689944</v>
      </c>
      <c r="I69" s="150">
        <f t="shared" si="10"/>
        <v>376.91868690697316</v>
      </c>
    </row>
    <row r="70" spans="1:9" ht="15" customHeight="1" x14ac:dyDescent="0.15">
      <c r="C70" s="25" t="s">
        <v>205</v>
      </c>
      <c r="D70" s="150">
        <f t="shared" si="10"/>
        <v>156</v>
      </c>
      <c r="E70" s="150">
        <f t="shared" si="10"/>
        <v>152.69798459483496</v>
      </c>
      <c r="F70" s="150">
        <f t="shared" si="10"/>
        <v>254.66180211541032</v>
      </c>
      <c r="G70" s="150">
        <f t="shared" si="10"/>
        <v>427.17531882644533</v>
      </c>
      <c r="H70" s="150">
        <f t="shared" si="10"/>
        <v>782.18903256719432</v>
      </c>
      <c r="I70" s="150">
        <f t="shared" si="10"/>
        <v>917.27914778726768</v>
      </c>
    </row>
    <row r="71" spans="1:9" ht="15" customHeight="1" x14ac:dyDescent="0.15">
      <c r="C71" s="25" t="s">
        <v>254</v>
      </c>
      <c r="D71" s="150">
        <f t="shared" si="10"/>
        <v>0</v>
      </c>
      <c r="E71" s="150">
        <f t="shared" si="10"/>
        <v>-3.3020154051650477</v>
      </c>
      <c r="F71" s="150">
        <f t="shared" si="10"/>
        <v>99.48730596670157</v>
      </c>
      <c r="G71" s="150">
        <f t="shared" si="10"/>
        <v>247.12899618606116</v>
      </c>
      <c r="H71" s="150">
        <f t="shared" si="10"/>
        <v>540.36046088029468</v>
      </c>
      <c r="I71" s="150">
        <f t="shared" si="10"/>
        <v>540.36046088029468</v>
      </c>
    </row>
  </sheetData>
  <phoneticPr fontId="2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AA84"/>
  <sheetViews>
    <sheetView showGridLines="0" zoomScaleNormal="100" workbookViewId="0"/>
  </sheetViews>
  <sheetFormatPr baseColWidth="10" defaultColWidth="8.6640625" defaultRowHeight="14" x14ac:dyDescent="0.15"/>
  <cols>
    <col min="1" max="2" width="1.6640625" style="102" customWidth="1"/>
    <col min="3" max="3" width="29.1640625" style="102" customWidth="1"/>
    <col min="4" max="12" width="15.6640625" style="102" customWidth="1"/>
    <col min="13" max="13" width="25.6640625" style="102" customWidth="1"/>
    <col min="14" max="21" width="15.6640625" style="102" customWidth="1"/>
    <col min="22" max="16384" width="8.6640625" style="102"/>
  </cols>
  <sheetData>
    <row r="2" spans="1:21" ht="15.75" customHeight="1" x14ac:dyDescent="0.2">
      <c r="B2" s="103"/>
      <c r="C2" s="1" t="s">
        <v>12</v>
      </c>
      <c r="M2" s="1"/>
    </row>
    <row r="3" spans="1:21" ht="15.75" customHeight="1" x14ac:dyDescent="0.15">
      <c r="C3" s="2" t="s">
        <v>23</v>
      </c>
      <c r="M3" s="2"/>
    </row>
    <row r="5" spans="1:21" s="29" customFormat="1" ht="15" customHeight="1" x14ac:dyDescent="0.15">
      <c r="A5" s="29" t="s">
        <v>2</v>
      </c>
      <c r="C5" s="20" t="s">
        <v>94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s="29" customFormat="1" ht="15" customHeight="1" x14ac:dyDescent="0.15"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s="29" customFormat="1" ht="15" customHeight="1" x14ac:dyDescent="0.3">
      <c r="C7" s="15" t="s">
        <v>95</v>
      </c>
      <c r="D7" s="15" t="s">
        <v>46</v>
      </c>
      <c r="M7" s="15"/>
      <c r="N7" s="15"/>
    </row>
    <row r="8" spans="1:21" s="29" customFormat="1" ht="15" customHeight="1" x14ac:dyDescent="0.15">
      <c r="C8" s="4" t="s">
        <v>96</v>
      </c>
      <c r="D8" s="6">
        <f>I_pre</f>
        <v>156</v>
      </c>
      <c r="M8" s="4"/>
      <c r="N8" s="6"/>
    </row>
    <row r="9" spans="1:21" s="29" customFormat="1" ht="15" customHeight="1" x14ac:dyDescent="0.15">
      <c r="C9" s="4" t="s">
        <v>97</v>
      </c>
      <c r="D9" s="6">
        <f>I_bar</f>
        <v>2381.3053012963173</v>
      </c>
      <c r="M9" s="4"/>
      <c r="N9" s="6"/>
    </row>
    <row r="10" spans="1:21" s="29" customFormat="1" ht="15" customHeight="1" x14ac:dyDescent="0.15">
      <c r="C10" s="4" t="s">
        <v>33</v>
      </c>
      <c r="D10" s="11">
        <f>delta_a</f>
        <v>0.25</v>
      </c>
      <c r="M10" s="4"/>
      <c r="N10" s="11"/>
    </row>
    <row r="11" spans="1:21" s="29" customFormat="1" ht="15" customHeight="1" x14ac:dyDescent="0.15">
      <c r="C11" s="4" t="s">
        <v>98</v>
      </c>
      <c r="D11" s="23">
        <f>D8/$D$10</f>
        <v>624</v>
      </c>
      <c r="M11" s="4"/>
      <c r="N11" s="23"/>
    </row>
    <row r="12" spans="1:21" s="29" customFormat="1" ht="15" customHeight="1" x14ac:dyDescent="0.15">
      <c r="C12" s="4" t="s">
        <v>99</v>
      </c>
      <c r="D12" s="23">
        <f>J21</f>
        <v>2048.0352085081868</v>
      </c>
      <c r="M12" s="4"/>
      <c r="N12" s="6"/>
    </row>
    <row r="13" spans="1:21" s="29" customFormat="1" ht="15" customHeight="1" x14ac:dyDescent="0.3">
      <c r="C13" s="15" t="s">
        <v>100</v>
      </c>
      <c r="D13" s="15" t="s">
        <v>46</v>
      </c>
      <c r="M13" s="15"/>
      <c r="N13" s="15"/>
    </row>
    <row r="14" spans="1:21" s="29" customFormat="1" ht="15" customHeight="1" x14ac:dyDescent="0.15">
      <c r="C14" s="4" t="s">
        <v>52</v>
      </c>
      <c r="D14" s="10">
        <f>D12/D11</f>
        <v>3.2821077059426069</v>
      </c>
      <c r="E14" s="71"/>
      <c r="M14" s="4"/>
      <c r="N14" s="10"/>
      <c r="O14" s="71"/>
    </row>
    <row r="15" spans="1:21" s="29" customFormat="1" ht="15" customHeight="1" x14ac:dyDescent="0.15">
      <c r="A15" s="29" t="s">
        <v>2</v>
      </c>
      <c r="C15" s="4" t="s">
        <v>53</v>
      </c>
      <c r="D15" s="10">
        <f>LN(exp_xi)</f>
        <v>1.188485809296584</v>
      </c>
      <c r="E15" s="71"/>
      <c r="M15" s="4"/>
      <c r="N15" s="8"/>
      <c r="O15" s="71"/>
    </row>
    <row r="16" spans="1:21" s="29" customFormat="1" ht="13" x14ac:dyDescent="0.15">
      <c r="C16" s="4"/>
      <c r="D16" s="8"/>
      <c r="E16" s="71"/>
    </row>
    <row r="17" spans="1:21" s="29" customFormat="1" ht="13" x14ac:dyDescent="0.15">
      <c r="A17" s="29" t="s">
        <v>2</v>
      </c>
      <c r="C17" s="20" t="s">
        <v>101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s="29" customFormat="1" ht="13" x14ac:dyDescent="0.15"/>
    <row r="19" spans="1:21" s="29" customFormat="1" ht="16" x14ac:dyDescent="0.3">
      <c r="C19" s="82" t="s">
        <v>77</v>
      </c>
      <c r="D19" s="82">
        <v>2022</v>
      </c>
      <c r="E19" s="82">
        <v>2023</v>
      </c>
      <c r="F19" s="82">
        <v>2024</v>
      </c>
      <c r="G19" s="82">
        <v>2025</v>
      </c>
      <c r="H19" s="82">
        <v>2026</v>
      </c>
      <c r="I19" s="82">
        <v>2027</v>
      </c>
      <c r="J19" s="82">
        <v>2028</v>
      </c>
      <c r="M19" s="15"/>
      <c r="N19" s="15"/>
      <c r="O19" s="15"/>
      <c r="P19" s="15"/>
      <c r="Q19" s="15"/>
      <c r="R19" s="15"/>
    </row>
    <row r="20" spans="1:21" s="29" customFormat="1" ht="13" x14ac:dyDescent="0.15">
      <c r="C20" s="13" t="s">
        <v>276</v>
      </c>
      <c r="D20" s="6">
        <f>D8</f>
        <v>156</v>
      </c>
      <c r="E20" s="6">
        <f>'Capex Build'!E21</f>
        <v>152.69798459483496</v>
      </c>
      <c r="F20" s="6">
        <f>'Capex Build'!F21</f>
        <v>254.66180211541035</v>
      </c>
      <c r="G20" s="6">
        <f>'Capex Build'!G21</f>
        <v>427.17531882644533</v>
      </c>
      <c r="H20" s="6">
        <f>'Capex Build'!H21</f>
        <v>782.18903256719409</v>
      </c>
      <c r="I20" s="12">
        <f>H20+$D$10*(H20-$D$10*((1-$D$10)^3*D20/$D$10+(1-$D$10)^2*E20+(1-$D$10)*F20+G20))</f>
        <v>917.27914778726768</v>
      </c>
      <c r="J20" s="6"/>
      <c r="M20" s="13"/>
      <c r="N20" s="6"/>
      <c r="O20" s="6"/>
      <c r="P20" s="12"/>
      <c r="Q20" s="10"/>
      <c r="R20" s="8"/>
    </row>
    <row r="21" spans="1:21" s="29" customFormat="1" ht="13" x14ac:dyDescent="0.15">
      <c r="C21" s="13" t="s">
        <v>102</v>
      </c>
      <c r="D21" s="6">
        <f>D11</f>
        <v>624</v>
      </c>
      <c r="E21" s="23">
        <f t="shared" ref="E21:J21" si="0">(1-$D$10)*D21+D20</f>
        <v>624</v>
      </c>
      <c r="F21" s="23">
        <f t="shared" si="0"/>
        <v>620.69798459483491</v>
      </c>
      <c r="G21" s="12">
        <f t="shared" si="0"/>
        <v>720.18529056153648</v>
      </c>
      <c r="H21" s="12">
        <f t="shared" si="0"/>
        <v>967.31428674759763</v>
      </c>
      <c r="I21" s="12">
        <f t="shared" si="0"/>
        <v>1507.6747476278924</v>
      </c>
      <c r="J21" s="12">
        <f t="shared" si="0"/>
        <v>2048.0352085081868</v>
      </c>
      <c r="M21" s="13"/>
      <c r="N21" s="6"/>
      <c r="O21" s="6"/>
      <c r="P21" s="12"/>
      <c r="Q21" s="10"/>
      <c r="R21" s="8"/>
    </row>
    <row r="22" spans="1:21" s="29" customFormat="1" ht="13" x14ac:dyDescent="0.15">
      <c r="A22" s="29" t="s">
        <v>2</v>
      </c>
      <c r="C22" s="13" t="s">
        <v>103</v>
      </c>
      <c r="D22" s="6"/>
      <c r="E22" s="34">
        <f>(1-$D$10)^(2027-E19)</f>
        <v>0.31640625</v>
      </c>
      <c r="F22" s="34">
        <f>(1-$D$10)^(2027-F19)</f>
        <v>0.421875</v>
      </c>
      <c r="G22" s="34">
        <f>(1-$D$10)^(2027-G19)</f>
        <v>0.5625</v>
      </c>
      <c r="H22" s="34">
        <f>(1-$D$10)^(2027-H19)</f>
        <v>0.75</v>
      </c>
      <c r="I22" s="34">
        <f>(1-$D$10)^(2027-I19)</f>
        <v>1</v>
      </c>
      <c r="J22" s="34"/>
      <c r="M22" s="13"/>
      <c r="N22" s="6"/>
      <c r="O22" s="6"/>
      <c r="P22" s="12"/>
      <c r="Q22" s="10"/>
      <c r="R22" s="8"/>
    </row>
    <row r="23" spans="1:21" s="29" customFormat="1" ht="13" x14ac:dyDescent="0.15">
      <c r="C23" s="152" t="s">
        <v>277</v>
      </c>
      <c r="I23" s="152" t="str">
        <f>IF(ABS(I20-'Capex Build'!I21)&lt;0.000001,"OK","Differs from Capex Build")</f>
        <v>OK</v>
      </c>
    </row>
    <row r="24" spans="1:21" s="29" customFormat="1" ht="13" x14ac:dyDescent="0.15">
      <c r="C24" s="13"/>
      <c r="I24" s="12"/>
    </row>
    <row r="25" spans="1:21" s="29" customFormat="1" ht="15" customHeight="1" x14ac:dyDescent="0.15">
      <c r="A25" s="29" t="s">
        <v>2</v>
      </c>
      <c r="C25" s="20" t="s">
        <v>104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s="29" customFormat="1" ht="15" customHeight="1" x14ac:dyDescent="0.1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s="29" customFormat="1" ht="15" customHeight="1" x14ac:dyDescent="0.3">
      <c r="C27" s="15" t="s">
        <v>79</v>
      </c>
      <c r="D27" s="15" t="s">
        <v>96</v>
      </c>
      <c r="E27" s="15" t="s">
        <v>105</v>
      </c>
      <c r="F27" s="15" t="s">
        <v>106</v>
      </c>
      <c r="G27" s="15" t="s">
        <v>107</v>
      </c>
      <c r="H27" s="15" t="s">
        <v>108</v>
      </c>
      <c r="M27" s="15"/>
      <c r="N27" s="15"/>
      <c r="O27" s="15"/>
      <c r="P27" s="15"/>
      <c r="Q27" s="15"/>
      <c r="R27" s="15"/>
    </row>
    <row r="28" spans="1:21" s="29" customFormat="1" ht="15" customHeight="1" x14ac:dyDescent="0.15">
      <c r="C28" s="13" t="s">
        <v>80</v>
      </c>
      <c r="D28" s="6">
        <f>'Capex Build'!D8</f>
        <v>58</v>
      </c>
      <c r="E28" s="23">
        <f>(1-$D$10)^5*F28+SUMPRODUCT($E$22:$I$22,'Capital Schedule'!E10:I10)</f>
        <v>500.09079609199694</v>
      </c>
      <c r="F28" s="23">
        <f>D28/$D$10</f>
        <v>232</v>
      </c>
      <c r="G28" s="57">
        <f>E28/F28</f>
        <v>2.1555637762586075</v>
      </c>
      <c r="H28" s="57">
        <f>LN(G28)</f>
        <v>0.76805230245401079</v>
      </c>
      <c r="M28" s="13"/>
      <c r="N28" s="6"/>
      <c r="O28" s="6"/>
      <c r="P28" s="12"/>
      <c r="Q28" s="10"/>
      <c r="R28" s="8"/>
    </row>
    <row r="29" spans="1:21" s="29" customFormat="1" ht="15" customHeight="1" x14ac:dyDescent="0.15">
      <c r="C29" s="13" t="s">
        <v>81</v>
      </c>
      <c r="D29" s="6">
        <f>'Capex Build'!D9</f>
        <v>31</v>
      </c>
      <c r="E29" s="23">
        <f>(1-$D$10)^5*F29+SUMPRODUCT($E$22:$I$22,'Capital Schedule'!E16:I16)</f>
        <v>420.97320623898071</v>
      </c>
      <c r="F29" s="23">
        <f>D29/$D$10</f>
        <v>124</v>
      </c>
      <c r="G29" s="57">
        <f>E29/F29</f>
        <v>3.394945211604683</v>
      </c>
      <c r="H29" s="57">
        <f>LN(G29)</f>
        <v>1.222287622914221</v>
      </c>
      <c r="M29" s="13"/>
      <c r="N29" s="6"/>
      <c r="O29" s="6"/>
      <c r="P29" s="12"/>
      <c r="Q29" s="10"/>
      <c r="R29" s="8"/>
    </row>
    <row r="30" spans="1:21" s="29" customFormat="1" ht="15" customHeight="1" x14ac:dyDescent="0.15">
      <c r="C30" s="13" t="s">
        <v>82</v>
      </c>
      <c r="D30" s="6">
        <f>'Capex Build'!D10</f>
        <v>28</v>
      </c>
      <c r="E30" s="23">
        <f>(1-$D$10)^5*F30+SUMPRODUCT($E$22:$I$22,'Capital Schedule'!E22:I22)</f>
        <v>423.5517112846324</v>
      </c>
      <c r="F30" s="23">
        <f>D30/$D$10</f>
        <v>112</v>
      </c>
      <c r="G30" s="57">
        <f>E30/F30</f>
        <v>3.7817117078985034</v>
      </c>
      <c r="H30" s="57">
        <f>LN(G30)</f>
        <v>1.3301767399110578</v>
      </c>
      <c r="M30" s="13"/>
      <c r="N30" s="6"/>
      <c r="O30" s="6"/>
      <c r="P30" s="12"/>
      <c r="Q30" s="10"/>
      <c r="R30" s="8"/>
    </row>
    <row r="31" spans="1:21" s="29" customFormat="1" ht="15" customHeight="1" x14ac:dyDescent="0.15">
      <c r="C31" s="13" t="s">
        <v>83</v>
      </c>
      <c r="D31" s="6">
        <f>'Capex Build'!D11</f>
        <v>32</v>
      </c>
      <c r="E31" s="23">
        <f>(1-$D$10)^5*F31+SUMPRODUCT($E$22:$I$22,'Capital Schedule'!E28:I28)</f>
        <v>324.31217183230387</v>
      </c>
      <c r="F31" s="23">
        <f>D31/$D$10</f>
        <v>128</v>
      </c>
      <c r="G31" s="57">
        <f>E31/F31</f>
        <v>2.533688842439874</v>
      </c>
      <c r="H31" s="57">
        <f>LN(G31)</f>
        <v>0.92967628132054114</v>
      </c>
      <c r="M31" s="13"/>
      <c r="N31" s="6"/>
      <c r="O31" s="6"/>
      <c r="P31" s="12"/>
      <c r="Q31" s="10"/>
      <c r="R31" s="8"/>
    </row>
    <row r="32" spans="1:21" s="29" customFormat="1" ht="15" customHeight="1" x14ac:dyDescent="0.15">
      <c r="C32" s="13" t="s">
        <v>84</v>
      </c>
      <c r="D32" s="6">
        <f>'Capex Build'!D12</f>
        <v>7</v>
      </c>
      <c r="E32" s="23">
        <f>(1-$D$10)^5*F32+SUMPRODUCT($E$22:$I$22,'Capital Schedule'!E34:I34)</f>
        <v>189.80827165170194</v>
      </c>
      <c r="F32" s="23">
        <f>D32/$D$10</f>
        <v>28</v>
      </c>
      <c r="G32" s="57">
        <f>E32/F32</f>
        <v>6.7788668447036411</v>
      </c>
      <c r="H32" s="57">
        <f>LN(G32)</f>
        <v>1.9138099559345765</v>
      </c>
      <c r="M32" s="13"/>
      <c r="N32" s="6"/>
      <c r="O32" s="6"/>
      <c r="P32" s="12"/>
      <c r="Q32" s="10"/>
      <c r="R32" s="8"/>
    </row>
    <row r="33" spans="1:27" s="29" customFormat="1" ht="15" customHeight="1" thickBot="1" x14ac:dyDescent="0.2">
      <c r="A33" s="29" t="s">
        <v>2</v>
      </c>
      <c r="C33" s="13" t="s">
        <v>256</v>
      </c>
      <c r="D33" s="21">
        <f>D8</f>
        <v>156</v>
      </c>
      <c r="E33" s="109">
        <f>D12</f>
        <v>2048.0352085081868</v>
      </c>
      <c r="F33" s="109">
        <f>K0</f>
        <v>624</v>
      </c>
      <c r="G33" s="129">
        <f>exp_xi</f>
        <v>3.2821077059426069</v>
      </c>
      <c r="H33" s="129">
        <f>xi</f>
        <v>1.188485809296584</v>
      </c>
      <c r="M33" s="13"/>
      <c r="N33" s="6"/>
      <c r="O33" s="6"/>
      <c r="P33" s="6"/>
      <c r="Q33" s="38"/>
      <c r="R33" s="7"/>
    </row>
    <row r="34" spans="1:27" s="29" customFormat="1" thickTop="1" x14ac:dyDescent="0.15">
      <c r="C34" s="13" t="s">
        <v>257</v>
      </c>
      <c r="D34" s="6">
        <f>'Capex Build'!D13</f>
        <v>156</v>
      </c>
      <c r="E34" s="23">
        <f>(1-$D$10)^5*F34+SUMPRODUCT($E$22:$I$22,'Capex Build'!E13:I13)</f>
        <v>2069.109375</v>
      </c>
      <c r="F34" s="23">
        <f>D34/$D$10</f>
        <v>624</v>
      </c>
      <c r="G34" s="57">
        <f>E34/F34</f>
        <v>3.3158804086538463</v>
      </c>
      <c r="H34" s="57">
        <f>LN(G34)</f>
        <v>1.1987231716811508</v>
      </c>
    </row>
    <row r="35" spans="1:27" s="29" customFormat="1" ht="13" x14ac:dyDescent="0.15">
      <c r="C35" s="13"/>
      <c r="D35" s="6"/>
      <c r="E35" s="23"/>
      <c r="F35" s="23"/>
      <c r="G35" s="57"/>
      <c r="H35" s="57"/>
    </row>
    <row r="36" spans="1:27" s="29" customFormat="1" ht="15" customHeight="1" x14ac:dyDescent="0.15">
      <c r="A36" s="29" t="s">
        <v>2</v>
      </c>
      <c r="C36" s="20" t="s">
        <v>109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7" s="29" customFormat="1" ht="15" customHeight="1" x14ac:dyDescent="0.15"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7" s="29" customFormat="1" ht="15" customHeight="1" x14ac:dyDescent="0.15">
      <c r="A38" s="29" t="s">
        <v>2</v>
      </c>
      <c r="C38" s="144" t="s">
        <v>230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7" s="29" customFormat="1" ht="15" customHeight="1" x14ac:dyDescent="0.3">
      <c r="C39" s="36" t="s">
        <v>52</v>
      </c>
      <c r="D39" s="49"/>
      <c r="E39" s="49"/>
      <c r="F39" s="49"/>
      <c r="G39" s="49"/>
      <c r="H39" s="49"/>
      <c r="I39" s="49"/>
      <c r="J39" s="49"/>
      <c r="K39" s="49"/>
      <c r="L39" s="22"/>
      <c r="M39" s="36" t="s">
        <v>53</v>
      </c>
      <c r="N39" s="50"/>
      <c r="O39" s="50"/>
      <c r="P39" s="50"/>
      <c r="Q39" s="50"/>
      <c r="R39" s="50"/>
      <c r="S39" s="50"/>
      <c r="T39" s="50"/>
      <c r="U39" s="50"/>
    </row>
    <row r="40" spans="1:27" s="29" customFormat="1" ht="15" customHeight="1" x14ac:dyDescent="0.15">
      <c r="C40" s="32"/>
      <c r="D40" s="22">
        <v>0</v>
      </c>
      <c r="E40" s="51" t="s">
        <v>110</v>
      </c>
      <c r="F40" s="52"/>
      <c r="G40" s="52"/>
      <c r="H40" s="52"/>
      <c r="I40" s="53"/>
      <c r="J40" s="104"/>
      <c r="K40" s="54"/>
      <c r="L40" s="22"/>
      <c r="M40" s="32"/>
      <c r="N40" s="22">
        <v>0</v>
      </c>
      <c r="O40" s="51" t="s">
        <v>110</v>
      </c>
      <c r="P40" s="52"/>
      <c r="Q40" s="52"/>
      <c r="R40" s="52"/>
      <c r="S40" s="53"/>
      <c r="T40" s="104"/>
      <c r="U40" s="54"/>
    </row>
    <row r="41" spans="1:27" s="29" customFormat="1" ht="15" customHeight="1" x14ac:dyDescent="0.15">
      <c r="D41" s="13"/>
      <c r="E41" s="113">
        <f>F41-100</f>
        <v>300</v>
      </c>
      <c r="F41" s="114">
        <f>G41-100</f>
        <v>400</v>
      </c>
      <c r="G41" s="114">
        <f>ROUNDDOWN(H41-100, -2)</f>
        <v>500</v>
      </c>
      <c r="H41" s="114">
        <f>D11</f>
        <v>624</v>
      </c>
      <c r="I41" s="114">
        <f>ROUNDUP(H41+100, -2)</f>
        <v>800</v>
      </c>
      <c r="J41" s="114">
        <f>I41+100</f>
        <v>900</v>
      </c>
      <c r="K41" s="115">
        <f>J41+100</f>
        <v>1000</v>
      </c>
      <c r="N41" s="13"/>
      <c r="O41" s="113">
        <f t="shared" ref="O41:U41" si="1">E41</f>
        <v>300</v>
      </c>
      <c r="P41" s="114">
        <f t="shared" si="1"/>
        <v>400</v>
      </c>
      <c r="Q41" s="114">
        <f t="shared" si="1"/>
        <v>500</v>
      </c>
      <c r="R41" s="114">
        <f t="shared" si="1"/>
        <v>624</v>
      </c>
      <c r="S41" s="114">
        <f t="shared" si="1"/>
        <v>800</v>
      </c>
      <c r="T41" s="114">
        <f t="shared" si="1"/>
        <v>900</v>
      </c>
      <c r="U41" s="115">
        <f t="shared" si="1"/>
        <v>1000</v>
      </c>
      <c r="W41" s="121"/>
      <c r="X41" s="134"/>
      <c r="Z41" s="121"/>
      <c r="AA41" s="134"/>
    </row>
    <row r="42" spans="1:27" s="29" customFormat="1" ht="15" customHeight="1" x14ac:dyDescent="0.15">
      <c r="C42" s="105"/>
      <c r="D42" s="110">
        <f>D43-500</f>
        <v>500</v>
      </c>
      <c r="E42" s="24">
        <f t="shared" ref="E42:K48" si="2">$D42/E$41</f>
        <v>1.6666666666666667</v>
      </c>
      <c r="F42" s="10">
        <f t="shared" si="2"/>
        <v>1.25</v>
      </c>
      <c r="G42" s="10">
        <f t="shared" si="2"/>
        <v>1</v>
      </c>
      <c r="H42" s="10">
        <f t="shared" si="2"/>
        <v>0.80128205128205132</v>
      </c>
      <c r="I42" s="10">
        <f t="shared" si="2"/>
        <v>0.625</v>
      </c>
      <c r="J42" s="10">
        <f t="shared" si="2"/>
        <v>0.55555555555555558</v>
      </c>
      <c r="K42" s="10">
        <f t="shared" si="2"/>
        <v>0.5</v>
      </c>
      <c r="M42" s="105"/>
      <c r="N42" s="110">
        <f t="shared" ref="N42:N48" si="3">D42</f>
        <v>500</v>
      </c>
      <c r="O42" s="24">
        <f t="shared" ref="O42:U48" si="4">LN(E42)</f>
        <v>0.51082562376599072</v>
      </c>
      <c r="P42" s="10">
        <f t="shared" si="4"/>
        <v>0.22314355131420976</v>
      </c>
      <c r="Q42" s="10">
        <f t="shared" si="4"/>
        <v>0</v>
      </c>
      <c r="R42" s="10">
        <f t="shared" si="4"/>
        <v>-0.22154226994723586</v>
      </c>
      <c r="S42" s="10">
        <f t="shared" si="4"/>
        <v>-0.47000362924573558</v>
      </c>
      <c r="T42" s="10">
        <f t="shared" si="4"/>
        <v>-0.58778666490211895</v>
      </c>
      <c r="U42" s="10">
        <f t="shared" si="4"/>
        <v>-0.69314718055994529</v>
      </c>
      <c r="W42" s="133"/>
      <c r="X42" s="134"/>
      <c r="Z42" s="133"/>
    </row>
    <row r="43" spans="1:27" s="29" customFormat="1" ht="15" customHeight="1" x14ac:dyDescent="0.15">
      <c r="C43" s="106"/>
      <c r="D43" s="111">
        <f>D44-500</f>
        <v>1000</v>
      </c>
      <c r="E43" s="24">
        <f t="shared" si="2"/>
        <v>3.3333333333333335</v>
      </c>
      <c r="F43" s="10">
        <f t="shared" si="2"/>
        <v>2.5</v>
      </c>
      <c r="G43" s="10">
        <f t="shared" si="2"/>
        <v>2</v>
      </c>
      <c r="H43" s="10">
        <f t="shared" si="2"/>
        <v>1.6025641025641026</v>
      </c>
      <c r="I43" s="10">
        <f t="shared" si="2"/>
        <v>1.25</v>
      </c>
      <c r="J43" s="10">
        <f t="shared" si="2"/>
        <v>1.1111111111111112</v>
      </c>
      <c r="K43" s="10">
        <f t="shared" si="2"/>
        <v>1</v>
      </c>
      <c r="M43" s="106"/>
      <c r="N43" s="111">
        <f t="shared" si="3"/>
        <v>1000</v>
      </c>
      <c r="O43" s="24">
        <f t="shared" si="4"/>
        <v>1.2039728043259361</v>
      </c>
      <c r="P43" s="10">
        <f t="shared" si="4"/>
        <v>0.91629073187415511</v>
      </c>
      <c r="Q43" s="10">
        <f t="shared" si="4"/>
        <v>0.69314718055994529</v>
      </c>
      <c r="R43" s="10">
        <f t="shared" si="4"/>
        <v>0.47160491061270943</v>
      </c>
      <c r="S43" s="10">
        <f t="shared" si="4"/>
        <v>0.22314355131420976</v>
      </c>
      <c r="T43" s="10">
        <f t="shared" si="4"/>
        <v>0.10536051565782635</v>
      </c>
      <c r="U43" s="10">
        <f t="shared" si="4"/>
        <v>0</v>
      </c>
      <c r="W43" s="133"/>
      <c r="X43" s="134"/>
      <c r="Z43" s="133"/>
    </row>
    <row r="44" spans="1:27" s="29" customFormat="1" ht="15" customHeight="1" x14ac:dyDescent="0.15">
      <c r="C44" s="106"/>
      <c r="D44" s="111">
        <f>ROUNDDOWN(D45-500, -2)</f>
        <v>1500</v>
      </c>
      <c r="E44" s="24">
        <f t="shared" si="2"/>
        <v>5</v>
      </c>
      <c r="F44" s="10">
        <f t="shared" si="2"/>
        <v>3.75</v>
      </c>
      <c r="G44" s="10">
        <f t="shared" si="2"/>
        <v>3</v>
      </c>
      <c r="H44" s="10">
        <f t="shared" si="2"/>
        <v>2.4038461538461537</v>
      </c>
      <c r="I44" s="10">
        <f t="shared" si="2"/>
        <v>1.875</v>
      </c>
      <c r="J44" s="10">
        <f t="shared" si="2"/>
        <v>1.6666666666666667</v>
      </c>
      <c r="K44" s="10">
        <f t="shared" si="2"/>
        <v>1.5</v>
      </c>
      <c r="M44" s="106"/>
      <c r="N44" s="111">
        <f t="shared" si="3"/>
        <v>1500</v>
      </c>
      <c r="O44" s="24">
        <f t="shared" si="4"/>
        <v>1.6094379124341003</v>
      </c>
      <c r="P44" s="10">
        <f t="shared" si="4"/>
        <v>1.3217558399823195</v>
      </c>
      <c r="Q44" s="10">
        <f t="shared" si="4"/>
        <v>1.0986122886681098</v>
      </c>
      <c r="R44" s="10">
        <f t="shared" si="4"/>
        <v>0.87707001872087376</v>
      </c>
      <c r="S44" s="10">
        <f t="shared" si="4"/>
        <v>0.62860865942237409</v>
      </c>
      <c r="T44" s="10">
        <f t="shared" si="4"/>
        <v>0.51082562376599072</v>
      </c>
      <c r="U44" s="10">
        <f t="shared" si="4"/>
        <v>0.40546510810816438</v>
      </c>
      <c r="W44" s="133"/>
      <c r="X44" s="134"/>
      <c r="Z44" s="133"/>
    </row>
    <row r="45" spans="1:27" s="29" customFormat="1" ht="15" customHeight="1" x14ac:dyDescent="0.15">
      <c r="C45" s="107" t="s">
        <v>99</v>
      </c>
      <c r="D45" s="111">
        <f>D12</f>
        <v>2048.0352085081868</v>
      </c>
      <c r="E45" s="24">
        <f t="shared" si="2"/>
        <v>6.8267840283606223</v>
      </c>
      <c r="F45" s="10">
        <f t="shared" si="2"/>
        <v>5.1200880212704671</v>
      </c>
      <c r="G45" s="10">
        <f t="shared" si="2"/>
        <v>4.0960704170163735</v>
      </c>
      <c r="H45" s="31">
        <f t="shared" si="2"/>
        <v>3.2821077059426069</v>
      </c>
      <c r="I45" s="10">
        <f t="shared" si="2"/>
        <v>2.5600440106352336</v>
      </c>
      <c r="J45" s="10">
        <f t="shared" si="2"/>
        <v>2.2755946761202077</v>
      </c>
      <c r="K45" s="10">
        <f t="shared" si="2"/>
        <v>2.0480352085081868</v>
      </c>
      <c r="M45" s="107" t="s">
        <v>99</v>
      </c>
      <c r="N45" s="111">
        <f t="shared" si="3"/>
        <v>2048.0352085081868</v>
      </c>
      <c r="O45" s="24">
        <f t="shared" si="4"/>
        <v>1.9208537030098105</v>
      </c>
      <c r="P45" s="10">
        <f t="shared" si="4"/>
        <v>1.6331716305580297</v>
      </c>
      <c r="Q45" s="10">
        <f t="shared" si="4"/>
        <v>1.41002807924382</v>
      </c>
      <c r="R45" s="31">
        <f t="shared" si="4"/>
        <v>1.188485809296584</v>
      </c>
      <c r="S45" s="10">
        <f t="shared" si="4"/>
        <v>0.94002444999808443</v>
      </c>
      <c r="T45" s="10">
        <f t="shared" si="4"/>
        <v>0.82224141434170106</v>
      </c>
      <c r="U45" s="10">
        <f t="shared" si="4"/>
        <v>0.71688089868387461</v>
      </c>
      <c r="W45" s="133"/>
      <c r="X45" s="134"/>
      <c r="Z45" s="133"/>
    </row>
    <row r="46" spans="1:27" s="29" customFormat="1" ht="15" customHeight="1" x14ac:dyDescent="0.15">
      <c r="C46" s="106"/>
      <c r="D46" s="111">
        <f>ROUNDUP(D45+500, -2)</f>
        <v>2600</v>
      </c>
      <c r="E46" s="24">
        <f t="shared" si="2"/>
        <v>8.6666666666666661</v>
      </c>
      <c r="F46" s="10">
        <f t="shared" si="2"/>
        <v>6.5</v>
      </c>
      <c r="G46" s="10">
        <f t="shared" si="2"/>
        <v>5.2</v>
      </c>
      <c r="H46" s="10">
        <f t="shared" si="2"/>
        <v>4.166666666666667</v>
      </c>
      <c r="I46" s="10">
        <f t="shared" si="2"/>
        <v>3.25</v>
      </c>
      <c r="J46" s="10">
        <f t="shared" si="2"/>
        <v>2.8888888888888888</v>
      </c>
      <c r="K46" s="10">
        <f t="shared" si="2"/>
        <v>2.6</v>
      </c>
      <c r="M46" s="106"/>
      <c r="N46" s="111">
        <f t="shared" si="3"/>
        <v>2600</v>
      </c>
      <c r="O46" s="24">
        <f t="shared" si="4"/>
        <v>2.1594842493533721</v>
      </c>
      <c r="P46" s="10">
        <f t="shared" si="4"/>
        <v>1.8718021769015913</v>
      </c>
      <c r="Q46" s="10">
        <f t="shared" si="4"/>
        <v>1.6486586255873816</v>
      </c>
      <c r="R46" s="10">
        <f t="shared" si="4"/>
        <v>1.4271163556401458</v>
      </c>
      <c r="S46" s="10">
        <f t="shared" si="4"/>
        <v>1.1786549963416462</v>
      </c>
      <c r="T46" s="10">
        <f t="shared" si="4"/>
        <v>1.0608719606852626</v>
      </c>
      <c r="U46" s="10">
        <f t="shared" si="4"/>
        <v>0.95551144502743635</v>
      </c>
      <c r="W46" s="133"/>
      <c r="X46" s="134"/>
      <c r="Z46" s="133"/>
    </row>
    <row r="47" spans="1:27" s="29" customFormat="1" ht="15" customHeight="1" x14ac:dyDescent="0.15">
      <c r="C47" s="106"/>
      <c r="D47" s="111">
        <f>D46+500</f>
        <v>3100</v>
      </c>
      <c r="E47" s="24">
        <f t="shared" si="2"/>
        <v>10.333333333333334</v>
      </c>
      <c r="F47" s="10">
        <f t="shared" si="2"/>
        <v>7.75</v>
      </c>
      <c r="G47" s="10">
        <f t="shared" si="2"/>
        <v>6.2</v>
      </c>
      <c r="H47" s="10">
        <f t="shared" si="2"/>
        <v>4.9679487179487181</v>
      </c>
      <c r="I47" s="10">
        <f t="shared" si="2"/>
        <v>3.875</v>
      </c>
      <c r="J47" s="10">
        <f t="shared" si="2"/>
        <v>3.4444444444444446</v>
      </c>
      <c r="K47" s="10">
        <f t="shared" si="2"/>
        <v>3.1</v>
      </c>
      <c r="M47" s="106"/>
      <c r="N47" s="111">
        <f t="shared" si="3"/>
        <v>3100</v>
      </c>
      <c r="O47" s="24">
        <f t="shared" si="4"/>
        <v>2.3353749158170367</v>
      </c>
      <c r="P47" s="10">
        <f t="shared" si="4"/>
        <v>2.0476928433652555</v>
      </c>
      <c r="Q47" s="10">
        <f t="shared" si="4"/>
        <v>1.824549292051046</v>
      </c>
      <c r="R47" s="10">
        <f t="shared" si="4"/>
        <v>1.60300702210381</v>
      </c>
      <c r="S47" s="10">
        <f t="shared" si="4"/>
        <v>1.3545456628053103</v>
      </c>
      <c r="T47" s="10">
        <f t="shared" si="4"/>
        <v>1.2367626271489269</v>
      </c>
      <c r="U47" s="10">
        <f t="shared" si="4"/>
        <v>1.1314021114911006</v>
      </c>
      <c r="W47" s="133"/>
      <c r="X47" s="134"/>
      <c r="Z47" s="133"/>
    </row>
    <row r="48" spans="1:27" s="29" customFormat="1" ht="15" customHeight="1" x14ac:dyDescent="0.15">
      <c r="A48" s="29" t="s">
        <v>2</v>
      </c>
      <c r="C48" s="108"/>
      <c r="D48" s="112">
        <f>D47+500</f>
        <v>3600</v>
      </c>
      <c r="E48" s="24">
        <f t="shared" si="2"/>
        <v>12</v>
      </c>
      <c r="F48" s="10">
        <f t="shared" si="2"/>
        <v>9</v>
      </c>
      <c r="G48" s="10">
        <f t="shared" si="2"/>
        <v>7.2</v>
      </c>
      <c r="H48" s="10">
        <f t="shared" si="2"/>
        <v>5.7692307692307692</v>
      </c>
      <c r="I48" s="10">
        <f t="shared" si="2"/>
        <v>4.5</v>
      </c>
      <c r="J48" s="10">
        <f t="shared" si="2"/>
        <v>4</v>
      </c>
      <c r="K48" s="10">
        <f t="shared" si="2"/>
        <v>3.6</v>
      </c>
      <c r="M48" s="108"/>
      <c r="N48" s="112">
        <f t="shared" si="3"/>
        <v>3600</v>
      </c>
      <c r="O48" s="24">
        <f t="shared" si="4"/>
        <v>2.4849066497880004</v>
      </c>
      <c r="P48" s="10">
        <f t="shared" si="4"/>
        <v>2.1972245773362196</v>
      </c>
      <c r="Q48" s="10">
        <f t="shared" si="4"/>
        <v>1.9740810260220096</v>
      </c>
      <c r="R48" s="10">
        <f t="shared" si="4"/>
        <v>1.7525387560747736</v>
      </c>
      <c r="S48" s="10">
        <f t="shared" si="4"/>
        <v>1.5040773967762742</v>
      </c>
      <c r="T48" s="10">
        <f t="shared" si="4"/>
        <v>1.3862943611198906</v>
      </c>
      <c r="U48" s="10">
        <f t="shared" si="4"/>
        <v>1.2809338454620642</v>
      </c>
      <c r="X48" s="134"/>
    </row>
    <row r="49" spans="1:21" s="29" customFormat="1" ht="14" customHeight="1" x14ac:dyDescent="0.15"/>
    <row r="50" spans="1:21" s="29" customFormat="1" ht="15" customHeight="1" x14ac:dyDescent="0.15">
      <c r="A50" s="29" t="s">
        <v>2</v>
      </c>
      <c r="C50" s="144" t="s">
        <v>232</v>
      </c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</row>
    <row r="51" spans="1:21" s="29" customFormat="1" ht="16" x14ac:dyDescent="0.3">
      <c r="C51" s="36" t="s">
        <v>52</v>
      </c>
      <c r="D51" s="49"/>
      <c r="E51" s="49"/>
      <c r="F51" s="49"/>
      <c r="G51" s="49"/>
      <c r="H51" s="49"/>
      <c r="I51" s="49"/>
      <c r="J51" s="49"/>
      <c r="K51" s="49"/>
      <c r="M51" s="36" t="s">
        <v>53</v>
      </c>
      <c r="N51" s="49"/>
      <c r="O51" s="49"/>
      <c r="P51" s="49"/>
      <c r="Q51" s="49"/>
      <c r="R51" s="49"/>
      <c r="S51" s="49"/>
      <c r="T51" s="49"/>
      <c r="U51" s="49"/>
    </row>
    <row r="52" spans="1:21" s="29" customFormat="1" ht="13" x14ac:dyDescent="0.15">
      <c r="C52" s="32"/>
      <c r="D52" s="22">
        <v>0</v>
      </c>
      <c r="E52" s="51" t="s">
        <v>48</v>
      </c>
      <c r="F52" s="52"/>
      <c r="G52" s="52"/>
      <c r="H52" s="52"/>
      <c r="I52" s="53"/>
      <c r="J52" s="104"/>
      <c r="K52" s="54"/>
      <c r="M52" s="32"/>
      <c r="N52" s="22">
        <v>0</v>
      </c>
      <c r="O52" s="51" t="s">
        <v>110</v>
      </c>
      <c r="P52" s="52"/>
      <c r="Q52" s="52"/>
      <c r="R52" s="52"/>
      <c r="S52" s="53"/>
      <c r="T52" s="104"/>
      <c r="U52" s="54"/>
    </row>
    <row r="53" spans="1:21" s="29" customFormat="1" ht="13" x14ac:dyDescent="0.15">
      <c r="D53" s="138">
        <f>D14</f>
        <v>3.2821077059426069</v>
      </c>
      <c r="E53" s="113">
        <v>120</v>
      </c>
      <c r="F53" s="114">
        <v>130</v>
      </c>
      <c r="G53" s="114">
        <v>140</v>
      </c>
      <c r="H53" s="114">
        <v>159</v>
      </c>
      <c r="I53" s="114">
        <v>170</v>
      </c>
      <c r="J53" s="114">
        <v>180</v>
      </c>
      <c r="K53" s="115">
        <v>190</v>
      </c>
      <c r="N53" s="138">
        <f>N3</f>
        <v>0</v>
      </c>
      <c r="O53" s="113">
        <v>120</v>
      </c>
      <c r="P53" s="114">
        <v>130</v>
      </c>
      <c r="Q53" s="114">
        <v>140</v>
      </c>
      <c r="R53" s="114">
        <v>159</v>
      </c>
      <c r="S53" s="114">
        <v>170</v>
      </c>
      <c r="T53" s="114">
        <v>180</v>
      </c>
      <c r="U53" s="115">
        <v>190</v>
      </c>
    </row>
    <row r="54" spans="1:21" s="29" customFormat="1" ht="13" x14ac:dyDescent="0.15">
      <c r="C54" s="105"/>
      <c r="D54" s="135">
        <v>0.05</v>
      </c>
      <c r="E54" s="24">
        <f t="dataTable" ref="E54:K59" dt2D="1" dtr="1" r1="D8" r2="D10"/>
        <v>1.7260544295308413</v>
      </c>
      <c r="F54" s="10">
        <v>1.6526377426438532</v>
      </c>
      <c r="G54" s="10">
        <v>1.5897091538835781</v>
      </c>
      <c r="H54" s="10">
        <v>1.4919521637968611</v>
      </c>
      <c r="I54" s="10">
        <v>1.4453435679041233</v>
      </c>
      <c r="J54" s="10">
        <v>1.4079154530205609</v>
      </c>
      <c r="K54" s="10">
        <v>1.3744271397036889</v>
      </c>
      <c r="M54" s="105"/>
      <c r="N54" s="139">
        <v>0.05</v>
      </c>
      <c r="O54" s="142">
        <f t="shared" ref="O54:U59" si="5">LN(E54)</f>
        <v>0.54583812723402869</v>
      </c>
      <c r="P54" s="143">
        <f t="shared" si="5"/>
        <v>0.50237264336607368</v>
      </c>
      <c r="Q54" s="143">
        <f t="shared" si="5"/>
        <v>0.46355107741405499</v>
      </c>
      <c r="R54" s="143">
        <f t="shared" si="5"/>
        <v>0.4000854394692282</v>
      </c>
      <c r="S54" s="143">
        <f t="shared" si="5"/>
        <v>0.36834705655864092</v>
      </c>
      <c r="T54" s="143">
        <f t="shared" si="5"/>
        <v>0.34211020836229872</v>
      </c>
      <c r="U54" s="143">
        <f t="shared" si="5"/>
        <v>0.31803701863590261</v>
      </c>
    </row>
    <row r="55" spans="1:21" s="29" customFormat="1" ht="13" x14ac:dyDescent="0.15">
      <c r="C55" s="106"/>
      <c r="D55" s="136">
        <v>0.1</v>
      </c>
      <c r="E55" s="24">
        <v>2.4068859264467446</v>
      </c>
      <c r="F55" s="10">
        <v>2.2666023936431485</v>
      </c>
      <c r="G55" s="10">
        <v>2.1463593655257811</v>
      </c>
      <c r="H55" s="10">
        <v>1.9595667369409391</v>
      </c>
      <c r="I55" s="10">
        <v>1.8705077127859373</v>
      </c>
      <c r="J55" s="10">
        <v>1.798990617631163</v>
      </c>
      <c r="K55" s="10">
        <v>1.7350016377558386</v>
      </c>
      <c r="M55" s="106"/>
      <c r="N55" s="140">
        <v>0.1</v>
      </c>
      <c r="O55" s="24">
        <f t="shared" si="5"/>
        <v>0.87833376525857854</v>
      </c>
      <c r="P55" s="10">
        <f t="shared" si="5"/>
        <v>0.81828196736624981</v>
      </c>
      <c r="Q55" s="10">
        <f t="shared" si="5"/>
        <v>0.76377308849544456</v>
      </c>
      <c r="R55" s="10">
        <f t="shared" si="5"/>
        <v>0.67272339622554944</v>
      </c>
      <c r="S55" s="10">
        <f t="shared" si="5"/>
        <v>0.62620989817951256</v>
      </c>
      <c r="T55" s="10">
        <f t="shared" si="5"/>
        <v>0.58722573963026203</v>
      </c>
      <c r="U55" s="10">
        <f t="shared" si="5"/>
        <v>0.55100835734986897</v>
      </c>
    </row>
    <row r="56" spans="1:21" s="29" customFormat="1" ht="13" x14ac:dyDescent="0.15">
      <c r="C56" s="106"/>
      <c r="D56" s="136">
        <v>0.15</v>
      </c>
      <c r="E56" s="24">
        <v>3.0450769578505081</v>
      </c>
      <c r="F56" s="10">
        <v>2.8439085380158535</v>
      </c>
      <c r="G56" s="10">
        <v>2.6714784638718645</v>
      </c>
      <c r="H56" s="10">
        <v>2.4036153927173651</v>
      </c>
      <c r="I56" s="10">
        <v>2.2759035878944762</v>
      </c>
      <c r="J56" s="10">
        <v>2.1733471385670056</v>
      </c>
      <c r="K56" s="10">
        <v>2.0815861049582156</v>
      </c>
      <c r="M56" s="106"/>
      <c r="N56" s="140">
        <v>0.15</v>
      </c>
      <c r="O56" s="24">
        <f t="shared" si="5"/>
        <v>1.1135261743566147</v>
      </c>
      <c r="P56" s="10">
        <f t="shared" si="5"/>
        <v>1.0451793517951191</v>
      </c>
      <c r="Q56" s="10">
        <f t="shared" si="5"/>
        <v>0.98263205094649864</v>
      </c>
      <c r="R56" s="10">
        <f t="shared" si="5"/>
        <v>0.87697401748332626</v>
      </c>
      <c r="S56" s="10">
        <f t="shared" si="5"/>
        <v>0.82237715503930164</v>
      </c>
      <c r="T56" s="10">
        <f t="shared" si="5"/>
        <v>0.77626843935166034</v>
      </c>
      <c r="U56" s="10">
        <f t="shared" si="5"/>
        <v>0.73313015358002365</v>
      </c>
    </row>
    <row r="57" spans="1:21" s="29" customFormat="1" ht="13" x14ac:dyDescent="0.15">
      <c r="C57" s="107" t="s">
        <v>33</v>
      </c>
      <c r="D57" s="136">
        <v>0.2</v>
      </c>
      <c r="E57" s="24">
        <v>3.6431282458834477</v>
      </c>
      <c r="F57" s="10">
        <v>3.3865183808154913</v>
      </c>
      <c r="G57" s="10">
        <v>3.1665670679000986</v>
      </c>
      <c r="H57" s="10">
        <v>2.8248816950063764</v>
      </c>
      <c r="I57" s="10">
        <v>2.66197287944714</v>
      </c>
      <c r="J57" s="10">
        <v>2.5311521639222989</v>
      </c>
      <c r="K57" s="10">
        <v>2.4141020500316519</v>
      </c>
      <c r="M57" s="107" t="s">
        <v>33</v>
      </c>
      <c r="N57" s="140">
        <v>0.2</v>
      </c>
      <c r="O57" s="24">
        <f t="shared" si="5"/>
        <v>1.2928427207785973</v>
      </c>
      <c r="P57" s="10">
        <f t="shared" si="5"/>
        <v>1.2198023673313505</v>
      </c>
      <c r="Q57" s="10">
        <f t="shared" si="5"/>
        <v>1.1526480572016793</v>
      </c>
      <c r="R57" s="10">
        <f t="shared" si="5"/>
        <v>1.0384664858476527</v>
      </c>
      <c r="S57" s="10">
        <f t="shared" si="5"/>
        <v>0.97906753188463536</v>
      </c>
      <c r="T57" s="10">
        <f t="shared" si="5"/>
        <v>0.92867459983577583</v>
      </c>
      <c r="U57" s="10">
        <f t="shared" si="5"/>
        <v>0.88132739602855792</v>
      </c>
    </row>
    <row r="58" spans="1:21" s="29" customFormat="1" ht="13" x14ac:dyDescent="0.15">
      <c r="C58" s="106"/>
      <c r="D58" s="136">
        <v>0.25</v>
      </c>
      <c r="E58" s="24">
        <v>4.2034587677253903</v>
      </c>
      <c r="F58" s="10">
        <v>3.8963417471311295</v>
      </c>
      <c r="G58" s="10">
        <v>3.6330985866217627</v>
      </c>
      <c r="H58" s="31">
        <v>3.2241610982833127</v>
      </c>
      <c r="I58" s="10">
        <v>3.0291878066296865</v>
      </c>
      <c r="J58" s="10">
        <v>2.8726183451502596</v>
      </c>
      <c r="K58" s="10">
        <v>2.7325298796160351</v>
      </c>
      <c r="M58" s="106"/>
      <c r="N58" s="140">
        <v>0.25</v>
      </c>
      <c r="O58" s="24">
        <f t="shared" si="5"/>
        <v>1.4359077025110603</v>
      </c>
      <c r="P58" s="10">
        <f t="shared" si="5"/>
        <v>1.360038099369461</v>
      </c>
      <c r="Q58" s="10">
        <f t="shared" si="5"/>
        <v>1.290085889293054</v>
      </c>
      <c r="R58" s="31">
        <f t="shared" si="5"/>
        <v>1.1706727918461595</v>
      </c>
      <c r="S58" s="10">
        <f t="shared" si="5"/>
        <v>1.1082945329720246</v>
      </c>
      <c r="T58" s="10">
        <f t="shared" si="5"/>
        <v>1.0552239292481556</v>
      </c>
      <c r="U58" s="10">
        <f t="shared" si="5"/>
        <v>1.0052278759094242</v>
      </c>
    </row>
    <row r="59" spans="1:21" s="29" customFormat="1" ht="13" x14ac:dyDescent="0.15">
      <c r="A59" s="29" t="s">
        <v>2</v>
      </c>
      <c r="C59" s="108"/>
      <c r="D59" s="137">
        <v>0.3</v>
      </c>
      <c r="E59" s="24">
        <v>4.7284057555946717</v>
      </c>
      <c r="F59" s="10">
        <v>4.3752360820873886</v>
      </c>
      <c r="G59" s="10">
        <v>4.0725192190811468</v>
      </c>
      <c r="H59" s="10">
        <v>3.6022609476186203</v>
      </c>
      <c r="I59" s="10">
        <v>3.378051121596239</v>
      </c>
      <c r="J59" s="10">
        <v>3.1980038370631148</v>
      </c>
      <c r="K59" s="10">
        <v>3.0369088982703185</v>
      </c>
      <c r="M59" s="108"/>
      <c r="N59" s="141">
        <v>0.3</v>
      </c>
      <c r="O59" s="24">
        <f t="shared" si="5"/>
        <v>1.5535880961327213</v>
      </c>
      <c r="P59" s="10">
        <f t="shared" si="5"/>
        <v>1.4759604799736765</v>
      </c>
      <c r="Q59" s="10">
        <f t="shared" si="5"/>
        <v>1.404261780717095</v>
      </c>
      <c r="R59" s="10">
        <f t="shared" si="5"/>
        <v>1.2815616893320196</v>
      </c>
      <c r="S59" s="10">
        <f t="shared" si="5"/>
        <v>1.2172989519585549</v>
      </c>
      <c r="T59" s="10">
        <f t="shared" si="5"/>
        <v>1.1625268142431611</v>
      </c>
      <c r="U59" s="10">
        <f t="shared" si="5"/>
        <v>1.1108401883368713</v>
      </c>
    </row>
    <row r="60" spans="1:21" s="29" customFormat="1" ht="13" x14ac:dyDescent="0.15"/>
    <row r="61" spans="1:21" s="29" customFormat="1" ht="15" customHeight="1" x14ac:dyDescent="0.15">
      <c r="A61" s="29" t="s">
        <v>2</v>
      </c>
      <c r="C61" s="144" t="s">
        <v>231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</row>
    <row r="62" spans="1:21" s="29" customFormat="1" ht="16" x14ac:dyDescent="0.3">
      <c r="C62" s="36" t="s">
        <v>52</v>
      </c>
      <c r="D62" s="49"/>
      <c r="E62" s="49"/>
      <c r="F62" s="49"/>
      <c r="G62" s="49"/>
      <c r="H62" s="49"/>
      <c r="I62" s="49"/>
      <c r="J62" s="49"/>
      <c r="K62" s="49"/>
      <c r="M62" s="36" t="s">
        <v>53</v>
      </c>
      <c r="N62" s="49"/>
      <c r="O62" s="49"/>
      <c r="P62" s="49"/>
      <c r="Q62" s="49"/>
      <c r="R62" s="49"/>
      <c r="S62" s="49"/>
      <c r="T62" s="49"/>
      <c r="U62" s="49"/>
    </row>
    <row r="63" spans="1:21" s="29" customFormat="1" ht="13" x14ac:dyDescent="0.15">
      <c r="C63" s="32"/>
      <c r="D63" s="22">
        <v>0</v>
      </c>
      <c r="E63" s="51" t="s">
        <v>110</v>
      </c>
      <c r="F63" s="52"/>
      <c r="G63" s="52"/>
      <c r="H63" s="52"/>
      <c r="I63" s="53"/>
      <c r="J63" s="104"/>
      <c r="K63" s="54"/>
      <c r="M63" s="32"/>
      <c r="N63" s="22">
        <v>0</v>
      </c>
      <c r="O63" s="51" t="s">
        <v>110</v>
      </c>
      <c r="P63" s="52"/>
      <c r="Q63" s="52"/>
      <c r="R63" s="52"/>
      <c r="S63" s="53"/>
      <c r="T63" s="104"/>
      <c r="U63" s="54"/>
    </row>
    <row r="64" spans="1:21" s="29" customFormat="1" ht="13" x14ac:dyDescent="0.15">
      <c r="D64" s="138">
        <f>D14</f>
        <v>3.2821077059426069</v>
      </c>
      <c r="E64" s="113">
        <v>300</v>
      </c>
      <c r="F64" s="114">
        <v>400</v>
      </c>
      <c r="G64" s="114">
        <v>500</v>
      </c>
      <c r="H64" s="114">
        <v>636</v>
      </c>
      <c r="I64" s="114">
        <v>800</v>
      </c>
      <c r="J64" s="114">
        <v>900</v>
      </c>
      <c r="K64" s="115">
        <v>1000</v>
      </c>
      <c r="N64" s="138">
        <f>N14</f>
        <v>0</v>
      </c>
      <c r="O64" s="113">
        <v>300</v>
      </c>
      <c r="P64" s="114">
        <v>400</v>
      </c>
      <c r="Q64" s="114">
        <v>500</v>
      </c>
      <c r="R64" s="114">
        <v>636</v>
      </c>
      <c r="S64" s="114">
        <v>800</v>
      </c>
      <c r="T64" s="114">
        <v>900</v>
      </c>
      <c r="U64" s="115">
        <v>1000</v>
      </c>
    </row>
    <row r="65" spans="1:21" s="29" customFormat="1" ht="13" x14ac:dyDescent="0.15">
      <c r="C65" s="105"/>
      <c r="D65" s="135">
        <v>0.05</v>
      </c>
      <c r="E65" s="24">
        <f t="dataTable" ref="E65:K70" dt2D="1" dtr="1" r1="D11" r2="D10"/>
        <v>8.7505016643717326</v>
      </c>
      <c r="F65" s="10">
        <v>6.7466492209350486</v>
      </c>
      <c r="G65" s="10">
        <v>5.5443377548730384</v>
      </c>
      <c r="H65" s="10">
        <v>4.5159455574866652</v>
      </c>
      <c r="I65" s="10">
        <v>3.7408705557800244</v>
      </c>
      <c r="J65" s="10">
        <v>3.4068951485405772</v>
      </c>
      <c r="K65" s="10">
        <v>3.1397148227490193</v>
      </c>
      <c r="M65" s="105"/>
      <c r="N65" s="139">
        <v>0.05</v>
      </c>
      <c r="O65" s="142">
        <f t="shared" ref="O65:U70" si="6">LN(E65)</f>
        <v>2.1691110317971005</v>
      </c>
      <c r="P65" s="143">
        <f t="shared" si="6"/>
        <v>1.9090459699180267</v>
      </c>
      <c r="Q65" s="143">
        <f t="shared" si="6"/>
        <v>1.7127771826280429</v>
      </c>
      <c r="R65" s="143">
        <f t="shared" si="6"/>
        <v>1.507614590742353</v>
      </c>
      <c r="S65" s="143">
        <f t="shared" si="6"/>
        <v>1.3193183532650976</v>
      </c>
      <c r="T65" s="143">
        <f t="shared" si="6"/>
        <v>1.2258013629016433</v>
      </c>
      <c r="U65" s="143">
        <f t="shared" si="6"/>
        <v>1.144131975015138</v>
      </c>
    </row>
    <row r="66" spans="1:21" s="29" customFormat="1" ht="13" x14ac:dyDescent="0.15">
      <c r="C66" s="106"/>
      <c r="D66" s="136">
        <v>0.1</v>
      </c>
      <c r="E66" s="24">
        <v>8.0953315057869766</v>
      </c>
      <c r="F66" s="10">
        <v>6.2043588793402327</v>
      </c>
      <c r="G66" s="10">
        <v>5.069775303472186</v>
      </c>
      <c r="H66" s="10">
        <v>4.0993138800881965</v>
      </c>
      <c r="I66" s="10">
        <v>3.3678999396701164</v>
      </c>
      <c r="J66" s="10">
        <v>3.0527378352623256</v>
      </c>
      <c r="K66" s="10">
        <v>2.800608151736093</v>
      </c>
      <c r="M66" s="106"/>
      <c r="N66" s="140">
        <v>0.1</v>
      </c>
      <c r="O66" s="24">
        <f t="shared" si="6"/>
        <v>2.0912875382104215</v>
      </c>
      <c r="P66" s="10">
        <f t="shared" si="6"/>
        <v>1.8252520900855185</v>
      </c>
      <c r="Q66" s="10">
        <f t="shared" si="6"/>
        <v>1.623296497779205</v>
      </c>
      <c r="R66" s="10">
        <f t="shared" si="6"/>
        <v>1.4108196133863522</v>
      </c>
      <c r="S66" s="10">
        <f t="shared" si="6"/>
        <v>1.2142893868146809</v>
      </c>
      <c r="T66" s="10">
        <f t="shared" si="6"/>
        <v>1.1160388388773665</v>
      </c>
      <c r="U66" s="10">
        <f t="shared" si="6"/>
        <v>1.0298365906458988</v>
      </c>
    </row>
    <row r="67" spans="1:21" s="29" customFormat="1" ht="13" x14ac:dyDescent="0.15">
      <c r="C67" s="106"/>
      <c r="D67" s="136">
        <v>0.15</v>
      </c>
      <c r="E67" s="24">
        <v>7.5338130823930234</v>
      </c>
      <c r="F67" s="10">
        <v>5.7446471907010164</v>
      </c>
      <c r="G67" s="10">
        <v>4.6711476556858145</v>
      </c>
      <c r="H67" s="10">
        <v>3.7529342169306714</v>
      </c>
      <c r="I67" s="10">
        <v>3.0608983531630081</v>
      </c>
      <c r="J67" s="10">
        <v>2.7627040378810075</v>
      </c>
      <c r="K67" s="10">
        <v>2.5241485856554067</v>
      </c>
      <c r="M67" s="106"/>
      <c r="N67" s="140">
        <v>0.15</v>
      </c>
      <c r="O67" s="24">
        <f t="shared" si="6"/>
        <v>2.0194012990859211</v>
      </c>
      <c r="P67" s="10">
        <f t="shared" si="6"/>
        <v>1.7482684978746601</v>
      </c>
      <c r="Q67" s="10">
        <f t="shared" si="6"/>
        <v>1.5414047921712406</v>
      </c>
      <c r="R67" s="10">
        <f t="shared" si="6"/>
        <v>1.3225379918699469</v>
      </c>
      <c r="S67" s="10">
        <f t="shared" si="6"/>
        <v>1.1187084523433062</v>
      </c>
      <c r="T67" s="10">
        <f t="shared" si="6"/>
        <v>1.0162099239827935</v>
      </c>
      <c r="U67" s="10">
        <f t="shared" si="6"/>
        <v>0.92590381206487204</v>
      </c>
    </row>
    <row r="68" spans="1:21" s="29" customFormat="1" ht="13" x14ac:dyDescent="0.15">
      <c r="C68" s="107" t="s">
        <v>33</v>
      </c>
      <c r="D68" s="136">
        <v>0.2</v>
      </c>
      <c r="E68" s="24">
        <v>7.0511460917668973</v>
      </c>
      <c r="F68" s="10">
        <v>5.3538955688251733</v>
      </c>
      <c r="G68" s="10">
        <v>4.3355452550601381</v>
      </c>
      <c r="H68" s="10">
        <v>3.4645034772485368</v>
      </c>
      <c r="I68" s="10">
        <v>2.8080197844125867</v>
      </c>
      <c r="J68" s="10">
        <v>2.5251446972556328</v>
      </c>
      <c r="K68" s="10">
        <v>2.2988446275300696</v>
      </c>
      <c r="M68" s="107" t="s">
        <v>33</v>
      </c>
      <c r="N68" s="140">
        <v>0.2</v>
      </c>
      <c r="O68" s="24">
        <f t="shared" si="6"/>
        <v>1.9531901698197938</v>
      </c>
      <c r="P68" s="10">
        <f t="shared" si="6"/>
        <v>1.6778244396455424</v>
      </c>
      <c r="Q68" s="10">
        <f t="shared" si="6"/>
        <v>1.4668473820368881</v>
      </c>
      <c r="R68" s="10">
        <f t="shared" si="6"/>
        <v>1.2425693257645576</v>
      </c>
      <c r="S68" s="10">
        <f t="shared" si="6"/>
        <v>1.0324795318697217</v>
      </c>
      <c r="T68" s="10">
        <f t="shared" si="6"/>
        <v>0.92629836692922096</v>
      </c>
      <c r="U68" s="10">
        <f t="shared" si="6"/>
        <v>0.83240666086568682</v>
      </c>
    </row>
    <row r="69" spans="1:21" s="29" customFormat="1" ht="13" x14ac:dyDescent="0.15">
      <c r="C69" s="106"/>
      <c r="D69" s="136">
        <v>0.25</v>
      </c>
      <c r="E69" s="24">
        <v>6.6345672314856232</v>
      </c>
      <c r="F69" s="10">
        <v>5.0204200525204676</v>
      </c>
      <c r="G69" s="10">
        <v>4.0519317451413741</v>
      </c>
      <c r="H69" s="31">
        <v>3.2235392306535955</v>
      </c>
      <c r="I69" s="10">
        <v>2.5991992840727334</v>
      </c>
      <c r="J69" s="10">
        <v>2.3301747542452076</v>
      </c>
      <c r="K69" s="10">
        <v>2.1149551303831866</v>
      </c>
      <c r="M69" s="106"/>
      <c r="N69" s="140">
        <v>0.25</v>
      </c>
      <c r="O69" s="24">
        <f t="shared" si="6"/>
        <v>1.8922934405605576</v>
      </c>
      <c r="P69" s="10">
        <f t="shared" si="6"/>
        <v>1.6135136060039033</v>
      </c>
      <c r="Q69" s="10">
        <f t="shared" si="6"/>
        <v>1.3991937415114371</v>
      </c>
      <c r="R69" s="31">
        <f t="shared" si="6"/>
        <v>1.1704798958987921</v>
      </c>
      <c r="S69" s="10">
        <f t="shared" si="6"/>
        <v>0.95520342993132334</v>
      </c>
      <c r="T69" s="10">
        <f t="shared" si="6"/>
        <v>0.84594326658709074</v>
      </c>
      <c r="U69" s="10">
        <f t="shared" si="6"/>
        <v>0.74903359732435315</v>
      </c>
    </row>
    <row r="70" spans="1:21" s="29" customFormat="1" ht="13" x14ac:dyDescent="0.15">
      <c r="A70" s="29" t="s">
        <v>2</v>
      </c>
      <c r="C70" s="108"/>
      <c r="D70" s="137">
        <v>0.3</v>
      </c>
      <c r="E70" s="24">
        <v>6.2731450741262282</v>
      </c>
      <c r="F70" s="10">
        <v>4.7342710555946717</v>
      </c>
      <c r="G70" s="10">
        <v>3.8109466444757376</v>
      </c>
      <c r="H70" s="10">
        <v>3.0211848840218063</v>
      </c>
      <c r="I70" s="10">
        <v>2.4259600277973359</v>
      </c>
      <c r="J70" s="10">
        <v>2.1694810247087428</v>
      </c>
      <c r="K70" s="10">
        <v>1.9642978222378689</v>
      </c>
      <c r="M70" s="108"/>
      <c r="N70" s="141">
        <v>0.3</v>
      </c>
      <c r="O70" s="24">
        <f t="shared" si="6"/>
        <v>1.8362778356009297</v>
      </c>
      <c r="P70" s="10">
        <f t="shared" si="6"/>
        <v>1.5548277666547465</v>
      </c>
      <c r="Q70" s="10">
        <f t="shared" si="6"/>
        <v>1.3378776213937527</v>
      </c>
      <c r="R70" s="10">
        <f t="shared" si="6"/>
        <v>1.105649100141914</v>
      </c>
      <c r="S70" s="10">
        <f t="shared" si="6"/>
        <v>0.8862273337980453</v>
      </c>
      <c r="T70" s="10">
        <f t="shared" si="6"/>
        <v>0.77448797982887019</v>
      </c>
      <c r="U70" s="10">
        <f t="shared" si="6"/>
        <v>0.67513483908663896</v>
      </c>
    </row>
    <row r="71" spans="1:21" s="29" customFormat="1" ht="13" x14ac:dyDescent="0.15"/>
    <row r="72" spans="1:21" s="29" customFormat="1" ht="13" x14ac:dyDescent="0.15"/>
    <row r="73" spans="1:21" s="29" customFormat="1" ht="13" x14ac:dyDescent="0.15"/>
    <row r="74" spans="1:21" s="29" customFormat="1" ht="15" customHeight="1" x14ac:dyDescent="0.15"/>
    <row r="75" spans="1:21" s="29" customFormat="1" ht="15" customHeight="1" x14ac:dyDescent="0.15"/>
    <row r="76" spans="1:21" s="29" customFormat="1" ht="15" customHeight="1" x14ac:dyDescent="0.15"/>
    <row r="77" spans="1:21" s="29" customFormat="1" ht="13" x14ac:dyDescent="0.15"/>
    <row r="78" spans="1:21" s="29" customFormat="1" ht="13" x14ac:dyDescent="0.15"/>
    <row r="79" spans="1:21" s="29" customFormat="1" ht="13" x14ac:dyDescent="0.15"/>
    <row r="80" spans="1:21" s="29" customFormat="1" ht="15" customHeight="1" x14ac:dyDescent="0.15"/>
    <row r="81" spans="5:5" s="29" customFormat="1" ht="15" customHeight="1" x14ac:dyDescent="0.15"/>
    <row r="82" spans="5:5" s="29" customFormat="1" ht="15" customHeight="1" x14ac:dyDescent="0.15"/>
    <row r="84" spans="5:5" x14ac:dyDescent="0.15">
      <c r="E84" s="145"/>
    </row>
  </sheetData>
  <conditionalFormatting sqref="E42:K4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U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5:K7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5:U7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4:K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U5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M460"/>
  <sheetViews>
    <sheetView showGridLines="0" zoomScaleNormal="85" workbookViewId="0">
      <pane xSplit="3" topLeftCell="D1" activePane="topRight" state="frozen"/>
      <selection activeCell="A7" sqref="A7"/>
      <selection pane="topRight"/>
    </sheetView>
  </sheetViews>
  <sheetFormatPr baseColWidth="10" defaultColWidth="8.6640625" defaultRowHeight="13" x14ac:dyDescent="0.15"/>
  <cols>
    <col min="1" max="2" width="1.6640625" style="29" customWidth="1"/>
    <col min="3" max="12" width="25.6640625" style="29" customWidth="1"/>
    <col min="13" max="13" width="20.6640625" style="29" customWidth="1"/>
    <col min="14" max="29" width="13" style="29" customWidth="1"/>
    <col min="30" max="16384" width="8.6640625" style="29"/>
  </cols>
  <sheetData>
    <row r="2" spans="1:13" ht="15.75" customHeight="1" x14ac:dyDescent="0.2">
      <c r="B2" s="30"/>
      <c r="C2" s="1" t="s">
        <v>111</v>
      </c>
    </row>
    <row r="3" spans="1:13" ht="15.75" customHeight="1" x14ac:dyDescent="0.15">
      <c r="C3" s="2" t="s">
        <v>23</v>
      </c>
    </row>
    <row r="5" spans="1:13" ht="15" customHeight="1" x14ac:dyDescent="0.15">
      <c r="A5" s="29" t="s">
        <v>2</v>
      </c>
      <c r="C5" s="20" t="s">
        <v>9</v>
      </c>
      <c r="D5" s="20"/>
      <c r="E5" s="20"/>
      <c r="F5" s="20"/>
      <c r="G5" s="20"/>
      <c r="H5" s="20"/>
      <c r="I5" s="30"/>
      <c r="J5" s="30"/>
      <c r="K5" s="30"/>
      <c r="L5" s="30"/>
      <c r="M5" s="30"/>
    </row>
    <row r="6" spans="1:13" ht="15" customHeight="1" x14ac:dyDescent="0.15">
      <c r="C6" s="22"/>
      <c r="D6" s="22"/>
      <c r="E6" s="22"/>
      <c r="F6" s="22"/>
      <c r="G6" s="22"/>
      <c r="H6" s="22"/>
    </row>
    <row r="7" spans="1:13" ht="15" customHeight="1" x14ac:dyDescent="0.15">
      <c r="C7" s="32" t="s">
        <v>112</v>
      </c>
      <c r="D7" s="22"/>
      <c r="E7" s="22"/>
      <c r="F7" s="22"/>
      <c r="G7" s="22"/>
      <c r="H7" s="22"/>
    </row>
    <row r="8" spans="1:13" ht="15" customHeight="1" x14ac:dyDescent="0.15">
      <c r="C8" s="39" t="s">
        <v>113</v>
      </c>
      <c r="D8" s="92" t="b">
        <v>0</v>
      </c>
      <c r="E8" s="22"/>
      <c r="F8" s="22"/>
      <c r="G8" s="22"/>
      <c r="H8" s="22"/>
    </row>
    <row r="9" spans="1:13" ht="15" customHeight="1" x14ac:dyDescent="0.15">
      <c r="C9" s="39" t="s">
        <v>114</v>
      </c>
      <c r="D9" s="93">
        <v>2</v>
      </c>
      <c r="E9" s="40"/>
      <c r="F9" s="22"/>
      <c r="G9" s="22"/>
      <c r="H9" s="22"/>
    </row>
    <row r="10" spans="1:13" ht="15" customHeight="1" x14ac:dyDescent="0.15">
      <c r="C10" s="43" t="s">
        <v>115</v>
      </c>
      <c r="D10" s="42" t="str">
        <f>INDEX(D13:G13,1,D9)</f>
        <v>Transformative-a</v>
      </c>
      <c r="E10" s="40"/>
      <c r="F10" s="22"/>
      <c r="G10" s="22"/>
      <c r="H10" s="22"/>
    </row>
    <row r="11" spans="1:13" ht="15" customHeight="1" x14ac:dyDescent="0.15">
      <c r="C11" s="39"/>
      <c r="D11" s="41"/>
      <c r="E11" s="40"/>
      <c r="F11" s="22"/>
      <c r="G11" s="22"/>
      <c r="H11" s="22"/>
    </row>
    <row r="12" spans="1:13" ht="15" customHeight="1" x14ac:dyDescent="0.15">
      <c r="C12" s="37" t="s">
        <v>116</v>
      </c>
      <c r="D12" s="6"/>
    </row>
    <row r="13" spans="1:13" ht="15" customHeight="1" x14ac:dyDescent="0.15">
      <c r="C13" s="44" t="s">
        <v>77</v>
      </c>
      <c r="D13" s="45" t="s">
        <v>117</v>
      </c>
      <c r="E13" s="45" t="s">
        <v>118</v>
      </c>
      <c r="F13" s="45" t="s">
        <v>119</v>
      </c>
      <c r="G13" s="45" t="s">
        <v>120</v>
      </c>
    </row>
    <row r="14" spans="1:13" ht="15" customHeight="1" x14ac:dyDescent="0.15">
      <c r="C14" s="5">
        <v>2029</v>
      </c>
      <c r="D14" s="86" t="b">
        <f>FALSE</f>
        <v>0</v>
      </c>
      <c r="E14" s="87" t="b">
        <f>TRUE</f>
        <v>1</v>
      </c>
      <c r="F14" s="87" t="b">
        <f>FALSE</f>
        <v>0</v>
      </c>
      <c r="G14" s="87" t="b">
        <f>TRUE</f>
        <v>1</v>
      </c>
    </row>
    <row r="15" spans="1:13" ht="15" customHeight="1" x14ac:dyDescent="0.15">
      <c r="C15" s="5">
        <v>2030</v>
      </c>
      <c r="D15" s="86" t="b">
        <f>FALSE</f>
        <v>0</v>
      </c>
      <c r="E15" s="87" t="b">
        <f>FALSE</f>
        <v>0</v>
      </c>
      <c r="F15" s="87" t="b">
        <f>TRUE</f>
        <v>1</v>
      </c>
      <c r="G15" s="87" t="b">
        <f>TRUE</f>
        <v>1</v>
      </c>
    </row>
    <row r="16" spans="1:13" ht="15" customHeight="1" x14ac:dyDescent="0.15">
      <c r="C16" s="4"/>
      <c r="D16" s="6"/>
    </row>
    <row r="17" spans="1:13" ht="15" customHeight="1" x14ac:dyDescent="0.15">
      <c r="A17" s="29" t="s">
        <v>2</v>
      </c>
      <c r="C17" s="20" t="s">
        <v>121</v>
      </c>
      <c r="D17" s="20"/>
      <c r="E17" s="20"/>
      <c r="F17" s="20"/>
      <c r="G17" s="20"/>
      <c r="H17" s="20"/>
      <c r="I17" s="30"/>
      <c r="J17" s="30"/>
      <c r="K17" s="30"/>
      <c r="L17" s="30"/>
      <c r="M17" s="30"/>
    </row>
    <row r="18" spans="1:13" ht="15" customHeight="1" x14ac:dyDescent="0.15">
      <c r="C18" s="22"/>
      <c r="D18" s="22"/>
      <c r="E18" s="22"/>
      <c r="F18" s="22"/>
      <c r="G18" s="22"/>
      <c r="H18" s="22"/>
    </row>
    <row r="19" spans="1:13" ht="15" customHeight="1" x14ac:dyDescent="0.3">
      <c r="C19" s="46" t="s">
        <v>77</v>
      </c>
      <c r="D19" s="15" t="s">
        <v>122</v>
      </c>
      <c r="E19" s="15" t="s">
        <v>123</v>
      </c>
      <c r="F19" s="15" t="s">
        <v>124</v>
      </c>
      <c r="G19" s="15" t="s">
        <v>125</v>
      </c>
      <c r="H19" s="15" t="s">
        <v>126</v>
      </c>
      <c r="I19" s="15" t="s">
        <v>127</v>
      </c>
      <c r="J19" s="15" t="s">
        <v>128</v>
      </c>
      <c r="K19" s="15" t="s">
        <v>129</v>
      </c>
      <c r="L19" s="15" t="s">
        <v>130</v>
      </c>
      <c r="M19" s="15" t="s">
        <v>131</v>
      </c>
    </row>
    <row r="20" spans="1:13" ht="15" customHeight="1" x14ac:dyDescent="0.15">
      <c r="C20" s="5">
        <v>2022</v>
      </c>
      <c r="D20" s="23">
        <f>INDEX('Scenario Calculations'!$D$8:$D$130,($D$9-1+IF($D$8,4,0))*16+1,1)</f>
        <v>614.66343914698564</v>
      </c>
      <c r="E20" s="35">
        <f>INDEX('Scenario Calculations'!$E$8:$E$130,($D$9-1+IF($D$8,4,0))*16+1,1)</f>
        <v>0</v>
      </c>
      <c r="F20" s="34">
        <f>INDEX('Scenario Calculations'!$F$8:$F$130,($D$9-1+IF($D$8,4,0))*16+1,1)</f>
        <v>1</v>
      </c>
      <c r="G20" s="33">
        <f>INDEX('Scenario Calculations'!$G$8:$G$130,($D$9-1+IF($D$8,4,0))*16+1,1)</f>
        <v>624</v>
      </c>
      <c r="H20" s="33">
        <f>INDEX('Scenario Calculations'!$H$8:$H$130,($D$9-1+IF($D$8,4,0))*16+1,1)</f>
        <v>623.99999999999989</v>
      </c>
      <c r="I20" s="6">
        <f>INDEX('Scenario Calculations'!$I$8:$I$130,($D$9-1+IF($D$8,4,0))*16+1,1)</f>
        <v>156</v>
      </c>
      <c r="J20" s="33">
        <f>INDEX('Scenario Calculations'!$J$8:$J$130,($D$9-1+IF($D$8,4,0))*16+1,1)</f>
        <v>617.76000000000033</v>
      </c>
      <c r="K20" s="131">
        <f t="shared" ref="K20:K30" si="0">(J20+Yn0)/1000</f>
        <v>26.059708999999994</v>
      </c>
      <c r="L20" s="68">
        <f>INDEX('Scenario Calculations'!$K$8:$K$130,($D$9-1+IF($D$8,4,0))*16+1,1)</f>
        <v>0</v>
      </c>
      <c r="M20" s="130">
        <f>INDEX('Scenario Calculations'!$L$8:$L$130,($D$9-1+IF($D$8,4,0))*16+1,1)</f>
        <v>2.370556018104425E-2</v>
      </c>
    </row>
    <row r="21" spans="1:13" ht="15" customHeight="1" x14ac:dyDescent="0.15">
      <c r="C21" s="5">
        <v>2023</v>
      </c>
      <c r="D21" s="23">
        <f>INDEX('Scenario Calculations'!$D$8:$D$130,($D$9-1+IF($D$8,4,0))*16+2,1)</f>
        <v>614.66343914698564</v>
      </c>
      <c r="E21" s="35">
        <f>INDEX('Scenario Calculations'!$E$8:$E$130,($D$9-1+IF($D$8,4,0))*16+2,1)</f>
        <v>0</v>
      </c>
      <c r="F21" s="34">
        <f>INDEX('Scenario Calculations'!$F$8:$F$130,($D$9-1+IF($D$8,4,0))*16+2,1)</f>
        <v>1</v>
      </c>
      <c r="G21" s="33">
        <f>INDEX('Scenario Calculations'!$G$8:$G$130,($D$9-1+IF($D$8,4,0))*16+2,1)</f>
        <v>624</v>
      </c>
      <c r="H21" s="33">
        <f>INDEX('Scenario Calculations'!$H$8:$H$130,($D$9-1+IF($D$8,4,0))*16+2,1)</f>
        <v>623.99999999999989</v>
      </c>
      <c r="I21" s="6">
        <f>INDEX('Scenario Calculations'!$I$8:$I$130,($D$9-1+IF($D$8,4,0))*16+2,1)</f>
        <v>152.69798459483496</v>
      </c>
      <c r="J21" s="33">
        <f>INDEX('Scenario Calculations'!$J$8:$J$130,($D$9-1+IF($D$8,4,0))*16+2,1)</f>
        <v>617.76000000000033</v>
      </c>
      <c r="K21" s="131">
        <f t="shared" si="0"/>
        <v>26.059708999999994</v>
      </c>
      <c r="L21" s="68">
        <f>INDEX('Scenario Calculations'!$K$8:$K$130,($D$9-1+IF($D$8,4,0))*16+2,1)</f>
        <v>0</v>
      </c>
      <c r="M21" s="130">
        <f>INDEX('Scenario Calculations'!$L$8:$L$130,($D$9-1+IF($D$8,4,0))*16+2,1)</f>
        <v>2.370556018104425E-2</v>
      </c>
    </row>
    <row r="22" spans="1:13" ht="15" customHeight="1" x14ac:dyDescent="0.15">
      <c r="C22" s="5">
        <v>2024</v>
      </c>
      <c r="D22" s="23">
        <f>INDEX('Scenario Calculations'!$D$8:$D$130,($D$9-1+IF($D$8,4,0))*16+3,1)</f>
        <v>2017.3916101855061</v>
      </c>
      <c r="E22" s="35">
        <f>INDEX('Scenario Calculations'!$E$8:$E$130,($D$9-1+IF($D$8,4,0))*16+3,1)</f>
        <v>0</v>
      </c>
      <c r="F22" s="34">
        <f>INDEX('Scenario Calculations'!$F$8:$F$130,($D$9-1+IF($D$8,4,0))*16+3,1)</f>
        <v>1</v>
      </c>
      <c r="G22" s="33">
        <f>INDEX('Scenario Calculations'!$G$8:$G$130,($D$9-1+IF($D$8,4,0))*16+3,1)</f>
        <v>620.69798459483491</v>
      </c>
      <c r="H22" s="33">
        <f>INDEX('Scenario Calculations'!$H$8:$H$130,($D$9-1+IF($D$8,4,0))*16+3,1)</f>
        <v>2048.0352085081863</v>
      </c>
      <c r="I22" s="6">
        <f>INDEX('Scenario Calculations'!$I$8:$I$130,($D$9-1+IF($D$8,4,0))*16+3,1)</f>
        <v>254.66180211541035</v>
      </c>
      <c r="J22" s="33">
        <f>INDEX('Scenario Calculations'!$J$8:$J$130,($D$9-1+IF($D$8,4,0))*16+3,1)</f>
        <v>1361.9262333854456</v>
      </c>
      <c r="K22" s="131">
        <f t="shared" si="0"/>
        <v>26.80387523338544</v>
      </c>
      <c r="L22" s="68">
        <f>INDEX('Scenario Calculations'!$K$8:$K$130,($D$9-1+IF($D$8,4,0))*16+3,1)</f>
        <v>2.8556198896366958E-2</v>
      </c>
      <c r="M22" s="130">
        <f>INDEX('Scenario Calculations'!$L$8:$L$130,($D$9-1+IF($D$8,4,0))*16+3,1)</f>
        <v>5.0810795884063245E-2</v>
      </c>
    </row>
    <row r="23" spans="1:13" ht="15" customHeight="1" x14ac:dyDescent="0.15">
      <c r="C23" s="5">
        <v>2025</v>
      </c>
      <c r="D23" s="23">
        <f>INDEX('Scenario Calculations'!$D$8:$D$130,($D$9-1+IF($D$8,4,0))*16+4,1)</f>
        <v>2017.3916101855061</v>
      </c>
      <c r="E23" s="35">
        <f>INDEX('Scenario Calculations'!$E$8:$E$130,($D$9-1+IF($D$8,4,0))*16+4,1)</f>
        <v>0</v>
      </c>
      <c r="F23" s="34">
        <f>INDEX('Scenario Calculations'!$F$8:$F$130,($D$9-1+IF($D$8,4,0))*16+4,1)</f>
        <v>1</v>
      </c>
      <c r="G23" s="33">
        <f>INDEX('Scenario Calculations'!$G$8:$G$130,($D$9-1+IF($D$8,4,0))*16+4,1)</f>
        <v>720.18529056153648</v>
      </c>
      <c r="H23" s="33">
        <f>INDEX('Scenario Calculations'!$H$8:$H$130,($D$9-1+IF($D$8,4,0))*16+4,1)</f>
        <v>2048.0352085081863</v>
      </c>
      <c r="I23" s="6">
        <f>INDEX('Scenario Calculations'!$I$8:$I$130,($D$9-1+IF($D$8,4,0))*16+4,1)</f>
        <v>427.17531882644533</v>
      </c>
      <c r="J23" s="33">
        <f>INDEX('Scenario Calculations'!$J$8:$J$130,($D$9-1+IF($D$8,4,0))*16+4,1)</f>
        <v>1431.1161713901588</v>
      </c>
      <c r="K23" s="131">
        <f t="shared" si="0"/>
        <v>26.873065171390152</v>
      </c>
      <c r="L23" s="68">
        <f>INDEX('Scenario Calculations'!$K$8:$K$130,($D$9-1+IF($D$8,4,0))*16+4,1)</f>
        <v>3.1211253026277364E-2</v>
      </c>
      <c r="M23" s="130">
        <f>INDEX('Scenario Calculations'!$L$8:$L$130,($D$9-1+IF($D$8,4,0))*16+4,1)</f>
        <v>5.3254668280779772E-2</v>
      </c>
    </row>
    <row r="24" spans="1:13" ht="15" customHeight="1" x14ac:dyDescent="0.15">
      <c r="C24" s="5">
        <v>2026</v>
      </c>
      <c r="D24" s="23">
        <f>INDEX('Scenario Calculations'!$D$8:$D$130,($D$9-1+IF($D$8,4,0))*16+5,1)</f>
        <v>2017.3916101855061</v>
      </c>
      <c r="E24" s="35">
        <f>INDEX('Scenario Calculations'!$E$8:$E$130,($D$9-1+IF($D$8,4,0))*16+5,1)</f>
        <v>0</v>
      </c>
      <c r="F24" s="34">
        <f>INDEX('Scenario Calculations'!$F$8:$F$130,($D$9-1+IF($D$8,4,0))*16+5,1)</f>
        <v>1</v>
      </c>
      <c r="G24" s="33">
        <f>INDEX('Scenario Calculations'!$G$8:$G$130,($D$9-1+IF($D$8,4,0))*16+5,1)</f>
        <v>967.31428674759763</v>
      </c>
      <c r="H24" s="33">
        <f>INDEX('Scenario Calculations'!$H$8:$H$130,($D$9-1+IF($D$8,4,0))*16+5,1)</f>
        <v>2048.0352085081863</v>
      </c>
      <c r="I24" s="6">
        <f>INDEX('Scenario Calculations'!$I$8:$I$130,($D$9-1+IF($D$8,4,0))*16+5,1)</f>
        <v>782.18903256719409</v>
      </c>
      <c r="J24" s="33">
        <f>INDEX('Scenario Calculations'!$J$8:$J$130,($D$9-1+IF($D$8,4,0))*16+5,1)</f>
        <v>1579.0019789100327</v>
      </c>
      <c r="K24" s="131">
        <f t="shared" si="0"/>
        <v>27.020950978910026</v>
      </c>
      <c r="L24" s="68">
        <f>INDEX('Scenario Calculations'!$K$8:$K$130,($D$9-1+IF($D$8,4,0))*16+5,1)</f>
        <v>3.6886136330610331E-2</v>
      </c>
      <c r="M24" s="130">
        <f>INDEX('Scenario Calculations'!$L$8:$L$130,($D$9-1+IF($D$8,4,0))*16+5,1)</f>
        <v>5.8436210485058454E-2</v>
      </c>
    </row>
    <row r="25" spans="1:13" ht="15" customHeight="1" x14ac:dyDescent="0.15">
      <c r="C25" s="5">
        <v>2027</v>
      </c>
      <c r="D25" s="23">
        <f>INDEX('Scenario Calculations'!$D$8:$D$130,($D$9-1+IF($D$8,4,0))*16+6,1)</f>
        <v>2017.3916101855061</v>
      </c>
      <c r="E25" s="35">
        <f>INDEX('Scenario Calculations'!$E$8:$E$130,($D$9-1+IF($D$8,4,0))*16+6,1)</f>
        <v>0</v>
      </c>
      <c r="F25" s="34">
        <f>INDEX('Scenario Calculations'!$F$8:$F$130,($D$9-1+IF($D$8,4,0))*16+6,1)</f>
        <v>1</v>
      </c>
      <c r="G25" s="33">
        <f>INDEX('Scenario Calculations'!$G$8:$G$130,($D$9-1+IF($D$8,4,0))*16+6,1)</f>
        <v>1507.6747476278924</v>
      </c>
      <c r="H25" s="33">
        <f>INDEX('Scenario Calculations'!$H$8:$H$130,($D$9-1+IF($D$8,4,0))*16+6,1)</f>
        <v>2048.0352085081863</v>
      </c>
      <c r="I25" s="6">
        <f>INDEX('Scenario Calculations'!$I$8:$I$130,($D$9-1+IF($D$8,4,0))*16+6,1)</f>
        <v>917.27914778726768</v>
      </c>
      <c r="J25" s="33">
        <f>INDEX('Scenario Calculations'!$J$8:$J$130,($D$9-1+IF($D$8,4,0))*16+6,1)</f>
        <v>1830.7513392891478</v>
      </c>
      <c r="K25" s="131">
        <f t="shared" si="0"/>
        <v>27.272700339289141</v>
      </c>
      <c r="L25" s="68">
        <f>INDEX('Scenario Calculations'!$K$8:$K$130,($D$9-1+IF($D$8,4,0))*16+6,1)</f>
        <v>4.654661873964705E-2</v>
      </c>
      <c r="M25" s="130">
        <f>INDEX('Scenario Calculations'!$L$8:$L$130,($D$9-1+IF($D$8,4,0))*16+6,1)</f>
        <v>6.7127615399776214E-2</v>
      </c>
    </row>
    <row r="26" spans="1:13" ht="15" customHeight="1" x14ac:dyDescent="0.15">
      <c r="C26" s="5">
        <v>2028</v>
      </c>
      <c r="D26" s="12">
        <f>INDEX('Scenario Calculations'!$D$8:$D$130,($D$9-1+IF($D$8,4,0))*16+7,1)</f>
        <v>2017.3916101855061</v>
      </c>
      <c r="E26" s="34">
        <f>INDEX('Scenario Calculations'!$E$8:$E$130,($D$9-1+IF($D$8,4,0))*16+7,1)</f>
        <v>0.5</v>
      </c>
      <c r="F26" s="34">
        <f>INDEX('Scenario Calculations'!$F$8:$F$130,($D$9-1+IF($D$8,4,0))*16+7,1)</f>
        <v>1.6042613968131942</v>
      </c>
      <c r="G26" s="33">
        <f>INDEX('Scenario Calculations'!$G$8:$G$130,($D$9-1+IF($D$8,4,0))*16+7,1)</f>
        <v>2048.0352085081868</v>
      </c>
      <c r="H26" s="33">
        <f>INDEX('Scenario Calculations'!$H$8:$H$130,($D$9-1+IF($D$8,4,0))*16+7,1)</f>
        <v>4161.5021020639106</v>
      </c>
      <c r="I26" s="33">
        <f>INDEX('Scenario Calculations'!$I$8:$I$130,($D$9-1+IF($D$8,4,0))*16+7,1)</f>
        <v>2625.4756956827705</v>
      </c>
      <c r="J26" s="33">
        <f>INDEX('Scenario Calculations'!$J$8:$J$130,($D$9-1+IF($D$8,4,0))*16+7,1)</f>
        <v>2027.5548564231053</v>
      </c>
      <c r="K26" s="131">
        <f t="shared" si="0"/>
        <v>27.469503856423099</v>
      </c>
      <c r="L26" s="68">
        <f>INDEX('Scenario Calculations'!$K$8:$K$130,($D$9-1+IF($D$8,4,0))*16+7,1)</f>
        <v>5.4098641562847272E-2</v>
      </c>
      <c r="M26" s="130">
        <f>INDEX('Scenario Calculations'!$L$8:$L$130,($D$9-1+IF($D$8,4,0))*16+7,1)</f>
        <v>7.3811120398121391E-2</v>
      </c>
    </row>
    <row r="27" spans="1:13" ht="15" customHeight="1" x14ac:dyDescent="0.15">
      <c r="C27" s="5">
        <v>2029</v>
      </c>
      <c r="D27" s="12">
        <f>INDEX('Scenario Calculations'!$D$8:$D$130,($D$9-1+IF($D$8,4,0))*16+8,1)</f>
        <v>6621.2965496938132</v>
      </c>
      <c r="E27" s="34">
        <f>INDEX('Scenario Calculations'!$E$8:$E$130,($D$9-1+IF($D$8,4,0))*16+8,1)</f>
        <v>0.5</v>
      </c>
      <c r="F27" s="34">
        <f>INDEX('Scenario Calculations'!$F$8:$F$130,($D$9-1+IF($D$8,4,0))*16+8,1)</f>
        <v>1.6042613968131942</v>
      </c>
      <c r="G27" s="33">
        <f>INDEX('Scenario Calculations'!$G$8:$G$130,($D$9-1+IF($D$8,4,0))*16+8,1)</f>
        <v>4161.5021020639106</v>
      </c>
      <c r="H27" s="33">
        <f>INDEX('Scenario Calculations'!$H$8:$H$130,($D$9-1+IF($D$8,4,0))*16+8,1)</f>
        <v>13658.498117480318</v>
      </c>
      <c r="I27" s="33">
        <f>INDEX('Scenario Calculations'!$I$8:$I$130,($D$9-1+IF($D$8,4,0))*16+8,1)</f>
        <v>10537.371540932385</v>
      </c>
      <c r="J27" s="33">
        <f>INDEX('Scenario Calculations'!$J$8:$J$130,($D$9-1+IF($D$8,4,0))*16+8,1)</f>
        <v>5671.6845170777742</v>
      </c>
      <c r="K27" s="131">
        <f t="shared" si="0"/>
        <v>31.113633517077769</v>
      </c>
      <c r="L27" s="68">
        <f>INDEX('Scenario Calculations'!$K$8:$K$130,($D$9-1+IF($D$8,4,0))*16+8,1)</f>
        <v>0.19393633739646798</v>
      </c>
      <c r="M27" s="130">
        <f>INDEX('Scenario Calculations'!$L$8:$L$130,($D$9-1+IF($D$8,4,0))*16+8,1)</f>
        <v>0.18228936565588455</v>
      </c>
    </row>
    <row r="28" spans="1:13" ht="15" customHeight="1" x14ac:dyDescent="0.15">
      <c r="C28" s="5">
        <v>2030</v>
      </c>
      <c r="D28" s="12">
        <f>INDEX('Scenario Calculations'!$D$8:$D$130,($D$9-1+IF($D$8,4,0))*16+9,1)</f>
        <v>6621.2965496938132</v>
      </c>
      <c r="E28" s="34">
        <f>INDEX('Scenario Calculations'!$E$8:$E$130,($D$9-1+IF($D$8,4,0))*16+9,1)</f>
        <v>3.5000000000000003E-2</v>
      </c>
      <c r="F28" s="34">
        <f>INDEX('Scenario Calculations'!$F$8:$F$130,($D$9-1+IF($D$8,4,0))*16+9,1)</f>
        <v>1.0422982977769235</v>
      </c>
      <c r="G28" s="33">
        <f>INDEX('Scenario Calculations'!$G$8:$G$130,($D$9-1+IF($D$8,4,0))*16+9,1)</f>
        <v>13658.498117480318</v>
      </c>
      <c r="H28" s="33">
        <f>INDEX('Scenario Calculations'!$H$8:$H$130,($D$9-1+IF($D$8,4,0))*16+9,1)</f>
        <v>7152.8363683065727</v>
      </c>
      <c r="I28" s="33">
        <f>INDEX('Scenario Calculations'!$I$8:$I$130,($D$9-1+IF($D$8,4,0))*16+9,1)</f>
        <v>-3091.0372198036657</v>
      </c>
      <c r="J28" s="33">
        <f>INDEX('Scenario Calculations'!$J$8:$J$130,($D$9-1+IF($D$8,4,0))*16+9,1)</f>
        <v>8428.7468134347073</v>
      </c>
      <c r="K28" s="131">
        <f t="shared" si="0"/>
        <v>33.8706958134347</v>
      </c>
      <c r="L28" s="68">
        <f>INDEX('Scenario Calculations'!$K$8:$K$130,($D$9-1+IF($D$8,4,0))*16+9,1)</f>
        <v>0.29973423008809141</v>
      </c>
      <c r="M28" s="130">
        <f>INDEX('Scenario Calculations'!$L$8:$L$130,($D$9-1+IF($D$8,4,0))*16+9,1)</f>
        <v>0.24885071330868475</v>
      </c>
    </row>
    <row r="29" spans="1:13" ht="15" customHeight="1" x14ac:dyDescent="0.15">
      <c r="C29" s="5">
        <v>2031</v>
      </c>
      <c r="D29" s="12">
        <f>INDEX('Scenario Calculations'!$D$8:$D$130,($D$9-1+IF($D$8,4,0))*16+10,1)</f>
        <v>6621.2965496938132</v>
      </c>
      <c r="E29" s="34">
        <f>INDEX('Scenario Calculations'!$E$8:$E$130,($D$9-1+IF($D$8,4,0))*16+10,1)</f>
        <v>3.5000000000000003E-2</v>
      </c>
      <c r="F29" s="34">
        <f>INDEX('Scenario Calculations'!$F$8:$F$130,($D$9-1+IF($D$8,4,0))*16+10,1)</f>
        <v>1.0422982977769235</v>
      </c>
      <c r="G29" s="33">
        <f>INDEX('Scenario Calculations'!$G$8:$G$130,($D$9-1+IF($D$8,4,0))*16+10,1)</f>
        <v>7152.8363683065727</v>
      </c>
      <c r="H29" s="33">
        <f>INDEX('Scenario Calculations'!$H$8:$H$130,($D$9-1+IF($D$8,4,0))*16+10,1)</f>
        <v>7152.8363683065727</v>
      </c>
      <c r="I29" s="33">
        <f>INDEX('Scenario Calculations'!$I$8:$I$130,($D$9-1+IF($D$8,4,0))*16+10,1)</f>
        <v>1788.2090920766432</v>
      </c>
      <c r="J29" s="33">
        <f>INDEX('Scenario Calculations'!$J$8:$J$130,($D$9-1+IF($D$8,4,0))*16+10,1)</f>
        <v>6793.936073508853</v>
      </c>
      <c r="K29" s="131">
        <f t="shared" si="0"/>
        <v>32.235885073508847</v>
      </c>
      <c r="L29" s="68">
        <f>INDEX('Scenario Calculations'!$K$8:$K$130,($D$9-1+IF($D$8,4,0))*16+10,1)</f>
        <v>0.23700096088981093</v>
      </c>
      <c r="M29" s="130">
        <f>INDEX('Scenario Calculations'!$L$8:$L$130,($D$9-1+IF($D$8,4,0))*16+10,1)</f>
        <v>0.21075692688494063</v>
      </c>
    </row>
    <row r="30" spans="1:13" ht="15" customHeight="1" x14ac:dyDescent="0.15">
      <c r="C30" s="5">
        <v>2032</v>
      </c>
      <c r="D30" s="12">
        <f>INDEX('Scenario Calculations'!$D$8:$D$130,($D$9-1+IF($D$8,4,0))*16+11,1)</f>
        <v>6621.2965496938132</v>
      </c>
      <c r="E30" s="34">
        <f>INDEX('Scenario Calculations'!$E$8:$E$130,($D$9-1+IF($D$8,4,0))*16+11,1)</f>
        <v>3.5000000000000003E-2</v>
      </c>
      <c r="F30" s="34">
        <f>INDEX('Scenario Calculations'!$F$8:$F$130,($D$9-1+IF($D$8,4,0))*16+11,1)</f>
        <v>1.0422982977769235</v>
      </c>
      <c r="G30" s="33">
        <f>INDEX('Scenario Calculations'!$G$8:$G$130,($D$9-1+IF($D$8,4,0))*16+11,1)</f>
        <v>7152.8363683065727</v>
      </c>
      <c r="H30" s="33">
        <f>INDEX('Scenario Calculations'!$H$8:$H$130,($D$9-1+IF($D$8,4,0))*16+11,1)</f>
        <v>7152.8363683065727</v>
      </c>
      <c r="I30" s="33">
        <f>INDEX('Scenario Calculations'!$I$8:$I$130,($D$9-1+IF($D$8,4,0))*16+11,1)</f>
        <v>1788.2090920766432</v>
      </c>
      <c r="J30" s="33">
        <f>INDEX('Scenario Calculations'!$J$8:$J$130,($D$9-1+IF($D$8,4,0))*16+11,1)</f>
        <v>6793.936073508853</v>
      </c>
      <c r="K30" s="131">
        <f t="shared" si="0"/>
        <v>32.235885073508847</v>
      </c>
      <c r="L30" s="68">
        <f>INDEX('Scenario Calculations'!$K$8:$K$130,($D$9-1+IF($D$8,4,0))*16+11,1)</f>
        <v>0.23700096088981093</v>
      </c>
      <c r="M30" s="130">
        <f>INDEX('Scenario Calculations'!$L$8:$L$130,($D$9-1+IF($D$8,4,0))*16+11,1)</f>
        <v>0.21075692688494063</v>
      </c>
    </row>
    <row r="32" spans="1:13" ht="15" customHeight="1" x14ac:dyDescent="0.15">
      <c r="A32" s="29" t="s">
        <v>2</v>
      </c>
      <c r="C32" s="20" t="s">
        <v>132</v>
      </c>
      <c r="D32" s="20"/>
      <c r="E32" s="20"/>
      <c r="F32" s="20"/>
      <c r="G32" s="20"/>
      <c r="H32" s="20"/>
      <c r="I32" s="30"/>
      <c r="J32" s="30"/>
      <c r="K32" s="30"/>
      <c r="L32" s="30"/>
      <c r="M32" s="30"/>
    </row>
    <row r="33" spans="1:11" ht="15" customHeight="1" x14ac:dyDescent="0.3">
      <c r="C33" s="13"/>
      <c r="D33" s="15"/>
      <c r="E33" s="15"/>
      <c r="F33" s="15"/>
      <c r="G33" s="15"/>
    </row>
    <row r="34" spans="1:11" s="57" customFormat="1" ht="15" customHeight="1" x14ac:dyDescent="0.15">
      <c r="A34" s="57" t="s">
        <v>2</v>
      </c>
      <c r="C34" s="58" t="s">
        <v>133</v>
      </c>
    </row>
    <row r="35" spans="1:11" s="57" customFormat="1" ht="15" customHeight="1" x14ac:dyDescent="0.3">
      <c r="C35" s="46" t="s">
        <v>77</v>
      </c>
      <c r="D35" s="15" t="s">
        <v>134</v>
      </c>
      <c r="E35" s="15" t="s">
        <v>135</v>
      </c>
      <c r="F35" s="15" t="s">
        <v>136</v>
      </c>
      <c r="G35" s="15" t="s">
        <v>137</v>
      </c>
      <c r="H35" s="46" t="s">
        <v>138</v>
      </c>
      <c r="I35" s="46" t="s">
        <v>139</v>
      </c>
      <c r="J35" s="46" t="s">
        <v>140</v>
      </c>
      <c r="K35" s="46" t="s">
        <v>141</v>
      </c>
    </row>
    <row r="36" spans="1:11" s="57" customFormat="1" ht="15" customHeight="1" x14ac:dyDescent="0.15">
      <c r="C36" s="60">
        <v>2022</v>
      </c>
      <c r="D36" s="61">
        <f>'Scenario Calculations'!I8</f>
        <v>156</v>
      </c>
      <c r="E36" s="61">
        <f>'Scenario Calculations'!I24</f>
        <v>156</v>
      </c>
      <c r="F36" s="61">
        <f>'Scenario Calculations'!I40</f>
        <v>156</v>
      </c>
      <c r="G36" s="61">
        <f>'Scenario Calculations'!I56</f>
        <v>156</v>
      </c>
      <c r="H36" s="62">
        <f>'Scenario Calculations'!I72</f>
        <v>156</v>
      </c>
      <c r="I36" s="62">
        <f>'Scenario Calculations'!I88</f>
        <v>156</v>
      </c>
      <c r="J36" s="62">
        <f>'Scenario Calculations'!I104</f>
        <v>156</v>
      </c>
      <c r="K36" s="62">
        <f>'Scenario Calculations'!I120</f>
        <v>156</v>
      </c>
    </row>
    <row r="37" spans="1:11" s="57" customFormat="1" ht="15" customHeight="1" x14ac:dyDescent="0.15">
      <c r="C37" s="60">
        <v>2023</v>
      </c>
      <c r="D37" s="62">
        <f>'Scenario Calculations'!I9</f>
        <v>152.69798459483496</v>
      </c>
      <c r="E37" s="62">
        <f>'Scenario Calculations'!I25</f>
        <v>152.69798459483496</v>
      </c>
      <c r="F37" s="62">
        <f>'Scenario Calculations'!I41</f>
        <v>152.69798459483496</v>
      </c>
      <c r="G37" s="62">
        <f>'Scenario Calculations'!I57</f>
        <v>152.69798459483496</v>
      </c>
      <c r="H37" s="62">
        <f>'Scenario Calculations'!I73</f>
        <v>152.69798459483496</v>
      </c>
      <c r="I37" s="62">
        <f>'Scenario Calculations'!I89</f>
        <v>152.69798459483496</v>
      </c>
      <c r="J37" s="62">
        <f>'Scenario Calculations'!I105</f>
        <v>152.69798459483496</v>
      </c>
      <c r="K37" s="62">
        <f>'Scenario Calculations'!I121</f>
        <v>152.69798459483496</v>
      </c>
    </row>
    <row r="38" spans="1:11" s="57" customFormat="1" ht="15" customHeight="1" x14ac:dyDescent="0.15">
      <c r="C38" s="60">
        <v>2024</v>
      </c>
      <c r="D38" s="62">
        <f>'Scenario Calculations'!I10</f>
        <v>254.66180211541035</v>
      </c>
      <c r="E38" s="62">
        <f>'Scenario Calculations'!I26</f>
        <v>254.66180211541035</v>
      </c>
      <c r="F38" s="62">
        <f>'Scenario Calculations'!I42</f>
        <v>254.66180211541035</v>
      </c>
      <c r="G38" s="62">
        <f>'Scenario Calculations'!I58</f>
        <v>254.66180211541035</v>
      </c>
      <c r="H38" s="62">
        <f>'Scenario Calculations'!I74</f>
        <v>254.66180211541035</v>
      </c>
      <c r="I38" s="62">
        <f>'Scenario Calculations'!I90</f>
        <v>254.66180211541035</v>
      </c>
      <c r="J38" s="62">
        <f>'Scenario Calculations'!I106</f>
        <v>254.66180211541035</v>
      </c>
      <c r="K38" s="62">
        <f>'Scenario Calculations'!I122</f>
        <v>254.66180211541035</v>
      </c>
    </row>
    <row r="39" spans="1:11" s="57" customFormat="1" x14ac:dyDescent="0.15">
      <c r="C39" s="60">
        <v>2025</v>
      </c>
      <c r="D39" s="62">
        <f>'Scenario Calculations'!I11</f>
        <v>427.17531882644533</v>
      </c>
      <c r="E39" s="62">
        <f>'Scenario Calculations'!I27</f>
        <v>427.17531882644533</v>
      </c>
      <c r="F39" s="62">
        <f>'Scenario Calculations'!I43</f>
        <v>427.17531882644533</v>
      </c>
      <c r="G39" s="62">
        <f>'Scenario Calculations'!I59</f>
        <v>427.17531882644533</v>
      </c>
      <c r="H39" s="62">
        <f>'Scenario Calculations'!I75</f>
        <v>427.17531882644533</v>
      </c>
      <c r="I39" s="62">
        <f>'Scenario Calculations'!I91</f>
        <v>427.17531882644533</v>
      </c>
      <c r="J39" s="62">
        <f>'Scenario Calculations'!I107</f>
        <v>427.17531882644533</v>
      </c>
      <c r="K39" s="62">
        <f>'Scenario Calculations'!I123</f>
        <v>427.17531882644533</v>
      </c>
    </row>
    <row r="40" spans="1:11" s="57" customFormat="1" ht="15" customHeight="1" x14ac:dyDescent="0.15">
      <c r="C40" s="60">
        <v>2026</v>
      </c>
      <c r="D40" s="62">
        <f>'Scenario Calculations'!I12</f>
        <v>782.18903256719409</v>
      </c>
      <c r="E40" s="62">
        <f>'Scenario Calculations'!I28</f>
        <v>782.18903256719409</v>
      </c>
      <c r="F40" s="62">
        <f>'Scenario Calculations'!I44</f>
        <v>782.18903256719409</v>
      </c>
      <c r="G40" s="62">
        <f>'Scenario Calculations'!I60</f>
        <v>782.18903256719409</v>
      </c>
      <c r="H40" s="62">
        <f>'Scenario Calculations'!I76</f>
        <v>782.18903256719409</v>
      </c>
      <c r="I40" s="62">
        <f>'Scenario Calculations'!I92</f>
        <v>782.18903256719409</v>
      </c>
      <c r="J40" s="62">
        <f>'Scenario Calculations'!I108</f>
        <v>782.18903256719409</v>
      </c>
      <c r="K40" s="62">
        <f>'Scenario Calculations'!I124</f>
        <v>782.18903256719409</v>
      </c>
    </row>
    <row r="41" spans="1:11" s="57" customFormat="1" x14ac:dyDescent="0.15">
      <c r="C41" s="60">
        <v>2027</v>
      </c>
      <c r="D41" s="62">
        <f>'Scenario Calculations'!I13</f>
        <v>917.27914778726768</v>
      </c>
      <c r="E41" s="62">
        <f>'Scenario Calculations'!I29</f>
        <v>917.27914778726768</v>
      </c>
      <c r="F41" s="62">
        <f>'Scenario Calculations'!I45</f>
        <v>917.27914778726768</v>
      </c>
      <c r="G41" s="62">
        <f>'Scenario Calculations'!I61</f>
        <v>917.27914778726768</v>
      </c>
      <c r="H41" s="61">
        <f>'Scenario Calculations'!I77</f>
        <v>917.27914778726768</v>
      </c>
      <c r="I41" s="61">
        <f>'Scenario Calculations'!I93</f>
        <v>917.27914778726768</v>
      </c>
      <c r="J41" s="62">
        <f>'Scenario Calculations'!I109</f>
        <v>917.27914778726768</v>
      </c>
      <c r="K41" s="62">
        <f>'Scenario Calculations'!I125</f>
        <v>917.27914778726768</v>
      </c>
    </row>
    <row r="42" spans="1:11" s="57" customFormat="1" ht="15" customHeight="1" x14ac:dyDescent="0.15">
      <c r="C42" s="60">
        <v>2028</v>
      </c>
      <c r="D42" s="62">
        <f>'Scenario Calculations'!I14</f>
        <v>2625.4756956827705</v>
      </c>
      <c r="E42" s="62">
        <f>'Scenario Calculations'!I30</f>
        <v>2625.4756956827705</v>
      </c>
      <c r="F42" s="62">
        <f>'Scenario Calculations'!I46</f>
        <v>2625.4756956827705</v>
      </c>
      <c r="G42" s="62">
        <f>'Scenario Calculations'!I62</f>
        <v>2625.4756956827705</v>
      </c>
      <c r="H42" s="62">
        <f>'Scenario Calculations'!I78</f>
        <v>1216.4977666456211</v>
      </c>
      <c r="I42" s="62">
        <f>'Scenario Calculations'!I94</f>
        <v>1216.4977666456211</v>
      </c>
      <c r="J42" s="62">
        <f>'Scenario Calculations'!I110</f>
        <v>1216.4977666456211</v>
      </c>
      <c r="K42" s="62">
        <f>'Scenario Calculations'!I126</f>
        <v>1216.4977666456211</v>
      </c>
    </row>
    <row r="43" spans="1:11" s="57" customFormat="1" ht="15" customHeight="1" x14ac:dyDescent="0.15">
      <c r="C43" s="60">
        <v>2029</v>
      </c>
      <c r="D43" s="62">
        <f>'Scenario Calculations'!I15</f>
        <v>1040.3755255159776</v>
      </c>
      <c r="E43" s="62">
        <f>'Scenario Calculations'!I31</f>
        <v>10537.371540932385</v>
      </c>
      <c r="F43" s="62">
        <f>'Scenario Calculations'!I47</f>
        <v>1040.3755255159776</v>
      </c>
      <c r="G43" s="62">
        <f>'Scenario Calculations'!I63</f>
        <v>10537.371540932385</v>
      </c>
      <c r="H43" s="62">
        <f>'Scenario Calculations'!I79</f>
        <v>1157.79035293574</v>
      </c>
      <c r="I43" s="62">
        <f>'Scenario Calculations'!I95</f>
        <v>4323.4556914078757</v>
      </c>
      <c r="J43" s="62">
        <f>'Scenario Calculations'!I111</f>
        <v>1157.79035293574</v>
      </c>
      <c r="K43" s="62">
        <f>'Scenario Calculations'!I127</f>
        <v>4323.4556914078757</v>
      </c>
    </row>
    <row r="44" spans="1:11" s="57" customFormat="1" ht="15" customHeight="1" x14ac:dyDescent="0.15">
      <c r="C44" s="60">
        <v>2030</v>
      </c>
      <c r="D44" s="62">
        <f>'Scenario Calculations'!I16</f>
        <v>-941.78421208024747</v>
      </c>
      <c r="E44" s="62">
        <f>'Scenario Calculations'!I32</f>
        <v>-3091.0372198036657</v>
      </c>
      <c r="F44" s="62">
        <f>'Scenario Calculations'!I48</f>
        <v>4031.7097917586398</v>
      </c>
      <c r="G44" s="62">
        <f>'Scenario Calculations'!I64</f>
        <v>13232.505775655291</v>
      </c>
      <c r="H44" s="62">
        <f>'Scenario Calculations'!I80</f>
        <v>457.93216459707759</v>
      </c>
      <c r="I44" s="62">
        <f>'Scenario Calculations'!I96</f>
        <v>1851.958054337362</v>
      </c>
      <c r="J44" s="62">
        <f>'Scenario Calculations'!I112</f>
        <v>2115.7634992100402</v>
      </c>
      <c r="K44" s="62">
        <f>'Scenario Calculations'!I128</f>
        <v>7293.1390528236807</v>
      </c>
    </row>
    <row r="45" spans="1:11" s="57" customFormat="1" ht="15" customHeight="1" x14ac:dyDescent="0.15">
      <c r="C45" s="60">
        <v>2031</v>
      </c>
      <c r="D45" s="62">
        <f>'Scenario Calculations'!I17</f>
        <v>544.83559111692136</v>
      </c>
      <c r="E45" s="62">
        <f>'Scenario Calculations'!I33</f>
        <v>1788.2090920766432</v>
      </c>
      <c r="F45" s="62">
        <f>'Scenario Calculations'!I49</f>
        <v>1788.2090920766432</v>
      </c>
      <c r="G45" s="62">
        <f>'Scenario Calculations'!I65</f>
        <v>5869.0948409413822</v>
      </c>
      <c r="H45" s="62">
        <f>'Scenario Calculations'!I81</f>
        <v>486.89997343702555</v>
      </c>
      <c r="I45" s="62">
        <f>'Scenario Calculations'!I97</f>
        <v>1830.7084002504557</v>
      </c>
      <c r="J45" s="62">
        <f>'Scenario Calculations'!I113</f>
        <v>2006.5786968322409</v>
      </c>
      <c r="K45" s="62">
        <f>'Scenario Calculations'!I129</f>
        <v>6818.4576488629145</v>
      </c>
    </row>
    <row r="46" spans="1:11" s="57" customFormat="1" ht="15" customHeight="1" x14ac:dyDescent="0.15">
      <c r="C46" s="60">
        <v>2032</v>
      </c>
      <c r="D46" s="62">
        <f>'Scenario Calculations'!I18</f>
        <v>544.83559111692136</v>
      </c>
      <c r="E46" s="62">
        <f>'Scenario Calculations'!I34</f>
        <v>1788.2090920766432</v>
      </c>
      <c r="F46" s="62">
        <f>'Scenario Calculations'!I50</f>
        <v>1788.2090920766432</v>
      </c>
      <c r="G46" s="62">
        <f>'Scenario Calculations'!I66</f>
        <v>5869.0948409413822</v>
      </c>
      <c r="H46" s="62">
        <f>'Scenario Calculations'!I82</f>
        <v>506.21184599699075</v>
      </c>
      <c r="I46" s="62">
        <f>'Scenario Calculations'!I98</f>
        <v>1816.5419641925182</v>
      </c>
      <c r="J46" s="62">
        <f>'Scenario Calculations'!I114</f>
        <v>1933.7888285803751</v>
      </c>
      <c r="K46" s="62">
        <f>'Scenario Calculations'!I130</f>
        <v>6502.0033795557374</v>
      </c>
    </row>
    <row r="47" spans="1:11" s="57" customFormat="1" x14ac:dyDescent="0.15">
      <c r="C47" s="59"/>
    </row>
    <row r="48" spans="1:11" s="57" customFormat="1" x14ac:dyDescent="0.15">
      <c r="C48" s="59"/>
    </row>
    <row r="49" spans="1:11" s="57" customFormat="1" ht="15" customHeight="1" x14ac:dyDescent="0.15">
      <c r="A49" s="57" t="s">
        <v>2</v>
      </c>
      <c r="C49" s="58" t="s">
        <v>142</v>
      </c>
    </row>
    <row r="50" spans="1:11" s="57" customFormat="1" ht="15" customHeight="1" x14ac:dyDescent="0.3">
      <c r="C50" s="46" t="s">
        <v>77</v>
      </c>
      <c r="D50" s="15" t="s">
        <v>134</v>
      </c>
      <c r="E50" s="15" t="s">
        <v>135</v>
      </c>
      <c r="F50" s="15" t="s">
        <v>136</v>
      </c>
      <c r="G50" s="15" t="s">
        <v>137</v>
      </c>
      <c r="H50" s="46" t="s">
        <v>138</v>
      </c>
      <c r="I50" s="46" t="s">
        <v>139</v>
      </c>
      <c r="J50" s="46" t="s">
        <v>140</v>
      </c>
      <c r="K50" s="46" t="s">
        <v>141</v>
      </c>
    </row>
    <row r="51" spans="1:11" s="57" customFormat="1" ht="15" customHeight="1" x14ac:dyDescent="0.15">
      <c r="C51" s="60">
        <v>2022</v>
      </c>
      <c r="D51" s="63">
        <f>'Scenario Calculations'!K8</f>
        <v>0</v>
      </c>
      <c r="E51" s="63">
        <f>'Scenario Calculations'!K24</f>
        <v>0</v>
      </c>
      <c r="F51" s="63">
        <f>'Scenario Calculations'!K40</f>
        <v>0</v>
      </c>
      <c r="G51" s="63">
        <f>'Scenario Calculations'!K56</f>
        <v>0</v>
      </c>
      <c r="H51" s="64">
        <f>'Scenario Calculations'!K72</f>
        <v>0</v>
      </c>
      <c r="I51" s="64">
        <f>'Scenario Calculations'!K88</f>
        <v>0</v>
      </c>
      <c r="J51" s="64">
        <f>'Scenario Calculations'!K104</f>
        <v>0</v>
      </c>
      <c r="K51" s="64">
        <f>'Scenario Calculations'!K120</f>
        <v>0</v>
      </c>
    </row>
    <row r="52" spans="1:11" s="57" customFormat="1" ht="15" customHeight="1" x14ac:dyDescent="0.15">
      <c r="C52" s="60">
        <v>2023</v>
      </c>
      <c r="D52" s="64">
        <f>'Scenario Calculations'!K9</f>
        <v>0</v>
      </c>
      <c r="E52" s="64">
        <f>'Scenario Calculations'!K25</f>
        <v>0</v>
      </c>
      <c r="F52" s="64">
        <f>'Scenario Calculations'!K41</f>
        <v>0</v>
      </c>
      <c r="G52" s="64">
        <f>'Scenario Calculations'!K57</f>
        <v>0</v>
      </c>
      <c r="H52" s="64">
        <f>'Scenario Calculations'!K73</f>
        <v>0</v>
      </c>
      <c r="I52" s="64">
        <f>'Scenario Calculations'!K89</f>
        <v>0</v>
      </c>
      <c r="J52" s="64">
        <f>'Scenario Calculations'!K105</f>
        <v>0</v>
      </c>
      <c r="K52" s="64">
        <f>'Scenario Calculations'!K121</f>
        <v>0</v>
      </c>
    </row>
    <row r="53" spans="1:11" s="57" customFormat="1" ht="15" customHeight="1" x14ac:dyDescent="0.15">
      <c r="C53" s="60">
        <v>2024</v>
      </c>
      <c r="D53" s="64">
        <f>'Scenario Calculations'!K10</f>
        <v>2.8556198896366958E-2</v>
      </c>
      <c r="E53" s="64">
        <f>'Scenario Calculations'!K26</f>
        <v>2.8556198896366958E-2</v>
      </c>
      <c r="F53" s="64">
        <f>'Scenario Calculations'!K42</f>
        <v>2.8556198896366958E-2</v>
      </c>
      <c r="G53" s="64">
        <f>'Scenario Calculations'!K58</f>
        <v>2.8556198896366958E-2</v>
      </c>
      <c r="H53" s="64">
        <f>'Scenario Calculations'!K74</f>
        <v>2.8556198896366958E-2</v>
      </c>
      <c r="I53" s="64">
        <f>'Scenario Calculations'!K90</f>
        <v>2.8556198896366958E-2</v>
      </c>
      <c r="J53" s="64">
        <f>'Scenario Calculations'!K106</f>
        <v>2.8556198896366958E-2</v>
      </c>
      <c r="K53" s="64">
        <f>'Scenario Calculations'!K122</f>
        <v>2.8556198896366958E-2</v>
      </c>
    </row>
    <row r="54" spans="1:11" s="57" customFormat="1" x14ac:dyDescent="0.15">
      <c r="C54" s="60">
        <v>2025</v>
      </c>
      <c r="D54" s="64">
        <f>'Scenario Calculations'!K11</f>
        <v>3.1211253026277364E-2</v>
      </c>
      <c r="E54" s="64">
        <f>'Scenario Calculations'!K27</f>
        <v>3.1211253026277364E-2</v>
      </c>
      <c r="F54" s="64">
        <f>'Scenario Calculations'!K43</f>
        <v>3.1211253026277364E-2</v>
      </c>
      <c r="G54" s="64">
        <f>'Scenario Calculations'!K59</f>
        <v>3.1211253026277364E-2</v>
      </c>
      <c r="H54" s="64">
        <f>'Scenario Calculations'!K75</f>
        <v>3.1211253026277364E-2</v>
      </c>
      <c r="I54" s="64">
        <f>'Scenario Calculations'!K91</f>
        <v>3.1211253026277364E-2</v>
      </c>
      <c r="J54" s="64">
        <f>'Scenario Calculations'!K107</f>
        <v>3.1211253026277364E-2</v>
      </c>
      <c r="K54" s="64">
        <f>'Scenario Calculations'!K123</f>
        <v>3.1211253026277364E-2</v>
      </c>
    </row>
    <row r="55" spans="1:11" s="57" customFormat="1" ht="15" customHeight="1" x14ac:dyDescent="0.15">
      <c r="C55" s="60">
        <v>2026</v>
      </c>
      <c r="D55" s="64">
        <f>'Scenario Calculations'!K12</f>
        <v>3.6886136330610331E-2</v>
      </c>
      <c r="E55" s="64">
        <f>'Scenario Calculations'!K28</f>
        <v>3.6886136330610331E-2</v>
      </c>
      <c r="F55" s="64">
        <f>'Scenario Calculations'!K44</f>
        <v>3.6886136330610331E-2</v>
      </c>
      <c r="G55" s="64">
        <f>'Scenario Calculations'!K60</f>
        <v>3.6886136330610331E-2</v>
      </c>
      <c r="H55" s="64">
        <f>'Scenario Calculations'!K76</f>
        <v>3.6886136330610331E-2</v>
      </c>
      <c r="I55" s="64">
        <f>'Scenario Calculations'!K92</f>
        <v>3.6886136330610331E-2</v>
      </c>
      <c r="J55" s="64">
        <f>'Scenario Calculations'!K108</f>
        <v>3.6886136330610331E-2</v>
      </c>
      <c r="K55" s="64">
        <f>'Scenario Calculations'!K124</f>
        <v>3.6886136330610331E-2</v>
      </c>
    </row>
    <row r="56" spans="1:11" s="57" customFormat="1" x14ac:dyDescent="0.15">
      <c r="C56" s="60">
        <v>2027</v>
      </c>
      <c r="D56" s="64">
        <f>'Scenario Calculations'!K13</f>
        <v>4.654661873964705E-2</v>
      </c>
      <c r="E56" s="64">
        <f>'Scenario Calculations'!K29</f>
        <v>4.654661873964705E-2</v>
      </c>
      <c r="F56" s="64">
        <f>'Scenario Calculations'!K45</f>
        <v>4.654661873964705E-2</v>
      </c>
      <c r="G56" s="64">
        <f>'Scenario Calculations'!K61</f>
        <v>4.654661873964705E-2</v>
      </c>
      <c r="H56" s="63">
        <f>'Scenario Calculations'!K77</f>
        <v>4.654661873964705E-2</v>
      </c>
      <c r="I56" s="63">
        <f>'Scenario Calculations'!K93</f>
        <v>4.654661873964705E-2</v>
      </c>
      <c r="J56" s="64">
        <f>'Scenario Calculations'!K109</f>
        <v>4.654661873964705E-2</v>
      </c>
      <c r="K56" s="64">
        <f>'Scenario Calculations'!K125</f>
        <v>4.654661873964705E-2</v>
      </c>
    </row>
    <row r="57" spans="1:11" s="57" customFormat="1" ht="15" customHeight="1" x14ac:dyDescent="0.15">
      <c r="C57" s="60">
        <v>2028</v>
      </c>
      <c r="D57" s="64">
        <f>'Scenario Calculations'!K14</f>
        <v>5.4098641562847272E-2</v>
      </c>
      <c r="E57" s="64">
        <f>'Scenario Calculations'!K30</f>
        <v>5.4098641562847272E-2</v>
      </c>
      <c r="F57" s="64">
        <f>'Scenario Calculations'!K46</f>
        <v>5.4098641562847272E-2</v>
      </c>
      <c r="G57" s="64">
        <f>'Scenario Calculations'!K62</f>
        <v>5.4098641562847272E-2</v>
      </c>
      <c r="H57" s="64">
        <f>'Scenario Calculations'!K78</f>
        <v>5.4098641562847272E-2</v>
      </c>
      <c r="I57" s="64">
        <f>'Scenario Calculations'!K94</f>
        <v>5.4098641562847272E-2</v>
      </c>
      <c r="J57" s="64">
        <f>'Scenario Calculations'!K110</f>
        <v>5.4098641562847272E-2</v>
      </c>
      <c r="K57" s="64">
        <f>'Scenario Calculations'!K126</f>
        <v>5.4098641562847272E-2</v>
      </c>
    </row>
    <row r="58" spans="1:11" s="57" customFormat="1" ht="15" customHeight="1" x14ac:dyDescent="0.15">
      <c r="C58" s="60">
        <v>2029</v>
      </c>
      <c r="D58" s="64">
        <f>'Scenario Calculations'!K15</f>
        <v>7.484080674150162E-2</v>
      </c>
      <c r="E58" s="64">
        <f>'Scenario Calculations'!K31</f>
        <v>0.19393633739646798</v>
      </c>
      <c r="F58" s="64">
        <f>'Scenario Calculations'!K47</f>
        <v>7.484080674150162E-2</v>
      </c>
      <c r="G58" s="64">
        <f>'Scenario Calculations'!K63</f>
        <v>0.19393633739646798</v>
      </c>
      <c r="H58" s="64">
        <f>'Scenario Calculations'!K79</f>
        <v>6.2156431646994692E-2</v>
      </c>
      <c r="I58" s="64">
        <f>'Scenario Calculations'!K95</f>
        <v>0.16592260587734264</v>
      </c>
      <c r="J58" s="64">
        <f>'Scenario Calculations'!K111</f>
        <v>6.2156431646994692E-2</v>
      </c>
      <c r="K58" s="64">
        <f>'Scenario Calculations'!K127</f>
        <v>0.16592260587734264</v>
      </c>
    </row>
    <row r="59" spans="1:11" s="57" customFormat="1" ht="15" customHeight="1" x14ac:dyDescent="0.15">
      <c r="C59" s="60">
        <v>2030</v>
      </c>
      <c r="D59" s="64">
        <f>'Scenario Calculations'!K16</f>
        <v>7.484080674150162E-2</v>
      </c>
      <c r="E59" s="64">
        <f>'Scenario Calculations'!K32</f>
        <v>0.29973423008809141</v>
      </c>
      <c r="F59" s="64">
        <f>'Scenario Calculations'!K48</f>
        <v>0.19393633739646798</v>
      </c>
      <c r="G59" s="64">
        <f>'Scenario Calculations'!K64</f>
        <v>0.69061858899408035</v>
      </c>
      <c r="H59" s="64">
        <f>'Scenario Calculations'!K80</f>
        <v>6.6785845421514667E-2</v>
      </c>
      <c r="I59" s="64">
        <f>'Scenario Calculations'!K96</f>
        <v>0.2273543336120416</v>
      </c>
      <c r="J59" s="64">
        <f>'Scenario Calculations'!K112</f>
        <v>0.17614677171949777</v>
      </c>
      <c r="K59" s="64">
        <f>'Scenario Calculations'!K128</f>
        <v>0.5307659378264058</v>
      </c>
    </row>
    <row r="60" spans="1:11" s="57" customFormat="1" ht="15" customHeight="1" x14ac:dyDescent="0.15">
      <c r="C60" s="60">
        <v>2031</v>
      </c>
      <c r="D60" s="64">
        <f>'Scenario Calculations'!K17</f>
        <v>5.5727092379021848E-2</v>
      </c>
      <c r="E60" s="64">
        <f>'Scenario Calculations'!K33</f>
        <v>0.23700096088981093</v>
      </c>
      <c r="F60" s="64">
        <f>'Scenario Calculations'!K49</f>
        <v>0.23700096088981093</v>
      </c>
      <c r="G60" s="64">
        <f>'Scenario Calculations'!K65</f>
        <v>0.83196132161509762</v>
      </c>
      <c r="H60" s="64">
        <f>'Scenario Calculations'!K81</f>
        <v>6.3407150959936986E-2</v>
      </c>
      <c r="I60" s="64">
        <f>'Scenario Calculations'!K97</f>
        <v>0.23065151951138918</v>
      </c>
      <c r="J60" s="64">
        <f>'Scenario Calculations'!K113</f>
        <v>0.20021909293531404</v>
      </c>
      <c r="K60" s="64">
        <f>'Scenario Calculations'!K129</f>
        <v>0.66204298761042413</v>
      </c>
    </row>
    <row r="61" spans="1:11" s="57" customFormat="1" ht="15" customHeight="1" x14ac:dyDescent="0.15">
      <c r="C61" s="60">
        <v>2032</v>
      </c>
      <c r="D61" s="64">
        <f>'Scenario Calculations'!K18</f>
        <v>5.5727092379021848E-2</v>
      </c>
      <c r="E61" s="64">
        <f>'Scenario Calculations'!K34</f>
        <v>0.23700096088981093</v>
      </c>
      <c r="F61" s="64">
        <f>'Scenario Calculations'!K50</f>
        <v>0.23700096088981093</v>
      </c>
      <c r="G61" s="64">
        <f>'Scenario Calculations'!K66</f>
        <v>0.83196132161509762</v>
      </c>
      <c r="H61" s="64">
        <f>'Scenario Calculations'!K82</f>
        <v>6.1000309726733093E-2</v>
      </c>
      <c r="I61" s="64">
        <f>'Scenario Calculations'!K98</f>
        <v>0.23280302266985498</v>
      </c>
      <c r="J61" s="64">
        <f>'Scenario Calculations'!K114</f>
        <v>0.21376762938666816</v>
      </c>
      <c r="K61" s="64">
        <f>'Scenario Calculations'!K130</f>
        <v>0.72744093631965967</v>
      </c>
    </row>
    <row r="62" spans="1:11" s="57" customFormat="1" ht="15" customHeight="1" x14ac:dyDescent="0.15">
      <c r="C62" s="60"/>
      <c r="D62" s="62"/>
      <c r="E62" s="62"/>
      <c r="F62" s="62"/>
      <c r="G62" s="62"/>
      <c r="H62" s="62"/>
      <c r="I62" s="62"/>
      <c r="J62" s="62"/>
      <c r="K62" s="62"/>
    </row>
    <row r="63" spans="1:11" s="57" customFormat="1" x14ac:dyDescent="0.15"/>
    <row r="64" spans="1:11" s="57" customFormat="1" ht="15" customHeight="1" x14ac:dyDescent="0.15">
      <c r="A64" s="57" t="s">
        <v>2</v>
      </c>
      <c r="C64" s="58" t="s">
        <v>143</v>
      </c>
    </row>
    <row r="65" spans="1:12" s="57" customFormat="1" ht="15" customHeight="1" x14ac:dyDescent="0.3">
      <c r="C65" s="46" t="s">
        <v>77</v>
      </c>
      <c r="D65" s="15" t="s">
        <v>134</v>
      </c>
      <c r="E65" s="15" t="s">
        <v>135</v>
      </c>
      <c r="F65" s="15" t="s">
        <v>136</v>
      </c>
      <c r="G65" s="15" t="s">
        <v>137</v>
      </c>
      <c r="H65" s="46" t="s">
        <v>138</v>
      </c>
      <c r="I65" s="46" t="s">
        <v>139</v>
      </c>
      <c r="J65" s="46" t="s">
        <v>140</v>
      </c>
      <c r="K65" s="46" t="s">
        <v>141</v>
      </c>
    </row>
    <row r="66" spans="1:12" s="57" customFormat="1" ht="15" customHeight="1" x14ac:dyDescent="0.15">
      <c r="C66" s="60">
        <v>2022</v>
      </c>
      <c r="D66" s="63">
        <f>'Scenario Calculations'!L8</f>
        <v>2.370556018104425E-2</v>
      </c>
      <c r="E66" s="63">
        <f>'Scenario Calculations'!L24</f>
        <v>2.370556018104425E-2</v>
      </c>
      <c r="F66" s="63">
        <f>'Scenario Calculations'!L40</f>
        <v>2.370556018104425E-2</v>
      </c>
      <c r="G66" s="63">
        <f>'Scenario Calculations'!L56</f>
        <v>2.370556018104425E-2</v>
      </c>
      <c r="H66" s="64">
        <f>'Scenario Calculations'!L72</f>
        <v>2.370556018104425E-2</v>
      </c>
      <c r="I66" s="64">
        <f>'Scenario Calculations'!L88</f>
        <v>2.370556018104425E-2</v>
      </c>
      <c r="J66" s="64">
        <f>'Scenario Calculations'!L104</f>
        <v>2.370556018104425E-2</v>
      </c>
      <c r="K66" s="64">
        <f>'Scenario Calculations'!L120</f>
        <v>2.370556018104425E-2</v>
      </c>
    </row>
    <row r="67" spans="1:12" s="57" customFormat="1" ht="15" customHeight="1" x14ac:dyDescent="0.15">
      <c r="C67" s="60">
        <v>2023</v>
      </c>
      <c r="D67" s="64">
        <f>'Scenario Calculations'!L9</f>
        <v>2.370556018104425E-2</v>
      </c>
      <c r="E67" s="64">
        <f>'Scenario Calculations'!L25</f>
        <v>2.370556018104425E-2</v>
      </c>
      <c r="F67" s="64">
        <f>'Scenario Calculations'!L41</f>
        <v>2.370556018104425E-2</v>
      </c>
      <c r="G67" s="64">
        <f>'Scenario Calculations'!L57</f>
        <v>2.370556018104425E-2</v>
      </c>
      <c r="H67" s="64">
        <f>'Scenario Calculations'!L73</f>
        <v>2.370556018104425E-2</v>
      </c>
      <c r="I67" s="64">
        <f>'Scenario Calculations'!L89</f>
        <v>2.370556018104425E-2</v>
      </c>
      <c r="J67" s="64">
        <f>'Scenario Calculations'!L105</f>
        <v>2.370556018104425E-2</v>
      </c>
      <c r="K67" s="64">
        <f>'Scenario Calculations'!L121</f>
        <v>2.370556018104425E-2</v>
      </c>
    </row>
    <row r="68" spans="1:12" s="57" customFormat="1" ht="15" customHeight="1" x14ac:dyDescent="0.15">
      <c r="C68" s="60">
        <v>2024</v>
      </c>
      <c r="D68" s="64">
        <f>'Scenario Calculations'!L10</f>
        <v>5.0810795884063245E-2</v>
      </c>
      <c r="E68" s="64">
        <f>'Scenario Calculations'!L26</f>
        <v>5.0810795884063245E-2</v>
      </c>
      <c r="F68" s="64">
        <f>'Scenario Calculations'!L42</f>
        <v>5.0810795884063245E-2</v>
      </c>
      <c r="G68" s="64">
        <f>'Scenario Calculations'!L58</f>
        <v>5.0810795884063245E-2</v>
      </c>
      <c r="H68" s="64">
        <f>'Scenario Calculations'!L74</f>
        <v>5.0810795884063245E-2</v>
      </c>
      <c r="I68" s="64">
        <f>'Scenario Calculations'!L90</f>
        <v>5.0810795884063245E-2</v>
      </c>
      <c r="J68" s="64">
        <f>'Scenario Calculations'!L106</f>
        <v>5.0810795884063245E-2</v>
      </c>
      <c r="K68" s="64">
        <f>'Scenario Calculations'!L122</f>
        <v>5.0810795884063245E-2</v>
      </c>
    </row>
    <row r="69" spans="1:12" s="57" customFormat="1" x14ac:dyDescent="0.15">
      <c r="C69" s="60">
        <v>2025</v>
      </c>
      <c r="D69" s="64">
        <f>'Scenario Calculations'!L11</f>
        <v>5.3254668280779772E-2</v>
      </c>
      <c r="E69" s="64">
        <f>'Scenario Calculations'!L27</f>
        <v>5.3254668280779772E-2</v>
      </c>
      <c r="F69" s="64">
        <f>'Scenario Calculations'!L43</f>
        <v>5.3254668280779772E-2</v>
      </c>
      <c r="G69" s="64">
        <f>'Scenario Calculations'!L59</f>
        <v>5.3254668280779772E-2</v>
      </c>
      <c r="H69" s="64">
        <f>'Scenario Calculations'!L75</f>
        <v>5.3254668280779772E-2</v>
      </c>
      <c r="I69" s="64">
        <f>'Scenario Calculations'!L91</f>
        <v>5.3254668280779772E-2</v>
      </c>
      <c r="J69" s="64">
        <f>'Scenario Calculations'!L107</f>
        <v>5.3254668280779772E-2</v>
      </c>
      <c r="K69" s="64">
        <f>'Scenario Calculations'!L123</f>
        <v>5.3254668280779772E-2</v>
      </c>
    </row>
    <row r="70" spans="1:12" s="57" customFormat="1" ht="15" customHeight="1" x14ac:dyDescent="0.15">
      <c r="C70" s="60">
        <v>2026</v>
      </c>
      <c r="D70" s="64">
        <f>'Scenario Calculations'!L12</f>
        <v>5.8436210485058454E-2</v>
      </c>
      <c r="E70" s="64">
        <f>'Scenario Calculations'!L28</f>
        <v>5.8436210485058454E-2</v>
      </c>
      <c r="F70" s="64">
        <f>'Scenario Calculations'!L44</f>
        <v>5.8436210485058454E-2</v>
      </c>
      <c r="G70" s="64">
        <f>'Scenario Calculations'!L60</f>
        <v>5.8436210485058454E-2</v>
      </c>
      <c r="H70" s="64">
        <f>'Scenario Calculations'!L76</f>
        <v>5.8436210485058454E-2</v>
      </c>
      <c r="I70" s="64">
        <f>'Scenario Calculations'!L92</f>
        <v>5.8436210485058454E-2</v>
      </c>
      <c r="J70" s="64">
        <f>'Scenario Calculations'!L108</f>
        <v>5.8436210485058454E-2</v>
      </c>
      <c r="K70" s="64">
        <f>'Scenario Calculations'!L124</f>
        <v>5.8436210485058454E-2</v>
      </c>
    </row>
    <row r="71" spans="1:12" s="57" customFormat="1" x14ac:dyDescent="0.15">
      <c r="C71" s="60">
        <v>2027</v>
      </c>
      <c r="D71" s="64">
        <f>'Scenario Calculations'!L13</f>
        <v>6.7127615399776214E-2</v>
      </c>
      <c r="E71" s="64">
        <f>'Scenario Calculations'!L29</f>
        <v>6.7127615399776214E-2</v>
      </c>
      <c r="F71" s="64">
        <f>'Scenario Calculations'!L45</f>
        <v>6.7127615399776214E-2</v>
      </c>
      <c r="G71" s="64">
        <f>'Scenario Calculations'!L61</f>
        <v>6.7127615399776214E-2</v>
      </c>
      <c r="H71" s="63">
        <f>'Scenario Calculations'!L77</f>
        <v>6.7127615399776214E-2</v>
      </c>
      <c r="I71" s="63">
        <f>'Scenario Calculations'!L93</f>
        <v>6.7127615399776214E-2</v>
      </c>
      <c r="J71" s="64">
        <f>'Scenario Calculations'!L109</f>
        <v>6.7127615399776214E-2</v>
      </c>
      <c r="K71" s="64">
        <f>'Scenario Calculations'!L125</f>
        <v>6.7127615399776214E-2</v>
      </c>
    </row>
    <row r="72" spans="1:12" s="57" customFormat="1" ht="15" customHeight="1" x14ac:dyDescent="0.15">
      <c r="C72" s="60">
        <v>2028</v>
      </c>
      <c r="D72" s="64">
        <f>'Scenario Calculations'!L14</f>
        <v>7.3811120398121391E-2</v>
      </c>
      <c r="E72" s="64">
        <f>'Scenario Calculations'!L30</f>
        <v>7.3811120398121391E-2</v>
      </c>
      <c r="F72" s="64">
        <f>'Scenario Calculations'!L46</f>
        <v>7.3811120398121391E-2</v>
      </c>
      <c r="G72" s="64">
        <f>'Scenario Calculations'!L62</f>
        <v>7.3811120398121391E-2</v>
      </c>
      <c r="H72" s="64">
        <f>'Scenario Calculations'!L78</f>
        <v>7.3811120398121391E-2</v>
      </c>
      <c r="I72" s="64">
        <f>'Scenario Calculations'!L94</f>
        <v>7.3811120398121391E-2</v>
      </c>
      <c r="J72" s="64">
        <f>'Scenario Calculations'!L110</f>
        <v>7.3811120398121391E-2</v>
      </c>
      <c r="K72" s="64">
        <f>'Scenario Calculations'!L126</f>
        <v>7.3811120398121391E-2</v>
      </c>
    </row>
    <row r="73" spans="1:12" s="57" customFormat="1" ht="15" customHeight="1" x14ac:dyDescent="0.15">
      <c r="C73" s="60">
        <v>2029</v>
      </c>
      <c r="D73" s="64">
        <f>'Scenario Calculations'!L15</f>
        <v>9.168461627475806E-2</v>
      </c>
      <c r="E73" s="64">
        <f>'Scenario Calculations'!L31</f>
        <v>0.18228936565588455</v>
      </c>
      <c r="F73" s="64">
        <f>'Scenario Calculations'!L47</f>
        <v>9.168461627475806E-2</v>
      </c>
      <c r="G73" s="64">
        <f>'Scenario Calculations'!L63</f>
        <v>0.18228936565588455</v>
      </c>
      <c r="H73" s="64">
        <f>'Scenario Calculations'!L79</f>
        <v>8.0837425891118767E-2</v>
      </c>
      <c r="I73" s="64">
        <f>'Scenario Calculations'!L95</f>
        <v>0.16264215575071908</v>
      </c>
      <c r="J73" s="64">
        <f>'Scenario Calculations'!L111</f>
        <v>8.0837425891118767E-2</v>
      </c>
      <c r="K73" s="64">
        <f>'Scenario Calculations'!L127</f>
        <v>0.16264215575071908</v>
      </c>
    </row>
    <row r="74" spans="1:12" s="57" customFormat="1" ht="15" customHeight="1" x14ac:dyDescent="0.15">
      <c r="C74" s="60">
        <v>2030</v>
      </c>
      <c r="D74" s="64">
        <f>'Scenario Calculations'!L16</f>
        <v>9.168461627475806E-2</v>
      </c>
      <c r="E74" s="64">
        <f>'Scenario Calculations'!L32</f>
        <v>0.24885071330868475</v>
      </c>
      <c r="F74" s="64">
        <f>'Scenario Calculations'!L48</f>
        <v>0.18228936565588455</v>
      </c>
      <c r="G74" s="64">
        <f>'Scenario Calculations'!L64</f>
        <v>0.42252235591479459</v>
      </c>
      <c r="H74" s="64">
        <f>'Scenario Calculations'!L80</f>
        <v>8.48262151123719E-2</v>
      </c>
      <c r="I74" s="64">
        <f>'Scenario Calculations'!L96</f>
        <v>0.20455371926233337</v>
      </c>
      <c r="J74" s="64">
        <f>'Scenario Calculations'!L112</f>
        <v>0.16992125192705568</v>
      </c>
      <c r="K74" s="64">
        <f>'Scenario Calculations'!L128</f>
        <v>0.36221834070515435</v>
      </c>
    </row>
    <row r="75" spans="1:12" s="57" customFormat="1" ht="15" customHeight="1" x14ac:dyDescent="0.15">
      <c r="C75" s="60">
        <v>2031</v>
      </c>
      <c r="D75" s="64">
        <f>'Scenario Calculations'!L17</f>
        <v>7.5239759530153938E-2</v>
      </c>
      <c r="E75" s="64">
        <f>'Scenario Calculations'!L33</f>
        <v>0.21075692688494063</v>
      </c>
      <c r="F75" s="64">
        <f>'Scenario Calculations'!L49</f>
        <v>0.21075692688494063</v>
      </c>
      <c r="G75" s="64">
        <f>'Scenario Calculations'!L65</f>
        <v>0.46707693645069265</v>
      </c>
      <c r="H75" s="64">
        <f>'Scenario Calculations'!L81</f>
        <v>8.1918492895543038E-2</v>
      </c>
      <c r="I75" s="64">
        <f>'Scenario Calculations'!L97</f>
        <v>0.20668489467548218</v>
      </c>
      <c r="J75" s="64">
        <f>'Scenario Calculations'!L113</f>
        <v>0.18656981415677812</v>
      </c>
      <c r="K75" s="64">
        <f>'Scenario Calculations'!L129</f>
        <v>0.41259374932136539</v>
      </c>
    </row>
    <row r="76" spans="1:12" s="57" customFormat="1" ht="15" customHeight="1" x14ac:dyDescent="0.15">
      <c r="C76" s="60">
        <v>2032</v>
      </c>
      <c r="D76" s="64">
        <f>'Scenario Calculations'!L18</f>
        <v>7.5239759530153938E-2</v>
      </c>
      <c r="E76" s="64">
        <f>'Scenario Calculations'!L34</f>
        <v>0.21075692688494063</v>
      </c>
      <c r="F76" s="64">
        <f>'Scenario Calculations'!L50</f>
        <v>0.21075692688494063</v>
      </c>
      <c r="G76" s="64">
        <f>'Scenario Calculations'!L66</f>
        <v>0.46707693645069265</v>
      </c>
      <c r="H76" s="64">
        <f>'Scenario Calculations'!L82</f>
        <v>7.9835857851534325E-2</v>
      </c>
      <c r="I76" s="64">
        <f>'Scenario Calculations'!L98</f>
        <v>0.2080693980579186</v>
      </c>
      <c r="J76" s="64">
        <f>'Scenario Calculations'!L114</f>
        <v>0.19564963162488574</v>
      </c>
      <c r="K76" s="64">
        <f>'Scenario Calculations'!L130</f>
        <v>0.43483194169349348</v>
      </c>
    </row>
    <row r="77" spans="1:12" s="57" customFormat="1" x14ac:dyDescent="0.15"/>
    <row r="78" spans="1:12" ht="15" customHeight="1" x14ac:dyDescent="0.15">
      <c r="A78" s="29" t="s">
        <v>2</v>
      </c>
      <c r="C78" s="20" t="s">
        <v>286</v>
      </c>
      <c r="D78" s="20"/>
      <c r="E78" s="20"/>
      <c r="F78" s="20"/>
      <c r="G78" s="20"/>
      <c r="H78" s="20"/>
      <c r="I78" s="30"/>
      <c r="J78" s="30"/>
      <c r="K78" s="30"/>
      <c r="L78" s="30"/>
    </row>
    <row r="80" spans="1:12" x14ac:dyDescent="0.15">
      <c r="C80" s="29" t="s">
        <v>66</v>
      </c>
      <c r="D80" s="146">
        <f>p_star</f>
        <v>3.5000000000000003E-2</v>
      </c>
    </row>
    <row r="81" spans="1:13" x14ac:dyDescent="0.15">
      <c r="C81" s="29" t="s">
        <v>144</v>
      </c>
      <c r="D81" s="65">
        <f>(1-D80)+D80*exp_xi^(1-alpha)</f>
        <v>1.0422982977769235</v>
      </c>
    </row>
    <row r="83" spans="1:13" ht="17" x14ac:dyDescent="0.3">
      <c r="C83" s="46" t="s">
        <v>114</v>
      </c>
      <c r="D83" s="46"/>
      <c r="E83" s="15" t="s">
        <v>122</v>
      </c>
      <c r="F83" s="15" t="s">
        <v>145</v>
      </c>
      <c r="G83" s="15" t="s">
        <v>146</v>
      </c>
      <c r="H83" s="46" t="s">
        <v>128</v>
      </c>
      <c r="I83" s="46" t="s">
        <v>147</v>
      </c>
      <c r="J83" s="46" t="s">
        <v>148</v>
      </c>
      <c r="K83" s="46" t="s">
        <v>149</v>
      </c>
      <c r="L83" s="46" t="s">
        <v>292</v>
      </c>
    </row>
    <row r="84" spans="1:13" x14ac:dyDescent="0.15">
      <c r="C84" s="66" t="s">
        <v>258</v>
      </c>
      <c r="D84" s="67">
        <v>0</v>
      </c>
      <c r="E84" s="33">
        <f>z0</f>
        <v>614.66343914698564</v>
      </c>
      <c r="F84" s="47">
        <f>K0</f>
        <v>624</v>
      </c>
      <c r="G84" s="47">
        <f>(r_a+delta_a)*K0</f>
        <v>205.92000000000002</v>
      </c>
      <c r="H84" s="47">
        <f>Ya0</f>
        <v>617.76000000000033</v>
      </c>
      <c r="I84" s="68">
        <f>Ya0_share</f>
        <v>2.370556018104425E-2</v>
      </c>
      <c r="J84" s="149" t="s">
        <v>259</v>
      </c>
      <c r="K84" s="121">
        <f>I_pre</f>
        <v>156</v>
      </c>
      <c r="L84" s="131">
        <f>F84*'Capex Build'!$H$38/cost_per_GW</f>
        <v>17.69035287363392</v>
      </c>
    </row>
    <row r="85" spans="1:13" x14ac:dyDescent="0.15">
      <c r="C85" s="66" t="s">
        <v>117</v>
      </c>
      <c r="D85" s="67">
        <v>1</v>
      </c>
      <c r="E85" s="33">
        <f>_z1*exp_xi^0</f>
        <v>2017.3916101855061</v>
      </c>
      <c r="F85" s="47">
        <f>E85*(alpha*$D$81/(r_a+delta_a))^(1/(1-alpha))</f>
        <v>2179.3423644676855</v>
      </c>
      <c r="G85" s="47">
        <f>(r_a + delta_a)/$D$81*F85</f>
        <v>689.99727027114295</v>
      </c>
      <c r="H85" s="47">
        <f>G85/alpha</f>
        <v>2069.9918108134289</v>
      </c>
      <c r="I85" s="68">
        <f>H85/(H85+Yn0)</f>
        <v>7.5239759530153882E-2</v>
      </c>
      <c r="J85" s="55">
        <f>(H85+Yn0)/GDP_0-1</f>
        <v>5.5727092379021848E-2</v>
      </c>
      <c r="K85" s="121">
        <f>delta_a*F85</f>
        <v>544.83559111692136</v>
      </c>
      <c r="L85" s="131">
        <f>F85*'Capex Build'!$H$38/cost_per_GW</f>
        <v>61.784191442136319</v>
      </c>
    </row>
    <row r="86" spans="1:13" x14ac:dyDescent="0.15">
      <c r="C86" s="66" t="s">
        <v>118</v>
      </c>
      <c r="D86" s="67">
        <v>2</v>
      </c>
      <c r="E86" s="33">
        <f>_z1*exp_xi^1</f>
        <v>6621.2965496938132</v>
      </c>
      <c r="F86" s="47">
        <f>E86*(alpha*$D$81/(r_a+delta_a))^(1/(1-alpha))</f>
        <v>7152.8363683065727</v>
      </c>
      <c r="G86" s="47">
        <f>(r_a + delta_a)/$D$81*F86</f>
        <v>2264.6453578362825</v>
      </c>
      <c r="H86" s="47">
        <f>G86/alpha</f>
        <v>6793.9360735088476</v>
      </c>
      <c r="I86" s="68">
        <f>H86/(H86+Yn0)</f>
        <v>0.21075692688494049</v>
      </c>
      <c r="J86" s="55">
        <f>(H86+Yn0)/GDP_0-1</f>
        <v>0.23700096088981071</v>
      </c>
      <c r="K86" s="121">
        <f>delta_a*F86</f>
        <v>1788.2090920766432</v>
      </c>
      <c r="L86" s="131">
        <f>F86*'Capex Build'!$H$38/cost_per_GW</f>
        <v>202.78237083766891</v>
      </c>
    </row>
    <row r="87" spans="1:13" x14ac:dyDescent="0.15">
      <c r="C87" s="66" t="s">
        <v>119</v>
      </c>
      <c r="D87" s="67">
        <v>3</v>
      </c>
      <c r="E87" s="33">
        <f>_z1*exp_xi^1</f>
        <v>6621.2965496938132</v>
      </c>
      <c r="F87" s="47">
        <f>E87*(alpha*$D$81/(r_a+delta_a))^(1/(1-alpha))</f>
        <v>7152.8363683065727</v>
      </c>
      <c r="G87" s="47">
        <f>(r_a + delta_a)/$D$81*F87</f>
        <v>2264.6453578362825</v>
      </c>
      <c r="H87" s="47">
        <f>G87/alpha</f>
        <v>6793.9360735088476</v>
      </c>
      <c r="I87" s="68">
        <f>H87/(H87+Yn0)</f>
        <v>0.21075692688494049</v>
      </c>
      <c r="J87" s="55">
        <f>(H87+Yn0)/GDP_0-1</f>
        <v>0.23700096088981071</v>
      </c>
      <c r="K87" s="121">
        <f>delta_a*F87</f>
        <v>1788.2090920766432</v>
      </c>
      <c r="L87" s="131">
        <f>F87*'Capex Build'!$H$38/cost_per_GW</f>
        <v>202.78237083766891</v>
      </c>
    </row>
    <row r="88" spans="1:13" x14ac:dyDescent="0.15">
      <c r="C88" s="66" t="s">
        <v>120</v>
      </c>
      <c r="D88" s="67">
        <v>4</v>
      </c>
      <c r="E88" s="33">
        <f>_z1*exp_xi^2</f>
        <v>21731.808429081259</v>
      </c>
      <c r="F88" s="47">
        <f>E88*(alpha*$D$81/(r_a+delta_a))^(1/(1-alpha))</f>
        <v>23476.379363765529</v>
      </c>
      <c r="G88" s="47">
        <f>(r_a + delta_a)/$D$81*F88</f>
        <v>7432.8099801816134</v>
      </c>
      <c r="H88" s="47">
        <f>G88/alpha</f>
        <v>22298.42994054484</v>
      </c>
      <c r="I88" s="68">
        <f>H88/(H88+Yn0)</f>
        <v>0.46707693645069254</v>
      </c>
      <c r="J88" s="55">
        <f>(H88+Yn0)/GDP_0-1</f>
        <v>0.83196132161509717</v>
      </c>
      <c r="K88" s="121">
        <f>delta_a*F88</f>
        <v>5869.0948409413822</v>
      </c>
      <c r="L88" s="131">
        <f>F88*'Capex Build'!$H$38/cost_per_GW</f>
        <v>665.5535819556244</v>
      </c>
    </row>
    <row r="90" spans="1:13" ht="15" customHeight="1" x14ac:dyDescent="0.15">
      <c r="A90" s="29" t="s">
        <v>2</v>
      </c>
      <c r="C90" s="20" t="s">
        <v>150</v>
      </c>
      <c r="D90" s="20"/>
      <c r="E90" s="20"/>
      <c r="F90" s="20"/>
      <c r="G90" s="20"/>
      <c r="H90" s="20"/>
      <c r="I90" s="30"/>
      <c r="J90" s="30"/>
      <c r="K90" s="30"/>
      <c r="L90" s="30"/>
      <c r="M90" s="30"/>
    </row>
    <row r="91" spans="1:13" x14ac:dyDescent="0.15">
      <c r="C91" s="2" t="s">
        <v>287</v>
      </c>
    </row>
    <row r="93" spans="1:13" x14ac:dyDescent="0.15">
      <c r="C93" s="69" t="s">
        <v>151</v>
      </c>
    </row>
    <row r="94" spans="1:13" ht="16" x14ac:dyDescent="0.3">
      <c r="C94" s="72" t="s">
        <v>77</v>
      </c>
      <c r="D94" s="72" t="s">
        <v>152</v>
      </c>
      <c r="E94" s="72" t="s">
        <v>153</v>
      </c>
      <c r="F94" s="72" t="s">
        <v>154</v>
      </c>
      <c r="G94" s="72" t="s">
        <v>155</v>
      </c>
      <c r="H94" s="72" t="s">
        <v>156</v>
      </c>
    </row>
    <row r="95" spans="1:13" x14ac:dyDescent="0.15">
      <c r="C95" s="29">
        <v>2030</v>
      </c>
      <c r="D95" s="55">
        <f>(SUMPRODUCT('Scenario Calculations'!E140:Y140,'Scenario Calculations'!E167:Y167)+Yn0)/GDP_0-1</f>
        <v>5.5727092379021848E-2</v>
      </c>
      <c r="E95" s="55">
        <f>(INDEX('Scenario Calculations'!$E$167:$Y$167,1,'Scenario Calculations'!D181+1)+Yn0)/GDP_0-1</f>
        <v>5.5727092379021848E-2</v>
      </c>
      <c r="F95" s="55">
        <f>(INDEX('Scenario Calculations'!$E$167:$Y$167,1,'Scenario Calculations'!E181+1)+Yn0)/GDP_0-1</f>
        <v>5.5727092379021848E-2</v>
      </c>
      <c r="G95" s="55">
        <f>(INDEX('Scenario Calculations'!$E$167:$Y$167,1,'Scenario Calculations'!F181+1)+Yn0)/GDP_0-1</f>
        <v>5.5727092379021848E-2</v>
      </c>
      <c r="H95" s="55">
        <f>(INDEX('Scenario Calculations'!$E$167:$Y$167,1,'Scenario Calculations'!G181+1)+Yn0)/GDP_0-1</f>
        <v>5.5727092379021848E-2</v>
      </c>
    </row>
    <row r="96" spans="1:13" x14ac:dyDescent="0.15">
      <c r="C96" s="29">
        <v>2031</v>
      </c>
      <c r="D96" s="55">
        <f>(SUMPRODUCT('Scenario Calculations'!E141:Y141,'Scenario Calculations'!E167:Y167)+Yn0)/GDP_0-1</f>
        <v>6.2071677776899703E-2</v>
      </c>
      <c r="E96" s="55">
        <f>(INDEX('Scenario Calculations'!$E$167:$Y$167,1,'Scenario Calculations'!D182+1)+Yn0)/GDP_0-1</f>
        <v>5.5727092379021848E-2</v>
      </c>
      <c r="F96" s="55">
        <f>(INDEX('Scenario Calculations'!$E$167:$Y$167,1,'Scenario Calculations'!E182+1)+Yn0)/GDP_0-1</f>
        <v>5.5727092379021848E-2</v>
      </c>
      <c r="G96" s="55">
        <f>(INDEX('Scenario Calculations'!$E$167:$Y$167,1,'Scenario Calculations'!F182+1)+Yn0)/GDP_0-1</f>
        <v>5.5727092379021848E-2</v>
      </c>
      <c r="H96" s="55">
        <f>(INDEX('Scenario Calculations'!$E$167:$Y$167,1,'Scenario Calculations'!G182+1)+Yn0)/GDP_0-1</f>
        <v>5.5727092379021848E-2</v>
      </c>
    </row>
    <row r="97" spans="3:8" x14ac:dyDescent="0.15">
      <c r="C97" s="29">
        <v>2032</v>
      </c>
      <c r="D97" s="55">
        <f>(SUMPRODUCT('Scenario Calculations'!E142:Y142,'Scenario Calculations'!E167:Y167)+Yn0)/GDP_0-1</f>
        <v>6.8923029127739843E-2</v>
      </c>
      <c r="E97" s="55">
        <f>(INDEX('Scenario Calculations'!$E$167:$Y$167,1,'Scenario Calculations'!D183+1)+Yn0)/GDP_0-1</f>
        <v>5.5727092379021848E-2</v>
      </c>
      <c r="F97" s="55">
        <f>(INDEX('Scenario Calculations'!$E$167:$Y$167,1,'Scenario Calculations'!E183+1)+Yn0)/GDP_0-1</f>
        <v>5.5727092379021848E-2</v>
      </c>
      <c r="G97" s="55">
        <f>(INDEX('Scenario Calculations'!$E$167:$Y$167,1,'Scenario Calculations'!F183+1)+Yn0)/GDP_0-1</f>
        <v>5.5727092379021848E-2</v>
      </c>
      <c r="H97" s="55">
        <f>(INDEX('Scenario Calculations'!$E$167:$Y$167,1,'Scenario Calculations'!G183+1)+Yn0)/GDP_0-1</f>
        <v>5.5727092379021848E-2</v>
      </c>
    </row>
    <row r="98" spans="3:8" x14ac:dyDescent="0.15">
      <c r="C98" s="29">
        <v>2033</v>
      </c>
      <c r="D98" s="55">
        <f>(SUMPRODUCT('Scenario Calculations'!E143:Y143,'Scenario Calculations'!E167:Y167)+Yn0)/GDP_0-1</f>
        <v>7.6321623738565769E-2</v>
      </c>
      <c r="E98" s="55">
        <f>(INDEX('Scenario Calculations'!$E$167:$Y$167,1,'Scenario Calculations'!D184+1)+Yn0)/GDP_0-1</f>
        <v>5.5727092379021848E-2</v>
      </c>
      <c r="F98" s="55">
        <f>(INDEX('Scenario Calculations'!$E$167:$Y$167,1,'Scenario Calculations'!E184+1)+Yn0)/GDP_0-1</f>
        <v>5.5727092379021848E-2</v>
      </c>
      <c r="G98" s="55">
        <f>(INDEX('Scenario Calculations'!$E$167:$Y$167,1,'Scenario Calculations'!F184+1)+Yn0)/GDP_0-1</f>
        <v>5.5727092379021848E-2</v>
      </c>
      <c r="H98" s="55">
        <f>(INDEX('Scenario Calculations'!$E$167:$Y$167,1,'Scenario Calculations'!G184+1)+Yn0)/GDP_0-1</f>
        <v>0.23700096088981093</v>
      </c>
    </row>
    <row r="99" spans="3:8" x14ac:dyDescent="0.15">
      <c r="C99" s="29">
        <v>2034</v>
      </c>
      <c r="D99" s="55">
        <f>(SUMPRODUCT('Scenario Calculations'!E144:Y144,'Scenario Calculations'!E167:Y167)+Yn0)/GDP_0-1</f>
        <v>8.4311171991499512E-2</v>
      </c>
      <c r="E99" s="55">
        <f>(INDEX('Scenario Calculations'!$E$167:$Y$167,1,'Scenario Calculations'!D185+1)+Yn0)/GDP_0-1</f>
        <v>5.5727092379021848E-2</v>
      </c>
      <c r="F99" s="55">
        <f>(INDEX('Scenario Calculations'!$E$167:$Y$167,1,'Scenario Calculations'!E185+1)+Yn0)/GDP_0-1</f>
        <v>5.5727092379021848E-2</v>
      </c>
      <c r="G99" s="55">
        <f>(INDEX('Scenario Calculations'!$E$167:$Y$167,1,'Scenario Calculations'!F185+1)+Yn0)/GDP_0-1</f>
        <v>5.5727092379021848E-2</v>
      </c>
      <c r="H99" s="55">
        <f>(INDEX('Scenario Calculations'!$E$167:$Y$167,1,'Scenario Calculations'!G185+1)+Yn0)/GDP_0-1</f>
        <v>0.23700096088981093</v>
      </c>
    </row>
    <row r="100" spans="3:8" x14ac:dyDescent="0.15">
      <c r="C100" s="29">
        <v>2035</v>
      </c>
      <c r="D100" s="55">
        <f>(SUMPRODUCT('Scenario Calculations'!E145:Y145,'Scenario Calculations'!E167:Y167)+Yn0)/GDP_0-1</f>
        <v>9.2938875581659142E-2</v>
      </c>
      <c r="E100" s="55">
        <f>(INDEX('Scenario Calculations'!$E$167:$Y$167,1,'Scenario Calculations'!D186+1)+Yn0)/GDP_0-1</f>
        <v>5.5727092379021848E-2</v>
      </c>
      <c r="F100" s="55">
        <f>(INDEX('Scenario Calculations'!$E$167:$Y$167,1,'Scenario Calculations'!E186+1)+Yn0)/GDP_0-1</f>
        <v>5.5727092379021848E-2</v>
      </c>
      <c r="G100" s="55">
        <f>(INDEX('Scenario Calculations'!$E$167:$Y$167,1,'Scenario Calculations'!F186+1)+Yn0)/GDP_0-1</f>
        <v>5.5727092379021848E-2</v>
      </c>
      <c r="H100" s="55">
        <f>(INDEX('Scenario Calculations'!$E$167:$Y$167,1,'Scenario Calculations'!G186+1)+Yn0)/GDP_0-1</f>
        <v>0.23700096088981093</v>
      </c>
    </row>
    <row r="101" spans="3:8" x14ac:dyDescent="0.15">
      <c r="C101" s="29">
        <v>2036</v>
      </c>
      <c r="D101" s="55">
        <f>(SUMPRODUCT('Scenario Calculations'!E146:Y146,'Scenario Calculations'!E167:Y167)+Yn0)/GDP_0-1</f>
        <v>0.10225570638148795</v>
      </c>
      <c r="E101" s="55">
        <f>(INDEX('Scenario Calculations'!$E$167:$Y$167,1,'Scenario Calculations'!D187+1)+Yn0)/GDP_0-1</f>
        <v>5.5727092379021848E-2</v>
      </c>
      <c r="F101" s="55">
        <f>(INDEX('Scenario Calculations'!$E$167:$Y$167,1,'Scenario Calculations'!E187+1)+Yn0)/GDP_0-1</f>
        <v>5.5727092379021848E-2</v>
      </c>
      <c r="G101" s="55">
        <f>(INDEX('Scenario Calculations'!$E$167:$Y$167,1,'Scenario Calculations'!F187+1)+Yn0)/GDP_0-1</f>
        <v>5.5727092379021848E-2</v>
      </c>
      <c r="H101" s="55">
        <f>(INDEX('Scenario Calculations'!$E$167:$Y$167,1,'Scenario Calculations'!G187+1)+Yn0)/GDP_0-1</f>
        <v>0.23700096088981093</v>
      </c>
    </row>
    <row r="102" spans="3:8" x14ac:dyDescent="0.15">
      <c r="C102" s="29">
        <v>2037</v>
      </c>
      <c r="D102" s="55">
        <f>(SUMPRODUCT('Scenario Calculations'!E147:Y147,'Scenario Calculations'!E167:Y167)+Yn0)/GDP_0-1</f>
        <v>0.11231670757903056</v>
      </c>
      <c r="E102" s="55">
        <f>(INDEX('Scenario Calculations'!$E$167:$Y$167,1,'Scenario Calculations'!D188+1)+Yn0)/GDP_0-1</f>
        <v>5.5727092379021848E-2</v>
      </c>
      <c r="F102" s="55">
        <f>(INDEX('Scenario Calculations'!$E$167:$Y$167,1,'Scenario Calculations'!E188+1)+Yn0)/GDP_0-1</f>
        <v>5.5727092379021848E-2</v>
      </c>
      <c r="G102" s="55">
        <f>(INDEX('Scenario Calculations'!$E$167:$Y$167,1,'Scenario Calculations'!F188+1)+Yn0)/GDP_0-1</f>
        <v>5.5727092379021848E-2</v>
      </c>
      <c r="H102" s="55">
        <f>(INDEX('Scenario Calculations'!$E$167:$Y$167,1,'Scenario Calculations'!G188+1)+Yn0)/GDP_0-1</f>
        <v>0.23700096088981093</v>
      </c>
    </row>
    <row r="103" spans="3:8" x14ac:dyDescent="0.15">
      <c r="C103" s="29">
        <v>2038</v>
      </c>
      <c r="D103" s="55">
        <f>(SUMPRODUCT('Scenario Calculations'!E148:Y148,'Scenario Calculations'!E167:Y167)+Yn0)/GDP_0-1</f>
        <v>0.12318131886925743</v>
      </c>
      <c r="E103" s="55">
        <f>(INDEX('Scenario Calculations'!$E$167:$Y$167,1,'Scenario Calculations'!D189+1)+Yn0)/GDP_0-1</f>
        <v>5.5727092379021848E-2</v>
      </c>
      <c r="F103" s="55">
        <f>(INDEX('Scenario Calculations'!$E$167:$Y$167,1,'Scenario Calculations'!E189+1)+Yn0)/GDP_0-1</f>
        <v>5.5727092379021848E-2</v>
      </c>
      <c r="G103" s="55">
        <f>(INDEX('Scenario Calculations'!$E$167:$Y$167,1,'Scenario Calculations'!F189+1)+Yn0)/GDP_0-1</f>
        <v>5.5727092379021848E-2</v>
      </c>
      <c r="H103" s="55">
        <f>(INDEX('Scenario Calculations'!$E$167:$Y$167,1,'Scenario Calculations'!G189+1)+Yn0)/GDP_0-1</f>
        <v>0.23700096088981093</v>
      </c>
    </row>
    <row r="104" spans="3:8" x14ac:dyDescent="0.15">
      <c r="C104" s="29">
        <v>2039</v>
      </c>
      <c r="D104" s="55">
        <f>(SUMPRODUCT('Scenario Calculations'!E149:Y149,'Scenario Calculations'!E167:Y167)+Yn0)/GDP_0-1</f>
        <v>0.13491372761964682</v>
      </c>
      <c r="E104" s="55">
        <f>(INDEX('Scenario Calculations'!$E$167:$Y$167,1,'Scenario Calculations'!D190+1)+Yn0)/GDP_0-1</f>
        <v>5.5727092379021848E-2</v>
      </c>
      <c r="F104" s="55">
        <f>(INDEX('Scenario Calculations'!$E$167:$Y$167,1,'Scenario Calculations'!E190+1)+Yn0)/GDP_0-1</f>
        <v>5.5727092379021848E-2</v>
      </c>
      <c r="G104" s="55">
        <f>(INDEX('Scenario Calculations'!$E$167:$Y$167,1,'Scenario Calculations'!F190+1)+Yn0)/GDP_0-1</f>
        <v>0.23700096088981093</v>
      </c>
      <c r="H104" s="55">
        <f>(INDEX('Scenario Calculations'!$E$167:$Y$167,1,'Scenario Calculations'!G190+1)+Yn0)/GDP_0-1</f>
        <v>0.23700096088981093</v>
      </c>
    </row>
    <row r="105" spans="3:8" x14ac:dyDescent="0.15">
      <c r="C105" s="29">
        <v>2040</v>
      </c>
      <c r="D105" s="55">
        <f>(SUMPRODUCT('Scenario Calculations'!E150:Y150,'Scenario Calculations'!E167:Y167)+Yn0)/GDP_0-1</f>
        <v>0.14758324808468481</v>
      </c>
      <c r="E105" s="55">
        <f>(INDEX('Scenario Calculations'!$E$167:$Y$167,1,'Scenario Calculations'!D191+1)+Yn0)/GDP_0-1</f>
        <v>5.5727092379021848E-2</v>
      </c>
      <c r="F105" s="55">
        <f>(INDEX('Scenario Calculations'!$E$167:$Y$167,1,'Scenario Calculations'!E191+1)+Yn0)/GDP_0-1</f>
        <v>5.5727092379021848E-2</v>
      </c>
      <c r="G105" s="55">
        <f>(INDEX('Scenario Calculations'!$E$167:$Y$167,1,'Scenario Calculations'!F191+1)+Yn0)/GDP_0-1</f>
        <v>0.23700096088981093</v>
      </c>
      <c r="H105" s="55">
        <f>(INDEX('Scenario Calculations'!$E$167:$Y$167,1,'Scenario Calculations'!G191+1)+Yn0)/GDP_0-1</f>
        <v>0.23700096088981093</v>
      </c>
    </row>
    <row r="106" spans="3:8" x14ac:dyDescent="0.15">
      <c r="C106" s="29">
        <v>2041</v>
      </c>
      <c r="D106" s="55">
        <f>(SUMPRODUCT('Scenario Calculations'!E151:Y151,'Scenario Calculations'!E167:Y167)+Yn0)/GDP_0-1</f>
        <v>0.16126473090965798</v>
      </c>
      <c r="E106" s="55">
        <f>(INDEX('Scenario Calculations'!$E$167:$Y$167,1,'Scenario Calculations'!D192+1)+Yn0)/GDP_0-1</f>
        <v>5.5727092379021848E-2</v>
      </c>
      <c r="F106" s="55">
        <f>(INDEX('Scenario Calculations'!$E$167:$Y$167,1,'Scenario Calculations'!E192+1)+Yn0)/GDP_0-1</f>
        <v>5.5727092379021848E-2</v>
      </c>
      <c r="G106" s="55">
        <f>(INDEX('Scenario Calculations'!$E$167:$Y$167,1,'Scenario Calculations'!F192+1)+Yn0)/GDP_0-1</f>
        <v>0.23700096088981093</v>
      </c>
      <c r="H106" s="55">
        <f>(INDEX('Scenario Calculations'!$E$167:$Y$167,1,'Scenario Calculations'!G192+1)+Yn0)/GDP_0-1</f>
        <v>0.23700096088981093</v>
      </c>
    </row>
    <row r="107" spans="3:8" x14ac:dyDescent="0.15">
      <c r="C107" s="29">
        <v>2042</v>
      </c>
      <c r="D107" s="55">
        <f>(SUMPRODUCT('Scenario Calculations'!E152:Y152,'Scenario Calculations'!E167:Y167)+Yn0)/GDP_0-1</f>
        <v>0.17603900534305672</v>
      </c>
      <c r="E107" s="55">
        <f>(INDEX('Scenario Calculations'!$E$167:$Y$167,1,'Scenario Calculations'!D193+1)+Yn0)/GDP_0-1</f>
        <v>5.5727092379021848E-2</v>
      </c>
      <c r="F107" s="55">
        <f>(INDEX('Scenario Calculations'!$E$167:$Y$167,1,'Scenario Calculations'!E193+1)+Yn0)/GDP_0-1</f>
        <v>5.5727092379021848E-2</v>
      </c>
      <c r="G107" s="55">
        <f>(INDEX('Scenario Calculations'!$E$167:$Y$167,1,'Scenario Calculations'!F193+1)+Yn0)/GDP_0-1</f>
        <v>0.23700096088981093</v>
      </c>
      <c r="H107" s="55">
        <f>(INDEX('Scenario Calculations'!$E$167:$Y$167,1,'Scenario Calculations'!G193+1)+Yn0)/GDP_0-1</f>
        <v>0.23700096088981093</v>
      </c>
    </row>
    <row r="108" spans="3:8" x14ac:dyDescent="0.15">
      <c r="C108" s="29">
        <v>2043</v>
      </c>
      <c r="D108" s="55">
        <f>(SUMPRODUCT('Scenario Calculations'!E153:Y153,'Scenario Calculations'!E167:Y167)+Yn0)/GDP_0-1</f>
        <v>0.19199335677015172</v>
      </c>
      <c r="E108" s="55">
        <f>(INDEX('Scenario Calculations'!$E$167:$Y$167,1,'Scenario Calculations'!D194+1)+Yn0)/GDP_0-1</f>
        <v>5.5727092379021848E-2</v>
      </c>
      <c r="F108" s="55">
        <f>(INDEX('Scenario Calculations'!$E$167:$Y$167,1,'Scenario Calculations'!E194+1)+Yn0)/GDP_0-1</f>
        <v>5.5727092379021848E-2</v>
      </c>
      <c r="G108" s="55">
        <f>(INDEX('Scenario Calculations'!$E$167:$Y$167,1,'Scenario Calculations'!F194+1)+Yn0)/GDP_0-1</f>
        <v>0.23700096088981093</v>
      </c>
      <c r="H108" s="55">
        <f>(INDEX('Scenario Calculations'!$E$167:$Y$167,1,'Scenario Calculations'!G194+1)+Yn0)/GDP_0-1</f>
        <v>0.23700096088981093</v>
      </c>
    </row>
    <row r="109" spans="3:8" x14ac:dyDescent="0.15">
      <c r="C109" s="29">
        <v>2044</v>
      </c>
      <c r="D109" s="55">
        <f>(SUMPRODUCT('Scenario Calculations'!E154:Y154,'Scenario Calculations'!E167:Y167)+Yn0)/GDP_0-1</f>
        <v>0.20922204238897457</v>
      </c>
      <c r="E109" s="55">
        <f>(INDEX('Scenario Calculations'!$E$167:$Y$167,1,'Scenario Calculations'!D195+1)+Yn0)/GDP_0-1</f>
        <v>5.5727092379021848E-2</v>
      </c>
      <c r="F109" s="55">
        <f>(INDEX('Scenario Calculations'!$E$167:$Y$167,1,'Scenario Calculations'!E195+1)+Yn0)/GDP_0-1</f>
        <v>5.5727092379021848E-2</v>
      </c>
      <c r="G109" s="55">
        <f>(INDEX('Scenario Calculations'!$E$167:$Y$167,1,'Scenario Calculations'!F195+1)+Yn0)/GDP_0-1</f>
        <v>0.23700096088981093</v>
      </c>
      <c r="H109" s="55">
        <f>(INDEX('Scenario Calculations'!$E$167:$Y$167,1,'Scenario Calculations'!G195+1)+Yn0)/GDP_0-1</f>
        <v>0.23700096088981093</v>
      </c>
    </row>
    <row r="110" spans="3:8" x14ac:dyDescent="0.15">
      <c r="C110" s="29">
        <v>2045</v>
      </c>
      <c r="D110" s="55">
        <f>(SUMPRODUCT('Scenario Calculations'!E155:Y155,'Scenario Calculations'!E167:Y167)+Yn0)/GDP_0-1</f>
        <v>0.22782684807528675</v>
      </c>
      <c r="E110" s="55">
        <f>(INDEX('Scenario Calculations'!$E$167:$Y$167,1,'Scenario Calculations'!D196+1)+Yn0)/GDP_0-1</f>
        <v>5.5727092379021848E-2</v>
      </c>
      <c r="F110" s="55">
        <f>(INDEX('Scenario Calculations'!$E$167:$Y$167,1,'Scenario Calculations'!E196+1)+Yn0)/GDP_0-1</f>
        <v>5.5727092379021848E-2</v>
      </c>
      <c r="G110" s="55">
        <f>(INDEX('Scenario Calculations'!$E$167:$Y$167,1,'Scenario Calculations'!F196+1)+Yn0)/GDP_0-1</f>
        <v>0.23700096088981093</v>
      </c>
      <c r="H110" s="55">
        <f>(INDEX('Scenario Calculations'!$E$167:$Y$167,1,'Scenario Calculations'!G196+1)+Yn0)/GDP_0-1</f>
        <v>0.23700096088981093</v>
      </c>
    </row>
    <row r="111" spans="3:8" x14ac:dyDescent="0.15">
      <c r="C111" s="29">
        <v>2046</v>
      </c>
      <c r="D111" s="55">
        <f>(SUMPRODUCT('Scenario Calculations'!E156:Y156,'Scenario Calculations'!E167:Y167)+Yn0)/GDP_0-1</f>
        <v>0.24791768972644923</v>
      </c>
      <c r="E111" s="55">
        <f>(INDEX('Scenario Calculations'!$E$167:$Y$167,1,'Scenario Calculations'!D197+1)+Yn0)/GDP_0-1</f>
        <v>5.5727092379021848E-2</v>
      </c>
      <c r="F111" s="55">
        <f>(INDEX('Scenario Calculations'!$E$167:$Y$167,1,'Scenario Calculations'!E197+1)+Yn0)/GDP_0-1</f>
        <v>5.5727092379021848E-2</v>
      </c>
      <c r="G111" s="55">
        <f>(INDEX('Scenario Calculations'!$E$167:$Y$167,1,'Scenario Calculations'!F197+1)+Yn0)/GDP_0-1</f>
        <v>0.23700096088981093</v>
      </c>
      <c r="H111" s="55">
        <f>(INDEX('Scenario Calculations'!$E$167:$Y$167,1,'Scenario Calculations'!G197+1)+Yn0)/GDP_0-1</f>
        <v>0.83196132161509762</v>
      </c>
    </row>
    <row r="112" spans="3:8" x14ac:dyDescent="0.15">
      <c r="C112" s="29">
        <v>2047</v>
      </c>
      <c r="D112" s="55">
        <f>(SUMPRODUCT('Scenario Calculations'!E157:Y157,'Scenario Calculations'!E167:Y167)+Yn0)/GDP_0-1</f>
        <v>0.26961326263689656</v>
      </c>
      <c r="E112" s="55">
        <f>(INDEX('Scenario Calculations'!$E$167:$Y$167,1,'Scenario Calculations'!D198+1)+Yn0)/GDP_0-1</f>
        <v>5.5727092379021848E-2</v>
      </c>
      <c r="F112" s="55">
        <f>(INDEX('Scenario Calculations'!$E$167:$Y$167,1,'Scenario Calculations'!E198+1)+Yn0)/GDP_0-1</f>
        <v>5.5727092379021848E-2</v>
      </c>
      <c r="G112" s="55">
        <f>(INDEX('Scenario Calculations'!$E$167:$Y$167,1,'Scenario Calculations'!F198+1)+Yn0)/GDP_0-1</f>
        <v>0.23700096088981093</v>
      </c>
      <c r="H112" s="55">
        <f>(INDEX('Scenario Calculations'!$E$167:$Y$167,1,'Scenario Calculations'!G198+1)+Yn0)/GDP_0-1</f>
        <v>0.83196132161509762</v>
      </c>
    </row>
    <row r="113" spans="3:8" x14ac:dyDescent="0.15">
      <c r="C113" s="29">
        <v>2048</v>
      </c>
      <c r="D113" s="55">
        <f>(SUMPRODUCT('Scenario Calculations'!E158:Y158,'Scenario Calculations'!E167:Y167)+Yn0)/GDP_0-1</f>
        <v>0.29304174274167583</v>
      </c>
      <c r="E113" s="55">
        <f>(INDEX('Scenario Calculations'!$E$167:$Y$167,1,'Scenario Calculations'!D199+1)+Yn0)/GDP_0-1</f>
        <v>5.5727092379021848E-2</v>
      </c>
      <c r="F113" s="55">
        <f>(INDEX('Scenario Calculations'!$E$167:$Y$167,1,'Scenario Calculations'!E199+1)+Yn0)/GDP_0-1</f>
        <v>5.5727092379021848E-2</v>
      </c>
      <c r="G113" s="55">
        <f>(INDEX('Scenario Calculations'!$E$167:$Y$167,1,'Scenario Calculations'!F199+1)+Yn0)/GDP_0-1</f>
        <v>0.23700096088981093</v>
      </c>
      <c r="H113" s="55">
        <f>(INDEX('Scenario Calculations'!$E$167:$Y$167,1,'Scenario Calculations'!G199+1)+Yn0)/GDP_0-1</f>
        <v>0.83196132161509762</v>
      </c>
    </row>
    <row r="114" spans="3:8" x14ac:dyDescent="0.15">
      <c r="C114" s="29">
        <v>2049</v>
      </c>
      <c r="D114" s="55">
        <f>(SUMPRODUCT('Scenario Calculations'!E159:Y159,'Scenario Calculations'!E167:Y167)+Yn0)/GDP_0-1</f>
        <v>0.3183415438709527</v>
      </c>
      <c r="E114" s="55">
        <f>(INDEX('Scenario Calculations'!$E$167:$Y$167,1,'Scenario Calculations'!D200+1)+Yn0)/GDP_0-1</f>
        <v>5.5727092379021848E-2</v>
      </c>
      <c r="F114" s="55">
        <f>(INDEX('Scenario Calculations'!$E$167:$Y$167,1,'Scenario Calculations'!E200+1)+Yn0)/GDP_0-1</f>
        <v>5.5727092379021848E-2</v>
      </c>
      <c r="G114" s="55">
        <f>(INDEX('Scenario Calculations'!$E$167:$Y$167,1,'Scenario Calculations'!F200+1)+Yn0)/GDP_0-1</f>
        <v>0.23700096088981093</v>
      </c>
      <c r="H114" s="55">
        <f>(INDEX('Scenario Calculations'!$E$167:$Y$167,1,'Scenario Calculations'!G200+1)+Yn0)/GDP_0-1</f>
        <v>0.83196132161509762</v>
      </c>
    </row>
    <row r="115" spans="3:8" x14ac:dyDescent="0.15">
      <c r="C115" s="29">
        <v>2050</v>
      </c>
      <c r="D115" s="55">
        <f>(SUMPRODUCT('Scenario Calculations'!E160:Y160,'Scenario Calculations'!E167:Y167)+Yn0)/GDP_0-1</f>
        <v>0.34566213548928726</v>
      </c>
      <c r="E115" s="55">
        <f>(INDEX('Scenario Calculations'!$E$167:$Y$167,1,'Scenario Calculations'!D201+1)+Yn0)/GDP_0-1</f>
        <v>5.5727092379021848E-2</v>
      </c>
      <c r="F115" s="55">
        <f>(INDEX('Scenario Calculations'!$E$167:$Y$167,1,'Scenario Calculations'!E201+1)+Yn0)/GDP_0-1</f>
        <v>5.5727092379021848E-2</v>
      </c>
      <c r="G115" s="55">
        <f>(INDEX('Scenario Calculations'!$E$167:$Y$167,1,'Scenario Calculations'!F201+1)+Yn0)/GDP_0-1</f>
        <v>0.23700096088981093</v>
      </c>
      <c r="H115" s="55">
        <f>(INDEX('Scenario Calculations'!$E$167:$Y$167,1,'Scenario Calculations'!G201+1)+Yn0)/GDP_0-1</f>
        <v>0.83196132161509762</v>
      </c>
    </row>
    <row r="117" spans="3:8" x14ac:dyDescent="0.15">
      <c r="C117" s="69" t="s">
        <v>157</v>
      </c>
    </row>
    <row r="118" spans="3:8" ht="16" x14ac:dyDescent="0.3">
      <c r="C118" s="72" t="s">
        <v>77</v>
      </c>
      <c r="D118" s="72" t="s">
        <v>152</v>
      </c>
      <c r="E118" s="72" t="s">
        <v>153</v>
      </c>
      <c r="F118" s="72" t="s">
        <v>154</v>
      </c>
      <c r="G118" s="72" t="s">
        <v>155</v>
      </c>
      <c r="H118" s="72" t="s">
        <v>156</v>
      </c>
    </row>
    <row r="119" spans="3:8" x14ac:dyDescent="0.15">
      <c r="C119" s="29">
        <v>2030</v>
      </c>
      <c r="D119" s="55">
        <f>SUMPRODUCT('Scenario Calculations'!E140:Y140,'Scenario Calculations'!E173:Y173)</f>
        <v>7.5239759530153966E-2</v>
      </c>
      <c r="E119" s="55">
        <f>INDEX('Scenario Calculations'!$E$173:$Y$173,1,'Scenario Calculations'!D181+1)</f>
        <v>7.5239759530153966E-2</v>
      </c>
      <c r="F119" s="55">
        <f>INDEX('Scenario Calculations'!$E$173:$Y$173,1,'Scenario Calculations'!E181+1)</f>
        <v>7.5239759530153966E-2</v>
      </c>
      <c r="G119" s="55">
        <f>INDEX('Scenario Calculations'!$E$173:$Y$173,1,'Scenario Calculations'!F181+1)</f>
        <v>7.5239759530153966E-2</v>
      </c>
      <c r="H119" s="55">
        <f>INDEX('Scenario Calculations'!$E$173:$Y$173,1,'Scenario Calculations'!G181+1)</f>
        <v>7.5239759530153966E-2</v>
      </c>
    </row>
    <row r="120" spans="3:8" x14ac:dyDescent="0.15">
      <c r="C120" s="29">
        <v>2031</v>
      </c>
      <c r="D120" s="55">
        <f>SUMPRODUCT('Scenario Calculations'!E141:Y141,'Scenario Calculations'!E173:Y173)</f>
        <v>7.9982860387571492E-2</v>
      </c>
      <c r="E120" s="55">
        <f>INDEX('Scenario Calculations'!$E$173:$Y$173,1,'Scenario Calculations'!D182+1)</f>
        <v>7.5239759530153966E-2</v>
      </c>
      <c r="F120" s="55">
        <f>INDEX('Scenario Calculations'!$E$173:$Y$173,1,'Scenario Calculations'!E182+1)</f>
        <v>7.5239759530153966E-2</v>
      </c>
      <c r="G120" s="55">
        <f>INDEX('Scenario Calculations'!$E$173:$Y$173,1,'Scenario Calculations'!F182+1)</f>
        <v>7.5239759530153966E-2</v>
      </c>
      <c r="H120" s="55">
        <f>INDEX('Scenario Calculations'!$E$173:$Y$173,1,'Scenario Calculations'!G182+1)</f>
        <v>7.5239759530153966E-2</v>
      </c>
    </row>
    <row r="121" spans="3:8" x14ac:dyDescent="0.15">
      <c r="C121" s="29">
        <v>2032</v>
      </c>
      <c r="D121" s="55">
        <f>SUMPRODUCT('Scenario Calculations'!E142:Y142,'Scenario Calculations'!E173:Y173)</f>
        <v>8.4873944726697473E-2</v>
      </c>
      <c r="E121" s="55">
        <f>INDEX('Scenario Calculations'!$E$173:$Y$173,1,'Scenario Calculations'!D183+1)</f>
        <v>7.5239759530153966E-2</v>
      </c>
      <c r="F121" s="55">
        <f>INDEX('Scenario Calculations'!$E$173:$Y$173,1,'Scenario Calculations'!E183+1)</f>
        <v>7.5239759530153966E-2</v>
      </c>
      <c r="G121" s="55">
        <f>INDEX('Scenario Calculations'!$E$173:$Y$173,1,'Scenario Calculations'!F183+1)</f>
        <v>7.5239759530153966E-2</v>
      </c>
      <c r="H121" s="55">
        <f>INDEX('Scenario Calculations'!$E$173:$Y$173,1,'Scenario Calculations'!G183+1)</f>
        <v>7.5239759530153966E-2</v>
      </c>
    </row>
    <row r="122" spans="3:8" x14ac:dyDescent="0.15">
      <c r="C122" s="29">
        <v>2033</v>
      </c>
      <c r="D122" s="55">
        <f>SUMPRODUCT('Scenario Calculations'!E143:Y143,'Scenario Calculations'!E173:Y173)</f>
        <v>8.9908632480390965E-2</v>
      </c>
      <c r="E122" s="55">
        <f>INDEX('Scenario Calculations'!$E$173:$Y$173,1,'Scenario Calculations'!D184+1)</f>
        <v>7.5239759530153966E-2</v>
      </c>
      <c r="F122" s="55">
        <f>INDEX('Scenario Calculations'!$E$173:$Y$173,1,'Scenario Calculations'!E184+1)</f>
        <v>7.5239759530153966E-2</v>
      </c>
      <c r="G122" s="55">
        <f>INDEX('Scenario Calculations'!$E$173:$Y$173,1,'Scenario Calculations'!F184+1)</f>
        <v>7.5239759530153966E-2</v>
      </c>
      <c r="H122" s="55">
        <f>INDEX('Scenario Calculations'!$E$173:$Y$173,1,'Scenario Calculations'!G184+1)</f>
        <v>0.2107569268849406</v>
      </c>
    </row>
    <row r="123" spans="3:8" x14ac:dyDescent="0.15">
      <c r="C123" s="29">
        <v>2034</v>
      </c>
      <c r="D123" s="55">
        <f>SUMPRODUCT('Scenario Calculations'!E144:Y144,'Scenario Calculations'!E173:Y173)</f>
        <v>9.5082499668060289E-2</v>
      </c>
      <c r="E123" s="55">
        <f>INDEX('Scenario Calculations'!$E$173:$Y$173,1,'Scenario Calculations'!D185+1)</f>
        <v>7.5239759530153966E-2</v>
      </c>
      <c r="F123" s="55">
        <f>INDEX('Scenario Calculations'!$E$173:$Y$173,1,'Scenario Calculations'!E185+1)</f>
        <v>7.5239759530153966E-2</v>
      </c>
      <c r="G123" s="55">
        <f>INDEX('Scenario Calculations'!$E$173:$Y$173,1,'Scenario Calculations'!F185+1)</f>
        <v>7.5239759530153966E-2</v>
      </c>
      <c r="H123" s="55">
        <f>INDEX('Scenario Calculations'!$E$173:$Y$173,1,'Scenario Calculations'!G185+1)</f>
        <v>0.2107569268849406</v>
      </c>
    </row>
    <row r="124" spans="3:8" x14ac:dyDescent="0.15">
      <c r="C124" s="29">
        <v>2035</v>
      </c>
      <c r="D124" s="55">
        <f>SUMPRODUCT('Scenario Calculations'!E145:Y145,'Scenario Calculations'!E173:Y173)</f>
        <v>0.10039108762851949</v>
      </c>
      <c r="E124" s="55">
        <f>INDEX('Scenario Calculations'!$E$173:$Y$173,1,'Scenario Calculations'!D186+1)</f>
        <v>7.5239759530153966E-2</v>
      </c>
      <c r="F124" s="55">
        <f>INDEX('Scenario Calculations'!$E$173:$Y$173,1,'Scenario Calculations'!E186+1)</f>
        <v>7.5239759530153966E-2</v>
      </c>
      <c r="G124" s="55">
        <f>INDEX('Scenario Calculations'!$E$173:$Y$173,1,'Scenario Calculations'!F186+1)</f>
        <v>7.5239759530153966E-2</v>
      </c>
      <c r="H124" s="55">
        <f>INDEX('Scenario Calculations'!$E$173:$Y$173,1,'Scenario Calculations'!G186+1)</f>
        <v>0.2107569268849406</v>
      </c>
    </row>
    <row r="125" spans="3:8" x14ac:dyDescent="0.15">
      <c r="C125" s="29">
        <v>2036</v>
      </c>
      <c r="D125" s="55">
        <f>SUMPRODUCT('Scenario Calculations'!E146:Y146,'Scenario Calculations'!E173:Y173)</f>
        <v>0.10582991173310341</v>
      </c>
      <c r="E125" s="55">
        <f>INDEX('Scenario Calculations'!$E$173:$Y$173,1,'Scenario Calculations'!D187+1)</f>
        <v>7.5239759530153966E-2</v>
      </c>
      <c r="F125" s="55">
        <f>INDEX('Scenario Calculations'!$E$173:$Y$173,1,'Scenario Calculations'!E187+1)</f>
        <v>7.5239759530153966E-2</v>
      </c>
      <c r="G125" s="55">
        <f>INDEX('Scenario Calculations'!$E$173:$Y$173,1,'Scenario Calculations'!F187+1)</f>
        <v>7.5239759530153966E-2</v>
      </c>
      <c r="H125" s="55">
        <f>INDEX('Scenario Calculations'!$E$173:$Y$173,1,'Scenario Calculations'!G187+1)</f>
        <v>0.2107569268849406</v>
      </c>
    </row>
    <row r="126" spans="3:8" x14ac:dyDescent="0.15">
      <c r="C126" s="29">
        <v>2037</v>
      </c>
      <c r="D126" s="55">
        <f>SUMPRODUCT('Scenario Calculations'!E147:Y147,'Scenario Calculations'!E173:Y173)</f>
        <v>0.11139446959986274</v>
      </c>
      <c r="E126" s="55">
        <f>INDEX('Scenario Calculations'!$E$173:$Y$173,1,'Scenario Calculations'!D188+1)</f>
        <v>7.5239759530153966E-2</v>
      </c>
      <c r="F126" s="55">
        <f>INDEX('Scenario Calculations'!$E$173:$Y$173,1,'Scenario Calculations'!E188+1)</f>
        <v>7.5239759530153966E-2</v>
      </c>
      <c r="G126" s="55">
        <f>INDEX('Scenario Calculations'!$E$173:$Y$173,1,'Scenario Calculations'!F188+1)</f>
        <v>7.5239759530153966E-2</v>
      </c>
      <c r="H126" s="55">
        <f>INDEX('Scenario Calculations'!$E$173:$Y$173,1,'Scenario Calculations'!G188+1)</f>
        <v>0.2107569268849406</v>
      </c>
    </row>
    <row r="127" spans="3:8" x14ac:dyDescent="0.15">
      <c r="C127" s="29">
        <v>2038</v>
      </c>
      <c r="D127" s="55">
        <f>SUMPRODUCT('Scenario Calculations'!E148:Y148,'Scenario Calculations'!E173:Y173)</f>
        <v>0.11708024882900679</v>
      </c>
      <c r="E127" s="55">
        <f>INDEX('Scenario Calculations'!$E$173:$Y$173,1,'Scenario Calculations'!D189+1)</f>
        <v>7.5239759530153966E-2</v>
      </c>
      <c r="F127" s="55">
        <f>INDEX('Scenario Calculations'!$E$173:$Y$173,1,'Scenario Calculations'!E189+1)</f>
        <v>7.5239759530153966E-2</v>
      </c>
      <c r="G127" s="55">
        <f>INDEX('Scenario Calculations'!$E$173:$Y$173,1,'Scenario Calculations'!F189+1)</f>
        <v>7.5239759530153966E-2</v>
      </c>
      <c r="H127" s="55">
        <f>INDEX('Scenario Calculations'!$E$173:$Y$173,1,'Scenario Calculations'!G189+1)</f>
        <v>0.2107569268849406</v>
      </c>
    </row>
    <row r="128" spans="3:8" x14ac:dyDescent="0.15">
      <c r="C128" s="29">
        <v>2039</v>
      </c>
      <c r="D128" s="55">
        <f>SUMPRODUCT('Scenario Calculations'!E149:Y149,'Scenario Calculations'!E173:Y173)</f>
        <v>0.12288273427912398</v>
      </c>
      <c r="E128" s="55">
        <f>INDEX('Scenario Calculations'!$E$173:$Y$173,1,'Scenario Calculations'!D190+1)</f>
        <v>7.5239759530153966E-2</v>
      </c>
      <c r="F128" s="55">
        <f>INDEX('Scenario Calculations'!$E$173:$Y$173,1,'Scenario Calculations'!E190+1)</f>
        <v>7.5239759530153966E-2</v>
      </c>
      <c r="G128" s="55">
        <f>INDEX('Scenario Calculations'!$E$173:$Y$173,1,'Scenario Calculations'!F190+1)</f>
        <v>0.2107569268849406</v>
      </c>
      <c r="H128" s="55">
        <f>INDEX('Scenario Calculations'!$E$173:$Y$173,1,'Scenario Calculations'!G190+1)</f>
        <v>0.2107569268849406</v>
      </c>
    </row>
    <row r="129" spans="3:8" x14ac:dyDescent="0.15">
      <c r="C129" s="29">
        <v>2040</v>
      </c>
      <c r="D129" s="55">
        <f>SUMPRODUCT('Scenario Calculations'!E150:Y150,'Scenario Calculations'!E173:Y173)</f>
        <v>0.12879741490308499</v>
      </c>
      <c r="E129" s="55">
        <f>INDEX('Scenario Calculations'!$E$173:$Y$173,1,'Scenario Calculations'!D191+1)</f>
        <v>7.5239759530153966E-2</v>
      </c>
      <c r="F129" s="55">
        <f>INDEX('Scenario Calculations'!$E$173:$Y$173,1,'Scenario Calculations'!E191+1)</f>
        <v>7.5239759530153966E-2</v>
      </c>
      <c r="G129" s="55">
        <f>INDEX('Scenario Calculations'!$E$173:$Y$173,1,'Scenario Calculations'!F191+1)</f>
        <v>0.2107569268849406</v>
      </c>
      <c r="H129" s="55">
        <f>INDEX('Scenario Calculations'!$E$173:$Y$173,1,'Scenario Calculations'!G191+1)</f>
        <v>0.2107569268849406</v>
      </c>
    </row>
    <row r="130" spans="3:8" x14ac:dyDescent="0.15">
      <c r="C130" s="29">
        <v>2041</v>
      </c>
      <c r="D130" s="55">
        <f>SUMPRODUCT('Scenario Calculations'!E151:Y151,'Scenario Calculations'!E173:Y173)</f>
        <v>0.13481979016192466</v>
      </c>
      <c r="E130" s="55">
        <f>INDEX('Scenario Calculations'!$E$173:$Y$173,1,'Scenario Calculations'!D192+1)</f>
        <v>7.5239759530153966E-2</v>
      </c>
      <c r="F130" s="55">
        <f>INDEX('Scenario Calculations'!$E$173:$Y$173,1,'Scenario Calculations'!E192+1)</f>
        <v>7.5239759530153966E-2</v>
      </c>
      <c r="G130" s="55">
        <f>INDEX('Scenario Calculations'!$E$173:$Y$173,1,'Scenario Calculations'!F192+1)</f>
        <v>0.2107569268849406</v>
      </c>
      <c r="H130" s="55">
        <f>INDEX('Scenario Calculations'!$E$173:$Y$173,1,'Scenario Calculations'!G192+1)</f>
        <v>0.2107569268849406</v>
      </c>
    </row>
    <row r="131" spans="3:8" x14ac:dyDescent="0.15">
      <c r="C131" s="29">
        <v>2042</v>
      </c>
      <c r="D131" s="55">
        <f>SUMPRODUCT('Scenario Calculations'!E152:Y152,'Scenario Calculations'!E173:Y173)</f>
        <v>0.14094537603440277</v>
      </c>
      <c r="E131" s="55">
        <f>INDEX('Scenario Calculations'!$E$173:$Y$173,1,'Scenario Calculations'!D193+1)</f>
        <v>7.5239759530153966E-2</v>
      </c>
      <c r="F131" s="55">
        <f>INDEX('Scenario Calculations'!$E$173:$Y$173,1,'Scenario Calculations'!E193+1)</f>
        <v>7.5239759530153966E-2</v>
      </c>
      <c r="G131" s="55">
        <f>INDEX('Scenario Calculations'!$E$173:$Y$173,1,'Scenario Calculations'!F193+1)</f>
        <v>0.2107569268849406</v>
      </c>
      <c r="H131" s="55">
        <f>INDEX('Scenario Calculations'!$E$173:$Y$173,1,'Scenario Calculations'!G193+1)</f>
        <v>0.2107569268849406</v>
      </c>
    </row>
    <row r="132" spans="3:8" x14ac:dyDescent="0.15">
      <c r="C132" s="29">
        <v>2043</v>
      </c>
      <c r="D132" s="55">
        <f>SUMPRODUCT('Scenario Calculations'!E153:Y153,'Scenario Calculations'!E173:Y173)</f>
        <v>0.14716971063936377</v>
      </c>
      <c r="E132" s="55">
        <f>INDEX('Scenario Calculations'!$E$173:$Y$173,1,'Scenario Calculations'!D194+1)</f>
        <v>7.5239759530153966E-2</v>
      </c>
      <c r="F132" s="55">
        <f>INDEX('Scenario Calculations'!$E$173:$Y$173,1,'Scenario Calculations'!E194+1)</f>
        <v>7.5239759530153966E-2</v>
      </c>
      <c r="G132" s="55">
        <f>INDEX('Scenario Calculations'!$E$173:$Y$173,1,'Scenario Calculations'!F194+1)</f>
        <v>0.2107569268849406</v>
      </c>
      <c r="H132" s="55">
        <f>INDEX('Scenario Calculations'!$E$173:$Y$173,1,'Scenario Calculations'!G194+1)</f>
        <v>0.2107569268849406</v>
      </c>
    </row>
    <row r="133" spans="3:8" x14ac:dyDescent="0.15">
      <c r="C133" s="29">
        <v>2044</v>
      </c>
      <c r="D133" s="55">
        <f>SUMPRODUCT('Scenario Calculations'!E154:Y154,'Scenario Calculations'!E173:Y173)</f>
        <v>0.15348835948744755</v>
      </c>
      <c r="E133" s="55">
        <f>INDEX('Scenario Calculations'!$E$173:$Y$173,1,'Scenario Calculations'!D195+1)</f>
        <v>7.5239759530153966E-2</v>
      </c>
      <c r="F133" s="55">
        <f>INDEX('Scenario Calculations'!$E$173:$Y$173,1,'Scenario Calculations'!E195+1)</f>
        <v>7.5239759530153966E-2</v>
      </c>
      <c r="G133" s="55">
        <f>INDEX('Scenario Calculations'!$E$173:$Y$173,1,'Scenario Calculations'!F195+1)</f>
        <v>0.2107569268849406</v>
      </c>
      <c r="H133" s="55">
        <f>INDEX('Scenario Calculations'!$E$173:$Y$173,1,'Scenario Calculations'!G195+1)</f>
        <v>0.2107569268849406</v>
      </c>
    </row>
    <row r="134" spans="3:8" x14ac:dyDescent="0.15">
      <c r="C134" s="29">
        <v>2045</v>
      </c>
      <c r="D134" s="55">
        <f>SUMPRODUCT('Scenario Calculations'!E155:Y155,'Scenario Calculations'!E173:Y173)</f>
        <v>0.15989692037815173</v>
      </c>
      <c r="E134" s="55">
        <f>INDEX('Scenario Calculations'!$E$173:$Y$173,1,'Scenario Calculations'!D196+1)</f>
        <v>7.5239759530153966E-2</v>
      </c>
      <c r="F134" s="55">
        <f>INDEX('Scenario Calculations'!$E$173:$Y$173,1,'Scenario Calculations'!E196+1)</f>
        <v>7.5239759530153966E-2</v>
      </c>
      <c r="G134" s="55">
        <f>INDEX('Scenario Calculations'!$E$173:$Y$173,1,'Scenario Calculations'!F196+1)</f>
        <v>0.2107569268849406</v>
      </c>
      <c r="H134" s="55">
        <f>INDEX('Scenario Calculations'!$E$173:$Y$173,1,'Scenario Calculations'!G196+1)</f>
        <v>0.2107569268849406</v>
      </c>
    </row>
    <row r="135" spans="3:8" x14ac:dyDescent="0.15">
      <c r="C135" s="29">
        <v>2046</v>
      </c>
      <c r="D135" s="55">
        <f>SUMPRODUCT('Scenario Calculations'!E156:Y156,'Scenario Calculations'!E173:Y173)</f>
        <v>0.16639102795770588</v>
      </c>
      <c r="E135" s="55">
        <f>INDEX('Scenario Calculations'!$E$173:$Y$173,1,'Scenario Calculations'!D197+1)</f>
        <v>7.5239759530153966E-2</v>
      </c>
      <c r="F135" s="55">
        <f>INDEX('Scenario Calculations'!$E$173:$Y$173,1,'Scenario Calculations'!E197+1)</f>
        <v>7.5239759530153966E-2</v>
      </c>
      <c r="G135" s="55">
        <f>INDEX('Scenario Calculations'!$E$173:$Y$173,1,'Scenario Calculations'!F197+1)</f>
        <v>0.2107569268849406</v>
      </c>
      <c r="H135" s="55">
        <f>INDEX('Scenario Calculations'!$E$173:$Y$173,1,'Scenario Calculations'!G197+1)</f>
        <v>0.46707693645069281</v>
      </c>
    </row>
    <row r="136" spans="3:8" x14ac:dyDescent="0.15">
      <c r="C136" s="29">
        <v>2047</v>
      </c>
      <c r="D136" s="55">
        <f>SUMPRODUCT('Scenario Calculations'!E157:Y157,'Scenario Calculations'!E173:Y173)</f>
        <v>0.17296635795269349</v>
      </c>
      <c r="E136" s="55">
        <f>INDEX('Scenario Calculations'!$E$173:$Y$173,1,'Scenario Calculations'!D198+1)</f>
        <v>7.5239759530153966E-2</v>
      </c>
      <c r="F136" s="55">
        <f>INDEX('Scenario Calculations'!$E$173:$Y$173,1,'Scenario Calculations'!E198+1)</f>
        <v>7.5239759530153966E-2</v>
      </c>
      <c r="G136" s="55">
        <f>INDEX('Scenario Calculations'!$E$173:$Y$173,1,'Scenario Calculations'!F198+1)</f>
        <v>0.2107569268849406</v>
      </c>
      <c r="H136" s="55">
        <f>INDEX('Scenario Calculations'!$E$173:$Y$173,1,'Scenario Calculations'!G198+1)</f>
        <v>0.46707693645069281</v>
      </c>
    </row>
    <row r="137" spans="3:8" x14ac:dyDescent="0.15">
      <c r="C137" s="29">
        <v>2048</v>
      </c>
      <c r="D137" s="55">
        <f>SUMPRODUCT('Scenario Calculations'!E158:Y158,'Scenario Calculations'!E173:Y173)</f>
        <v>0.17961863109384688</v>
      </c>
      <c r="E137" s="55">
        <f>INDEX('Scenario Calculations'!$E$173:$Y$173,1,'Scenario Calculations'!D199+1)</f>
        <v>7.5239759530153966E-2</v>
      </c>
      <c r="F137" s="55">
        <f>INDEX('Scenario Calculations'!$E$173:$Y$173,1,'Scenario Calculations'!E199+1)</f>
        <v>7.5239759530153966E-2</v>
      </c>
      <c r="G137" s="55">
        <f>INDEX('Scenario Calculations'!$E$173:$Y$173,1,'Scenario Calculations'!F199+1)</f>
        <v>0.2107569268849406</v>
      </c>
      <c r="H137" s="55">
        <f>INDEX('Scenario Calculations'!$E$173:$Y$173,1,'Scenario Calculations'!G199+1)</f>
        <v>0.46707693645069281</v>
      </c>
    </row>
    <row r="138" spans="3:8" x14ac:dyDescent="0.15">
      <c r="C138" s="29">
        <v>2049</v>
      </c>
      <c r="D138" s="55">
        <f>SUMPRODUCT('Scenario Calculations'!E159:Y159,'Scenario Calculations'!E173:Y173)</f>
        <v>0.18634361674393893</v>
      </c>
      <c r="E138" s="55">
        <f>INDEX('Scenario Calculations'!$E$173:$Y$173,1,'Scenario Calculations'!D200+1)</f>
        <v>7.5239759530153966E-2</v>
      </c>
      <c r="F138" s="55">
        <f>INDEX('Scenario Calculations'!$E$173:$Y$173,1,'Scenario Calculations'!E200+1)</f>
        <v>7.5239759530153966E-2</v>
      </c>
      <c r="G138" s="55">
        <f>INDEX('Scenario Calculations'!$E$173:$Y$173,1,'Scenario Calculations'!F200+1)</f>
        <v>0.2107569268849406</v>
      </c>
      <c r="H138" s="55">
        <f>INDEX('Scenario Calculations'!$E$173:$Y$173,1,'Scenario Calculations'!G200+1)</f>
        <v>0.46707693645069281</v>
      </c>
    </row>
    <row r="139" spans="3:8" x14ac:dyDescent="0.15">
      <c r="C139" s="29">
        <v>2050</v>
      </c>
      <c r="D139" s="55">
        <f>SUMPRODUCT('Scenario Calculations'!E160:Y160,'Scenario Calculations'!E173:Y173)</f>
        <v>0.19313713624321474</v>
      </c>
      <c r="E139" s="55">
        <f>INDEX('Scenario Calculations'!$E$173:$Y$173,1,'Scenario Calculations'!D201+1)</f>
        <v>7.5239759530153966E-2</v>
      </c>
      <c r="F139" s="55">
        <f>INDEX('Scenario Calculations'!$E$173:$Y$173,1,'Scenario Calculations'!E201+1)</f>
        <v>7.5239759530153966E-2</v>
      </c>
      <c r="G139" s="55">
        <f>INDEX('Scenario Calculations'!$E$173:$Y$173,1,'Scenario Calculations'!F201+1)</f>
        <v>0.2107569268849406</v>
      </c>
      <c r="H139" s="55">
        <f>INDEX('Scenario Calculations'!$E$173:$Y$173,1,'Scenario Calculations'!G201+1)</f>
        <v>0.46707693645069281</v>
      </c>
    </row>
    <row r="142" spans="3:8" x14ac:dyDescent="0.15">
      <c r="C142" s="69" t="s">
        <v>158</v>
      </c>
    </row>
    <row r="143" spans="3:8" ht="16" x14ac:dyDescent="0.3">
      <c r="C143" s="72" t="s">
        <v>77</v>
      </c>
      <c r="D143" s="72" t="s">
        <v>152</v>
      </c>
      <c r="E143" s="72" t="s">
        <v>153</v>
      </c>
      <c r="F143" s="72" t="s">
        <v>154</v>
      </c>
      <c r="G143" s="72" t="s">
        <v>155</v>
      </c>
      <c r="H143" s="72" t="s">
        <v>156</v>
      </c>
    </row>
    <row r="144" spans="3:8" x14ac:dyDescent="0.15">
      <c r="C144" s="29">
        <v>2030</v>
      </c>
      <c r="D144" s="55">
        <f>(SUMPRODUCT('Scenario Calculations'!E140:Y140,'Scenario Calculations'!E168:Y168)+Yn0)/GDP_0-1</f>
        <v>0.23700096088981093</v>
      </c>
      <c r="E144" s="55">
        <f>(INDEX('Scenario Calculations'!$E$168:$Y$168,1,'Scenario Calculations'!D181+1)+Yn0)/GDP_0-1</f>
        <v>0.23700096088981093</v>
      </c>
      <c r="F144" s="55">
        <f>(INDEX('Scenario Calculations'!$E$168:$Y$168,1,'Scenario Calculations'!E181+1)+Yn0)/GDP_0-1</f>
        <v>0.23700096088981093</v>
      </c>
      <c r="G144" s="55">
        <f>(INDEX('Scenario Calculations'!$E$168:$Y$168,1,'Scenario Calculations'!F181+1)+Yn0)/GDP_0-1</f>
        <v>0.23700096088981093</v>
      </c>
      <c r="H144" s="55">
        <f>(INDEX('Scenario Calculations'!$E$168:$Y$168,1,'Scenario Calculations'!G181+1)+Yn0)/GDP_0-1</f>
        <v>0.23700096088981093</v>
      </c>
    </row>
    <row r="145" spans="3:8" x14ac:dyDescent="0.15">
      <c r="C145" s="29">
        <v>2031</v>
      </c>
      <c r="D145" s="55">
        <f>(SUMPRODUCT('Scenario Calculations'!E141:Y141,'Scenario Calculations'!E168:Y168)+Yn0)/GDP_0-1</f>
        <v>0.25782457351519583</v>
      </c>
      <c r="E145" s="55">
        <f>(INDEX('Scenario Calculations'!$E$168:$Y$168,1,'Scenario Calculations'!D182+1)+Yn0)/GDP_0-1</f>
        <v>0.23700096088981093</v>
      </c>
      <c r="F145" s="55">
        <f>(INDEX('Scenario Calculations'!$E$168:$Y$168,1,'Scenario Calculations'!E182+1)+Yn0)/GDP_0-1</f>
        <v>0.23700096088981093</v>
      </c>
      <c r="G145" s="55">
        <f>(INDEX('Scenario Calculations'!$E$168:$Y$168,1,'Scenario Calculations'!F182+1)+Yn0)/GDP_0-1</f>
        <v>0.23700096088981093</v>
      </c>
      <c r="H145" s="55">
        <f>(INDEX('Scenario Calculations'!$E$168:$Y$168,1,'Scenario Calculations'!G182+1)+Yn0)/GDP_0-1</f>
        <v>0.23700096088981093</v>
      </c>
    </row>
    <row r="146" spans="3:8" x14ac:dyDescent="0.15">
      <c r="C146" s="29">
        <v>2032</v>
      </c>
      <c r="D146" s="55">
        <f>(SUMPRODUCT('Scenario Calculations'!E142:Y142,'Scenario Calculations'!E168:Y168)+Yn0)/GDP_0-1</f>
        <v>0.28031144657990947</v>
      </c>
      <c r="E146" s="55">
        <f>(INDEX('Scenario Calculations'!$E$168:$Y$168,1,'Scenario Calculations'!D183+1)+Yn0)/GDP_0-1</f>
        <v>0.23700096088981093</v>
      </c>
      <c r="F146" s="55">
        <f>(INDEX('Scenario Calculations'!$E$168:$Y$168,1,'Scenario Calculations'!E183+1)+Yn0)/GDP_0-1</f>
        <v>0.23700096088981093</v>
      </c>
      <c r="G146" s="55">
        <f>(INDEX('Scenario Calculations'!$E$168:$Y$168,1,'Scenario Calculations'!F183+1)+Yn0)/GDP_0-1</f>
        <v>0.23700096088981093</v>
      </c>
      <c r="H146" s="55">
        <f>(INDEX('Scenario Calculations'!$E$168:$Y$168,1,'Scenario Calculations'!G183+1)+Yn0)/GDP_0-1</f>
        <v>0.23700096088981093</v>
      </c>
    </row>
    <row r="147" spans="3:8" x14ac:dyDescent="0.15">
      <c r="C147" s="29">
        <v>2033</v>
      </c>
      <c r="D147" s="55">
        <f>(SUMPRODUCT('Scenario Calculations'!E143:Y143,'Scenario Calculations'!E168:Y168)+Yn0)/GDP_0-1</f>
        <v>0.30459443096524641</v>
      </c>
      <c r="E147" s="55">
        <f>(INDEX('Scenario Calculations'!$E$168:$Y$168,1,'Scenario Calculations'!D184+1)+Yn0)/GDP_0-1</f>
        <v>0.23700096088981093</v>
      </c>
      <c r="F147" s="55">
        <f>(INDEX('Scenario Calculations'!$E$168:$Y$168,1,'Scenario Calculations'!E184+1)+Yn0)/GDP_0-1</f>
        <v>0.23700096088981093</v>
      </c>
      <c r="G147" s="55">
        <f>(INDEX('Scenario Calculations'!$E$168:$Y$168,1,'Scenario Calculations'!F184+1)+Yn0)/GDP_0-1</f>
        <v>0.23700096088981093</v>
      </c>
      <c r="H147" s="55">
        <f>(INDEX('Scenario Calculations'!$E$168:$Y$168,1,'Scenario Calculations'!G184+1)+Yn0)/GDP_0-1</f>
        <v>0.83196132161509762</v>
      </c>
    </row>
    <row r="148" spans="3:8" x14ac:dyDescent="0.15">
      <c r="C148" s="29">
        <v>2034</v>
      </c>
      <c r="D148" s="55">
        <f>(SUMPRODUCT('Scenario Calculations'!E144:Y144,'Scenario Calculations'!E168:Y168)+Yn0)/GDP_0-1</f>
        <v>0.33081698885320088</v>
      </c>
      <c r="E148" s="55">
        <f>(INDEX('Scenario Calculations'!$E$168:$Y$168,1,'Scenario Calculations'!D185+1)+Yn0)/GDP_0-1</f>
        <v>0.23700096088981093</v>
      </c>
      <c r="F148" s="55">
        <f>(INDEX('Scenario Calculations'!$E$168:$Y$168,1,'Scenario Calculations'!E185+1)+Yn0)/GDP_0-1</f>
        <v>0.23700096088981093</v>
      </c>
      <c r="G148" s="55">
        <f>(INDEX('Scenario Calculations'!$E$168:$Y$168,1,'Scenario Calculations'!F185+1)+Yn0)/GDP_0-1</f>
        <v>0.23700096088981093</v>
      </c>
      <c r="H148" s="55">
        <f>(INDEX('Scenario Calculations'!$E$168:$Y$168,1,'Scenario Calculations'!G185+1)+Yn0)/GDP_0-1</f>
        <v>0.83196132161509762</v>
      </c>
    </row>
    <row r="149" spans="3:8" x14ac:dyDescent="0.15">
      <c r="C149" s="29">
        <v>2035</v>
      </c>
      <c r="D149" s="55">
        <f>(SUMPRODUCT('Scenario Calculations'!E145:Y145,'Scenario Calculations'!E168:Y168)+Yn0)/GDP_0-1</f>
        <v>0.3591340412910522</v>
      </c>
      <c r="E149" s="55">
        <f>(INDEX('Scenario Calculations'!$E$168:$Y$168,1,'Scenario Calculations'!D186+1)+Yn0)/GDP_0-1</f>
        <v>0.23700096088981093</v>
      </c>
      <c r="F149" s="55">
        <f>(INDEX('Scenario Calculations'!$E$168:$Y$168,1,'Scenario Calculations'!E186+1)+Yn0)/GDP_0-1</f>
        <v>0.23700096088981093</v>
      </c>
      <c r="G149" s="55">
        <f>(INDEX('Scenario Calculations'!$E$168:$Y$168,1,'Scenario Calculations'!F186+1)+Yn0)/GDP_0-1</f>
        <v>0.23700096088981093</v>
      </c>
      <c r="H149" s="55">
        <f>(INDEX('Scenario Calculations'!$E$168:$Y$168,1,'Scenario Calculations'!G186+1)+Yn0)/GDP_0-1</f>
        <v>0.83196132161509762</v>
      </c>
    </row>
    <row r="150" spans="3:8" x14ac:dyDescent="0.15">
      <c r="C150" s="29">
        <v>2036</v>
      </c>
      <c r="D150" s="55">
        <f>(SUMPRODUCT('Scenario Calculations'!E146:Y146,'Scenario Calculations'!E168:Y168)+Yn0)/GDP_0-1</f>
        <v>0.38971288345413346</v>
      </c>
      <c r="E150" s="55">
        <f>(INDEX('Scenario Calculations'!$E$168:$Y$168,1,'Scenario Calculations'!D187+1)+Yn0)/GDP_0-1</f>
        <v>0.23700096088981093</v>
      </c>
      <c r="F150" s="55">
        <f>(INDEX('Scenario Calculations'!$E$168:$Y$168,1,'Scenario Calculations'!E187+1)+Yn0)/GDP_0-1</f>
        <v>0.23700096088981093</v>
      </c>
      <c r="G150" s="55">
        <f>(INDEX('Scenario Calculations'!$E$168:$Y$168,1,'Scenario Calculations'!F187+1)+Yn0)/GDP_0-1</f>
        <v>0.23700096088981093</v>
      </c>
      <c r="H150" s="55">
        <f>(INDEX('Scenario Calculations'!$E$168:$Y$168,1,'Scenario Calculations'!G187+1)+Yn0)/GDP_0-1</f>
        <v>0.83196132161509762</v>
      </c>
    </row>
    <row r="151" spans="3:8" x14ac:dyDescent="0.15">
      <c r="C151" s="29">
        <v>2037</v>
      </c>
      <c r="D151" s="55">
        <f>(SUMPRODUCT('Scenario Calculations'!E147:Y147,'Scenario Calculations'!E168:Y168)+Yn0)/GDP_0-1</f>
        <v>0.42273417301408611</v>
      </c>
      <c r="E151" s="55">
        <f>(INDEX('Scenario Calculations'!$E$168:$Y$168,1,'Scenario Calculations'!D188+1)+Yn0)/GDP_0-1</f>
        <v>0.23700096088981093</v>
      </c>
      <c r="F151" s="55">
        <f>(INDEX('Scenario Calculations'!$E$168:$Y$168,1,'Scenario Calculations'!E188+1)+Yn0)/GDP_0-1</f>
        <v>0.23700096088981093</v>
      </c>
      <c r="G151" s="55">
        <f>(INDEX('Scenario Calculations'!$E$168:$Y$168,1,'Scenario Calculations'!F188+1)+Yn0)/GDP_0-1</f>
        <v>0.23700096088981093</v>
      </c>
      <c r="H151" s="55">
        <f>(INDEX('Scenario Calculations'!$E$168:$Y$168,1,'Scenario Calculations'!G188+1)+Yn0)/GDP_0-1</f>
        <v>0.83196132161509762</v>
      </c>
    </row>
    <row r="152" spans="3:8" x14ac:dyDescent="0.15">
      <c r="C152" s="29">
        <v>2038</v>
      </c>
      <c r="D152" s="55">
        <f>(SUMPRODUCT('Scenario Calculations'!E148:Y148,'Scenario Calculations'!E168:Y168)+Yn0)/GDP_0-1</f>
        <v>0.45839299745181084</v>
      </c>
      <c r="E152" s="55">
        <f>(INDEX('Scenario Calculations'!$E$168:$Y$168,1,'Scenario Calculations'!D189+1)+Yn0)/GDP_0-1</f>
        <v>0.23700096088981093</v>
      </c>
      <c r="F152" s="55">
        <f>(INDEX('Scenario Calculations'!$E$168:$Y$168,1,'Scenario Calculations'!E189+1)+Yn0)/GDP_0-1</f>
        <v>0.23700096088981093</v>
      </c>
      <c r="G152" s="55">
        <f>(INDEX('Scenario Calculations'!$E$168:$Y$168,1,'Scenario Calculations'!F189+1)+Yn0)/GDP_0-1</f>
        <v>0.23700096088981093</v>
      </c>
      <c r="H152" s="55">
        <f>(INDEX('Scenario Calculations'!$E$168:$Y$168,1,'Scenario Calculations'!G189+1)+Yn0)/GDP_0-1</f>
        <v>0.83196132161509762</v>
      </c>
    </row>
    <row r="153" spans="3:8" x14ac:dyDescent="0.15">
      <c r="C153" s="29">
        <v>2039</v>
      </c>
      <c r="D153" s="55">
        <f>(SUMPRODUCT('Scenario Calculations'!E149:Y149,'Scenario Calculations'!E168:Y168)+Yn0)/GDP_0-1</f>
        <v>0.4969000266207324</v>
      </c>
      <c r="E153" s="55">
        <f>(INDEX('Scenario Calculations'!$E$168:$Y$168,1,'Scenario Calculations'!D190+1)+Yn0)/GDP_0-1</f>
        <v>0.23700096088981093</v>
      </c>
      <c r="F153" s="55">
        <f>(INDEX('Scenario Calculations'!$E$168:$Y$168,1,'Scenario Calculations'!E190+1)+Yn0)/GDP_0-1</f>
        <v>0.23700096088981093</v>
      </c>
      <c r="G153" s="55">
        <f>(INDEX('Scenario Calculations'!$E$168:$Y$168,1,'Scenario Calculations'!F190+1)+Yn0)/GDP_0-1</f>
        <v>0.83196132161509762</v>
      </c>
      <c r="H153" s="55">
        <f>(INDEX('Scenario Calculations'!$E$168:$Y$168,1,'Scenario Calculations'!G190+1)+Yn0)/GDP_0-1</f>
        <v>0.83196132161509762</v>
      </c>
    </row>
    <row r="154" spans="3:8" x14ac:dyDescent="0.15">
      <c r="C154" s="29">
        <v>2040</v>
      </c>
      <c r="D154" s="55">
        <f>(SUMPRODUCT('Scenario Calculations'!E150:Y150,'Scenario Calculations'!E168:Y168)+Yn0)/GDP_0-1</f>
        <v>0.53848275736963114</v>
      </c>
      <c r="E154" s="55">
        <f>(INDEX('Scenario Calculations'!$E$168:$Y$168,1,'Scenario Calculations'!D191+1)+Yn0)/GDP_0-1</f>
        <v>0.23700096088981093</v>
      </c>
      <c r="F154" s="55">
        <f>(INDEX('Scenario Calculations'!$E$168:$Y$168,1,'Scenario Calculations'!E191+1)+Yn0)/GDP_0-1</f>
        <v>0.23700096088981093</v>
      </c>
      <c r="G154" s="55">
        <f>(INDEX('Scenario Calculations'!$E$168:$Y$168,1,'Scenario Calculations'!F191+1)+Yn0)/GDP_0-1</f>
        <v>0.83196132161509762</v>
      </c>
      <c r="H154" s="55">
        <f>(INDEX('Scenario Calculations'!$E$168:$Y$168,1,'Scenario Calculations'!G191+1)+Yn0)/GDP_0-1</f>
        <v>0.83196132161509762</v>
      </c>
    </row>
    <row r="155" spans="3:8" x14ac:dyDescent="0.15">
      <c r="C155" s="29">
        <v>2041</v>
      </c>
      <c r="D155" s="55">
        <f>(SUMPRODUCT('Scenario Calculations'!E151:Y151,'Scenario Calculations'!E168:Y168)+Yn0)/GDP_0-1</f>
        <v>0.58338685757819664</v>
      </c>
      <c r="E155" s="55">
        <f>(INDEX('Scenario Calculations'!$E$168:$Y$168,1,'Scenario Calculations'!D192+1)+Yn0)/GDP_0-1</f>
        <v>0.23700096088981093</v>
      </c>
      <c r="F155" s="55">
        <f>(INDEX('Scenario Calculations'!$E$168:$Y$168,1,'Scenario Calculations'!E192+1)+Yn0)/GDP_0-1</f>
        <v>0.23700096088981093</v>
      </c>
      <c r="G155" s="55">
        <f>(INDEX('Scenario Calculations'!$E$168:$Y$168,1,'Scenario Calculations'!F192+1)+Yn0)/GDP_0-1</f>
        <v>0.83196132161509762</v>
      </c>
      <c r="H155" s="55">
        <f>(INDEX('Scenario Calculations'!$E$168:$Y$168,1,'Scenario Calculations'!G192+1)+Yn0)/GDP_0-1</f>
        <v>0.83196132161509762</v>
      </c>
    </row>
    <row r="156" spans="3:8" x14ac:dyDescent="0.15">
      <c r="C156" s="29">
        <v>2042</v>
      </c>
      <c r="D156" s="55">
        <f>(SUMPRODUCT('Scenario Calculations'!E152:Y152,'Scenario Calculations'!E168:Y168)+Yn0)/GDP_0-1</f>
        <v>0.63187761754576588</v>
      </c>
      <c r="E156" s="55">
        <f>(INDEX('Scenario Calculations'!$E$168:$Y$168,1,'Scenario Calculations'!D193+1)+Yn0)/GDP_0-1</f>
        <v>0.23700096088981093</v>
      </c>
      <c r="F156" s="55">
        <f>(INDEX('Scenario Calculations'!$E$168:$Y$168,1,'Scenario Calculations'!E193+1)+Yn0)/GDP_0-1</f>
        <v>0.23700096088981093</v>
      </c>
      <c r="G156" s="55">
        <f>(INDEX('Scenario Calculations'!$E$168:$Y$168,1,'Scenario Calculations'!F193+1)+Yn0)/GDP_0-1</f>
        <v>0.83196132161509762</v>
      </c>
      <c r="H156" s="55">
        <f>(INDEX('Scenario Calculations'!$E$168:$Y$168,1,'Scenario Calculations'!G193+1)+Yn0)/GDP_0-1</f>
        <v>0.83196132161509762</v>
      </c>
    </row>
    <row r="157" spans="3:8" x14ac:dyDescent="0.15">
      <c r="C157" s="29">
        <v>2043</v>
      </c>
      <c r="D157" s="55">
        <f>(SUMPRODUCT('Scenario Calculations'!E153:Y153,'Scenario Calculations'!E168:Y168)+Yn0)/GDP_0-1</f>
        <v>0.68424151730795013</v>
      </c>
      <c r="E157" s="55">
        <f>(INDEX('Scenario Calculations'!$E$168:$Y$168,1,'Scenario Calculations'!D194+1)+Yn0)/GDP_0-1</f>
        <v>0.23700096088981093</v>
      </c>
      <c r="F157" s="55">
        <f>(INDEX('Scenario Calculations'!$E$168:$Y$168,1,'Scenario Calculations'!E194+1)+Yn0)/GDP_0-1</f>
        <v>0.23700096088981093</v>
      </c>
      <c r="G157" s="55">
        <f>(INDEX('Scenario Calculations'!$E$168:$Y$168,1,'Scenario Calculations'!F194+1)+Yn0)/GDP_0-1</f>
        <v>0.83196132161509762</v>
      </c>
      <c r="H157" s="55">
        <f>(INDEX('Scenario Calculations'!$E$168:$Y$168,1,'Scenario Calculations'!G194+1)+Yn0)/GDP_0-1</f>
        <v>0.83196132161509762</v>
      </c>
    </row>
    <row r="158" spans="3:8" x14ac:dyDescent="0.15">
      <c r="C158" s="29">
        <v>2044</v>
      </c>
      <c r="D158" s="55">
        <f>(SUMPRODUCT('Scenario Calculations'!E154:Y154,'Scenario Calculations'!E168:Y168)+Yn0)/GDP_0-1</f>
        <v>0.74078791914075137</v>
      </c>
      <c r="E158" s="55">
        <f>(INDEX('Scenario Calculations'!$E$168:$Y$168,1,'Scenario Calculations'!D195+1)+Yn0)/GDP_0-1</f>
        <v>0.23700096088981093</v>
      </c>
      <c r="F158" s="55">
        <f>(INDEX('Scenario Calculations'!$E$168:$Y$168,1,'Scenario Calculations'!E195+1)+Yn0)/GDP_0-1</f>
        <v>0.23700096088981093</v>
      </c>
      <c r="G158" s="55">
        <f>(INDEX('Scenario Calculations'!$E$168:$Y$168,1,'Scenario Calculations'!F195+1)+Yn0)/GDP_0-1</f>
        <v>0.83196132161509762</v>
      </c>
      <c r="H158" s="55">
        <f>(INDEX('Scenario Calculations'!$E$168:$Y$168,1,'Scenario Calculations'!G195+1)+Yn0)/GDP_0-1</f>
        <v>0.83196132161509762</v>
      </c>
    </row>
    <row r="159" spans="3:8" x14ac:dyDescent="0.15">
      <c r="C159" s="29">
        <v>2045</v>
      </c>
      <c r="D159" s="55">
        <f>(SUMPRODUCT('Scenario Calculations'!E155:Y155,'Scenario Calculations'!E168:Y168)+Yn0)/GDP_0-1</f>
        <v>0.80185089525136166</v>
      </c>
      <c r="E159" s="55">
        <f>(INDEX('Scenario Calculations'!$E$168:$Y$168,1,'Scenario Calculations'!D196+1)+Yn0)/GDP_0-1</f>
        <v>0.23700096088981093</v>
      </c>
      <c r="F159" s="55">
        <f>(INDEX('Scenario Calculations'!$E$168:$Y$168,1,'Scenario Calculations'!E196+1)+Yn0)/GDP_0-1</f>
        <v>0.23700096088981093</v>
      </c>
      <c r="G159" s="55">
        <f>(INDEX('Scenario Calculations'!$E$168:$Y$168,1,'Scenario Calculations'!F196+1)+Yn0)/GDP_0-1</f>
        <v>0.83196132161509762</v>
      </c>
      <c r="H159" s="55">
        <f>(INDEX('Scenario Calculations'!$E$168:$Y$168,1,'Scenario Calculations'!G196+1)+Yn0)/GDP_0-1</f>
        <v>0.83196132161509762</v>
      </c>
    </row>
    <row r="160" spans="3:8" x14ac:dyDescent="0.15">
      <c r="C160" s="29">
        <v>2046</v>
      </c>
      <c r="D160" s="55">
        <f>(SUMPRODUCT('Scenario Calculations'!E156:Y156,'Scenario Calculations'!E168:Y168)+Yn0)/GDP_0-1</f>
        <v>0.86779120145351474</v>
      </c>
      <c r="E160" s="55">
        <f>(INDEX('Scenario Calculations'!$E$168:$Y$168,1,'Scenario Calculations'!D197+1)+Yn0)/GDP_0-1</f>
        <v>0.23700096088981093</v>
      </c>
      <c r="F160" s="55">
        <f>(INDEX('Scenario Calculations'!$E$168:$Y$168,1,'Scenario Calculations'!E197+1)+Yn0)/GDP_0-1</f>
        <v>0.23700096088981093</v>
      </c>
      <c r="G160" s="55">
        <f>(INDEX('Scenario Calculations'!$E$168:$Y$168,1,'Scenario Calculations'!F197+1)+Yn0)/GDP_0-1</f>
        <v>0.83196132161509762</v>
      </c>
      <c r="H160" s="55">
        <f>(INDEX('Scenario Calculations'!$E$168:$Y$168,1,'Scenario Calculations'!G197+1)+Yn0)/GDP_0-1</f>
        <v>2.7846853062819559</v>
      </c>
    </row>
    <row r="161" spans="3:8" x14ac:dyDescent="0.15">
      <c r="C161" s="29">
        <v>2047</v>
      </c>
      <c r="D161" s="55">
        <f>(SUMPRODUCT('Scenario Calculations'!E157:Y157,'Scenario Calculations'!E168:Y168)+Yn0)/GDP_0-1</f>
        <v>0.93899840848773386</v>
      </c>
      <c r="E161" s="55">
        <f>(INDEX('Scenario Calculations'!$E$168:$Y$168,1,'Scenario Calculations'!D198+1)+Yn0)/GDP_0-1</f>
        <v>0.23700096088981093</v>
      </c>
      <c r="F161" s="55">
        <f>(INDEX('Scenario Calculations'!$E$168:$Y$168,1,'Scenario Calculations'!E198+1)+Yn0)/GDP_0-1</f>
        <v>0.23700096088981093</v>
      </c>
      <c r="G161" s="55">
        <f>(INDEX('Scenario Calculations'!$E$168:$Y$168,1,'Scenario Calculations'!F198+1)+Yn0)/GDP_0-1</f>
        <v>0.83196132161509762</v>
      </c>
      <c r="H161" s="55">
        <f>(INDEX('Scenario Calculations'!$E$168:$Y$168,1,'Scenario Calculations'!G198+1)+Yn0)/GDP_0-1</f>
        <v>2.7846853062819559</v>
      </c>
    </row>
    <row r="162" spans="3:8" x14ac:dyDescent="0.15">
      <c r="C162" s="29">
        <v>2048</v>
      </c>
      <c r="D162" s="55">
        <f>(SUMPRODUCT('Scenario Calculations'!E158:Y158,'Scenario Calculations'!E168:Y168)+Yn0)/GDP_0-1</f>
        <v>1.0158932035781532</v>
      </c>
      <c r="E162" s="55">
        <f>(INDEX('Scenario Calculations'!$E$168:$Y$168,1,'Scenario Calculations'!D199+1)+Yn0)/GDP_0-1</f>
        <v>0.23700096088981093</v>
      </c>
      <c r="F162" s="55">
        <f>(INDEX('Scenario Calculations'!$E$168:$Y$168,1,'Scenario Calculations'!E199+1)+Yn0)/GDP_0-1</f>
        <v>0.23700096088981093</v>
      </c>
      <c r="G162" s="55">
        <f>(INDEX('Scenario Calculations'!$E$168:$Y$168,1,'Scenario Calculations'!F199+1)+Yn0)/GDP_0-1</f>
        <v>0.83196132161509762</v>
      </c>
      <c r="H162" s="55">
        <f>(INDEX('Scenario Calculations'!$E$168:$Y$168,1,'Scenario Calculations'!G199+1)+Yn0)/GDP_0-1</f>
        <v>2.7846853062819559</v>
      </c>
    </row>
    <row r="163" spans="3:8" x14ac:dyDescent="0.15">
      <c r="C163" s="29">
        <v>2049</v>
      </c>
      <c r="D163" s="55">
        <f>(SUMPRODUCT('Scenario Calculations'!E159:Y159,'Scenario Calculations'!E168:Y168)+Yn0)/GDP_0-1</f>
        <v>1.0989298758233677</v>
      </c>
      <c r="E163" s="55">
        <f>(INDEX('Scenario Calculations'!$E$168:$Y$168,1,'Scenario Calculations'!D200+1)+Yn0)/GDP_0-1</f>
        <v>0.23700096088981093</v>
      </c>
      <c r="F163" s="55">
        <f>(INDEX('Scenario Calculations'!$E$168:$Y$168,1,'Scenario Calculations'!E200+1)+Yn0)/GDP_0-1</f>
        <v>0.23700096088981093</v>
      </c>
      <c r="G163" s="55">
        <f>(INDEX('Scenario Calculations'!$E$168:$Y$168,1,'Scenario Calculations'!F200+1)+Yn0)/GDP_0-1</f>
        <v>0.83196132161509762</v>
      </c>
      <c r="H163" s="55">
        <f>(INDEX('Scenario Calculations'!$E$168:$Y$168,1,'Scenario Calculations'!G200+1)+Yn0)/GDP_0-1</f>
        <v>2.7846853062819559</v>
      </c>
    </row>
    <row r="164" spans="3:8" x14ac:dyDescent="0.15">
      <c r="C164" s="29">
        <v>2050</v>
      </c>
      <c r="D164" s="55">
        <f>(SUMPRODUCT('Scenario Calculations'!E160:Y160,'Scenario Calculations'!E168:Y168)+Yn0)/GDP_0-1</f>
        <v>1.1885990001048143</v>
      </c>
      <c r="E164" s="55">
        <f>(INDEX('Scenario Calculations'!$E$168:$Y$168,1,'Scenario Calculations'!D201+1)+Yn0)/GDP_0-1</f>
        <v>0.23700096088981093</v>
      </c>
      <c r="F164" s="55">
        <f>(INDEX('Scenario Calculations'!$E$168:$Y$168,1,'Scenario Calculations'!E201+1)+Yn0)/GDP_0-1</f>
        <v>0.23700096088981093</v>
      </c>
      <c r="G164" s="55">
        <f>(INDEX('Scenario Calculations'!$E$168:$Y$168,1,'Scenario Calculations'!F201+1)+Yn0)/GDP_0-1</f>
        <v>0.83196132161509762</v>
      </c>
      <c r="H164" s="55">
        <f>(INDEX('Scenario Calculations'!$E$168:$Y$168,1,'Scenario Calculations'!G201+1)+Yn0)/GDP_0-1</f>
        <v>2.7846853062819559</v>
      </c>
    </row>
    <row r="166" spans="3:8" x14ac:dyDescent="0.15">
      <c r="C166" s="69" t="s">
        <v>159</v>
      </c>
    </row>
    <row r="167" spans="3:8" ht="16" x14ac:dyDescent="0.3">
      <c r="C167" s="72" t="s">
        <v>77</v>
      </c>
      <c r="D167" s="72" t="s">
        <v>152</v>
      </c>
      <c r="E167" s="72" t="s">
        <v>153</v>
      </c>
      <c r="F167" s="72" t="s">
        <v>154</v>
      </c>
      <c r="G167" s="72" t="s">
        <v>155</v>
      </c>
      <c r="H167" s="72" t="s">
        <v>156</v>
      </c>
    </row>
    <row r="168" spans="3:8" x14ac:dyDescent="0.15">
      <c r="C168" s="29">
        <v>2030</v>
      </c>
      <c r="D168" s="55">
        <f>SUMPRODUCT('Scenario Calculations'!E140:Y140,'Scenario Calculations'!E174:Y174)</f>
        <v>0.2107569268849406</v>
      </c>
      <c r="E168" s="55">
        <f>INDEX('Scenario Calculations'!$E$174:$Y$174,1,'Scenario Calculations'!D181+1)</f>
        <v>0.2107569268849406</v>
      </c>
      <c r="F168" s="55">
        <f>INDEX('Scenario Calculations'!$E$174:$Y$174,1,'Scenario Calculations'!E181+1)</f>
        <v>0.2107569268849406</v>
      </c>
      <c r="G168" s="55">
        <f>INDEX('Scenario Calculations'!$E$174:$Y$174,1,'Scenario Calculations'!F181+1)</f>
        <v>0.2107569268849406</v>
      </c>
      <c r="H168" s="55">
        <f>INDEX('Scenario Calculations'!$E$174:$Y$174,1,'Scenario Calculations'!G181+1)</f>
        <v>0.2107569268849406</v>
      </c>
    </row>
    <row r="169" spans="3:8" x14ac:dyDescent="0.15">
      <c r="C169" s="29">
        <v>2031</v>
      </c>
      <c r="D169" s="55">
        <f>SUMPRODUCT('Scenario Calculations'!E141:Y141,'Scenario Calculations'!E174:Y174)</f>
        <v>0.21972812721974191</v>
      </c>
      <c r="E169" s="55">
        <f>INDEX('Scenario Calculations'!$E$174:$Y$174,1,'Scenario Calculations'!D182+1)</f>
        <v>0.2107569268849406</v>
      </c>
      <c r="F169" s="55">
        <f>INDEX('Scenario Calculations'!$E$174:$Y$174,1,'Scenario Calculations'!E182+1)</f>
        <v>0.2107569268849406</v>
      </c>
      <c r="G169" s="55">
        <f>INDEX('Scenario Calculations'!$E$174:$Y$174,1,'Scenario Calculations'!F182+1)</f>
        <v>0.2107569268849406</v>
      </c>
      <c r="H169" s="55">
        <f>INDEX('Scenario Calculations'!$E$174:$Y$174,1,'Scenario Calculations'!G182+1)</f>
        <v>0.2107569268849406</v>
      </c>
    </row>
    <row r="170" spans="3:8" x14ac:dyDescent="0.15">
      <c r="C170" s="29">
        <v>2032</v>
      </c>
      <c r="D170" s="55">
        <f>SUMPRODUCT('Scenario Calculations'!E142:Y142,'Scenario Calculations'!E174:Y174)</f>
        <v>0.22872216626079753</v>
      </c>
      <c r="E170" s="55">
        <f>INDEX('Scenario Calculations'!$E$174:$Y$174,1,'Scenario Calculations'!D183+1)</f>
        <v>0.2107569268849406</v>
      </c>
      <c r="F170" s="55">
        <f>INDEX('Scenario Calculations'!$E$174:$Y$174,1,'Scenario Calculations'!E183+1)</f>
        <v>0.2107569268849406</v>
      </c>
      <c r="G170" s="55">
        <f>INDEX('Scenario Calculations'!$E$174:$Y$174,1,'Scenario Calculations'!F183+1)</f>
        <v>0.2107569268849406</v>
      </c>
      <c r="H170" s="55">
        <f>INDEX('Scenario Calculations'!$E$174:$Y$174,1,'Scenario Calculations'!G183+1)</f>
        <v>0.2107569268849406</v>
      </c>
    </row>
    <row r="171" spans="3:8" x14ac:dyDescent="0.15">
      <c r="C171" s="29">
        <v>2033</v>
      </c>
      <c r="D171" s="55">
        <f>SUMPRODUCT('Scenario Calculations'!E143:Y143,'Scenario Calculations'!E174:Y174)</f>
        <v>0.23773340927094327</v>
      </c>
      <c r="E171" s="55">
        <f>INDEX('Scenario Calculations'!$E$174:$Y$174,1,'Scenario Calculations'!D184+1)</f>
        <v>0.2107569268849406</v>
      </c>
      <c r="F171" s="55">
        <f>INDEX('Scenario Calculations'!$E$174:$Y$174,1,'Scenario Calculations'!E184+1)</f>
        <v>0.2107569268849406</v>
      </c>
      <c r="G171" s="55">
        <f>INDEX('Scenario Calculations'!$E$174:$Y$174,1,'Scenario Calculations'!F184+1)</f>
        <v>0.2107569268849406</v>
      </c>
      <c r="H171" s="55">
        <f>INDEX('Scenario Calculations'!$E$174:$Y$174,1,'Scenario Calculations'!G184+1)</f>
        <v>0.46707693645069281</v>
      </c>
    </row>
    <row r="172" spans="3:8" x14ac:dyDescent="0.15">
      <c r="C172" s="29">
        <v>2034</v>
      </c>
      <c r="D172" s="55">
        <f>SUMPRODUCT('Scenario Calculations'!E144:Y144,'Scenario Calculations'!E174:Y174)</f>
        <v>0.24675644139546588</v>
      </c>
      <c r="E172" s="55">
        <f>INDEX('Scenario Calculations'!$E$174:$Y$174,1,'Scenario Calculations'!D185+1)</f>
        <v>0.2107569268849406</v>
      </c>
      <c r="F172" s="55">
        <f>INDEX('Scenario Calculations'!$E$174:$Y$174,1,'Scenario Calculations'!E185+1)</f>
        <v>0.2107569268849406</v>
      </c>
      <c r="G172" s="55">
        <f>INDEX('Scenario Calculations'!$E$174:$Y$174,1,'Scenario Calculations'!F185+1)</f>
        <v>0.2107569268849406</v>
      </c>
      <c r="H172" s="55">
        <f>INDEX('Scenario Calculations'!$E$174:$Y$174,1,'Scenario Calculations'!G185+1)</f>
        <v>0.46707693645069281</v>
      </c>
    </row>
    <row r="173" spans="3:8" x14ac:dyDescent="0.15">
      <c r="C173" s="29">
        <v>2035</v>
      </c>
      <c r="D173" s="55">
        <f>SUMPRODUCT('Scenario Calculations'!E145:Y145,'Scenario Calculations'!E174:Y174)</f>
        <v>0.25578606204520321</v>
      </c>
      <c r="E173" s="55">
        <f>INDEX('Scenario Calculations'!$E$174:$Y$174,1,'Scenario Calculations'!D186+1)</f>
        <v>0.2107569268849406</v>
      </c>
      <c r="F173" s="55">
        <f>INDEX('Scenario Calculations'!$E$174:$Y$174,1,'Scenario Calculations'!E186+1)</f>
        <v>0.2107569268849406</v>
      </c>
      <c r="G173" s="55">
        <f>INDEX('Scenario Calculations'!$E$174:$Y$174,1,'Scenario Calculations'!F186+1)</f>
        <v>0.2107569268849406</v>
      </c>
      <c r="H173" s="55">
        <f>INDEX('Scenario Calculations'!$E$174:$Y$174,1,'Scenario Calculations'!G186+1)</f>
        <v>0.46707693645069281</v>
      </c>
    </row>
    <row r="174" spans="3:8" x14ac:dyDescent="0.15">
      <c r="C174" s="29">
        <v>2036</v>
      </c>
      <c r="D174" s="55">
        <f>SUMPRODUCT('Scenario Calculations'!E146:Y146,'Scenario Calculations'!E174:Y174)</f>
        <v>0.26481727935479815</v>
      </c>
      <c r="E174" s="55">
        <f>INDEX('Scenario Calculations'!$E$174:$Y$174,1,'Scenario Calculations'!D187+1)</f>
        <v>0.2107569268849406</v>
      </c>
      <c r="F174" s="55">
        <f>INDEX('Scenario Calculations'!$E$174:$Y$174,1,'Scenario Calculations'!E187+1)</f>
        <v>0.2107569268849406</v>
      </c>
      <c r="G174" s="55">
        <f>INDEX('Scenario Calculations'!$E$174:$Y$174,1,'Scenario Calculations'!F187+1)</f>
        <v>0.2107569268849406</v>
      </c>
      <c r="H174" s="55">
        <f>INDEX('Scenario Calculations'!$E$174:$Y$174,1,'Scenario Calculations'!G187+1)</f>
        <v>0.46707693645069281</v>
      </c>
    </row>
    <row r="175" spans="3:8" x14ac:dyDescent="0.15">
      <c r="C175" s="29">
        <v>2037</v>
      </c>
      <c r="D175" s="55">
        <f>SUMPRODUCT('Scenario Calculations'!E147:Y147,'Scenario Calculations'!E174:Y174)</f>
        <v>0.2738453047182644</v>
      </c>
      <c r="E175" s="55">
        <f>INDEX('Scenario Calculations'!$E$174:$Y$174,1,'Scenario Calculations'!D188+1)</f>
        <v>0.2107569268849406</v>
      </c>
      <c r="F175" s="55">
        <f>INDEX('Scenario Calculations'!$E$174:$Y$174,1,'Scenario Calculations'!E188+1)</f>
        <v>0.2107569268849406</v>
      </c>
      <c r="G175" s="55">
        <f>INDEX('Scenario Calculations'!$E$174:$Y$174,1,'Scenario Calculations'!F188+1)</f>
        <v>0.2107569268849406</v>
      </c>
      <c r="H175" s="55">
        <f>INDEX('Scenario Calculations'!$E$174:$Y$174,1,'Scenario Calculations'!G188+1)</f>
        <v>0.46707693645069281</v>
      </c>
    </row>
    <row r="176" spans="3:8" x14ac:dyDescent="0.15">
      <c r="C176" s="29">
        <v>2038</v>
      </c>
      <c r="D176" s="55">
        <f>SUMPRODUCT('Scenario Calculations'!E148:Y148,'Scenario Calculations'!E174:Y174)</f>
        <v>0.28286554740378417</v>
      </c>
      <c r="E176" s="55">
        <f>INDEX('Scenario Calculations'!$E$174:$Y$174,1,'Scenario Calculations'!D189+1)</f>
        <v>0.2107569268849406</v>
      </c>
      <c r="F176" s="55">
        <f>INDEX('Scenario Calculations'!$E$174:$Y$174,1,'Scenario Calculations'!E189+1)</f>
        <v>0.2107569268849406</v>
      </c>
      <c r="G176" s="55">
        <f>INDEX('Scenario Calculations'!$E$174:$Y$174,1,'Scenario Calculations'!F189+1)</f>
        <v>0.2107569268849406</v>
      </c>
      <c r="H176" s="55">
        <f>INDEX('Scenario Calculations'!$E$174:$Y$174,1,'Scenario Calculations'!G189+1)</f>
        <v>0.46707693645069281</v>
      </c>
    </row>
    <row r="177" spans="3:8" x14ac:dyDescent="0.15">
      <c r="C177" s="29">
        <v>2039</v>
      </c>
      <c r="D177" s="55">
        <f>SUMPRODUCT('Scenario Calculations'!E149:Y149,'Scenario Calculations'!E174:Y174)</f>
        <v>0.29187360924943939</v>
      </c>
      <c r="E177" s="55">
        <f>INDEX('Scenario Calculations'!$E$174:$Y$174,1,'Scenario Calculations'!D190+1)</f>
        <v>0.2107569268849406</v>
      </c>
      <c r="F177" s="55">
        <f>INDEX('Scenario Calculations'!$E$174:$Y$174,1,'Scenario Calculations'!E190+1)</f>
        <v>0.2107569268849406</v>
      </c>
      <c r="G177" s="55">
        <f>INDEX('Scenario Calculations'!$E$174:$Y$174,1,'Scenario Calculations'!F190+1)</f>
        <v>0.46707693645069281</v>
      </c>
      <c r="H177" s="55">
        <f>INDEX('Scenario Calculations'!$E$174:$Y$174,1,'Scenario Calculations'!G190+1)</f>
        <v>0.46707693645069281</v>
      </c>
    </row>
    <row r="178" spans="3:8" x14ac:dyDescent="0.15">
      <c r="C178" s="29">
        <v>2040</v>
      </c>
      <c r="D178" s="55">
        <f>SUMPRODUCT('Scenario Calculations'!E150:Y150,'Scenario Calculations'!E174:Y174)</f>
        <v>0.30086527944136104</v>
      </c>
      <c r="E178" s="55">
        <f>INDEX('Scenario Calculations'!$E$174:$Y$174,1,'Scenario Calculations'!D191+1)</f>
        <v>0.2107569268849406</v>
      </c>
      <c r="F178" s="55">
        <f>INDEX('Scenario Calculations'!$E$174:$Y$174,1,'Scenario Calculations'!E191+1)</f>
        <v>0.2107569268849406</v>
      </c>
      <c r="G178" s="55">
        <f>INDEX('Scenario Calculations'!$E$174:$Y$174,1,'Scenario Calculations'!F191+1)</f>
        <v>0.46707693645069281</v>
      </c>
      <c r="H178" s="55">
        <f>INDEX('Scenario Calculations'!$E$174:$Y$174,1,'Scenario Calculations'!G191+1)</f>
        <v>0.46707693645069281</v>
      </c>
    </row>
    <row r="179" spans="3:8" x14ac:dyDescent="0.15">
      <c r="C179" s="29">
        <v>2041</v>
      </c>
      <c r="D179" s="55">
        <f>SUMPRODUCT('Scenario Calculations'!E151:Y151,'Scenario Calculations'!E174:Y174)</f>
        <v>0.30983652937558487</v>
      </c>
      <c r="E179" s="55">
        <f>INDEX('Scenario Calculations'!$E$174:$Y$174,1,'Scenario Calculations'!D192+1)</f>
        <v>0.2107569268849406</v>
      </c>
      <c r="F179" s="55">
        <f>INDEX('Scenario Calculations'!$E$174:$Y$174,1,'Scenario Calculations'!E192+1)</f>
        <v>0.2107569268849406</v>
      </c>
      <c r="G179" s="55">
        <f>INDEX('Scenario Calculations'!$E$174:$Y$174,1,'Scenario Calculations'!F192+1)</f>
        <v>0.46707693645069281</v>
      </c>
      <c r="H179" s="55">
        <f>INDEX('Scenario Calculations'!$E$174:$Y$174,1,'Scenario Calculations'!G192+1)</f>
        <v>0.46707693645069281</v>
      </c>
    </row>
    <row r="180" spans="3:8" x14ac:dyDescent="0.15">
      <c r="C180" s="29">
        <v>2042</v>
      </c>
      <c r="D180" s="55">
        <f>SUMPRODUCT('Scenario Calculations'!E152:Y152,'Scenario Calculations'!E174:Y174)</f>
        <v>0.31878350760471669</v>
      </c>
      <c r="E180" s="55">
        <f>INDEX('Scenario Calculations'!$E$174:$Y$174,1,'Scenario Calculations'!D193+1)</f>
        <v>0.2107569268849406</v>
      </c>
      <c r="F180" s="55">
        <f>INDEX('Scenario Calculations'!$E$174:$Y$174,1,'Scenario Calculations'!E193+1)</f>
        <v>0.2107569268849406</v>
      </c>
      <c r="G180" s="55">
        <f>INDEX('Scenario Calculations'!$E$174:$Y$174,1,'Scenario Calculations'!F193+1)</f>
        <v>0.46707693645069281</v>
      </c>
      <c r="H180" s="55">
        <f>INDEX('Scenario Calculations'!$E$174:$Y$174,1,'Scenario Calculations'!G193+1)</f>
        <v>0.46707693645069281</v>
      </c>
    </row>
    <row r="181" spans="3:8" x14ac:dyDescent="0.15">
      <c r="C181" s="29">
        <v>2043</v>
      </c>
      <c r="D181" s="55">
        <f>SUMPRODUCT('Scenario Calculations'!E153:Y153,'Scenario Calculations'!E174:Y174)</f>
        <v>0.32770253487032974</v>
      </c>
      <c r="E181" s="55">
        <f>INDEX('Scenario Calculations'!$E$174:$Y$174,1,'Scenario Calculations'!D194+1)</f>
        <v>0.2107569268849406</v>
      </c>
      <c r="F181" s="55">
        <f>INDEX('Scenario Calculations'!$E$174:$Y$174,1,'Scenario Calculations'!E194+1)</f>
        <v>0.2107569268849406</v>
      </c>
      <c r="G181" s="55">
        <f>INDEX('Scenario Calculations'!$E$174:$Y$174,1,'Scenario Calculations'!F194+1)</f>
        <v>0.46707693645069281</v>
      </c>
      <c r="H181" s="55">
        <f>INDEX('Scenario Calculations'!$E$174:$Y$174,1,'Scenario Calculations'!G194+1)</f>
        <v>0.46707693645069281</v>
      </c>
    </row>
    <row r="182" spans="3:8" x14ac:dyDescent="0.15">
      <c r="C182" s="29">
        <v>2044</v>
      </c>
      <c r="D182" s="55">
        <f>SUMPRODUCT('Scenario Calculations'!E154:Y154,'Scenario Calculations'!E174:Y174)</f>
        <v>0.33659009922185373</v>
      </c>
      <c r="E182" s="55">
        <f>INDEX('Scenario Calculations'!$E$174:$Y$174,1,'Scenario Calculations'!D195+1)</f>
        <v>0.2107569268849406</v>
      </c>
      <c r="F182" s="55">
        <f>INDEX('Scenario Calculations'!$E$174:$Y$174,1,'Scenario Calculations'!E195+1)</f>
        <v>0.2107569268849406</v>
      </c>
      <c r="G182" s="55">
        <f>INDEX('Scenario Calculations'!$E$174:$Y$174,1,'Scenario Calculations'!F195+1)</f>
        <v>0.46707693645069281</v>
      </c>
      <c r="H182" s="55">
        <f>INDEX('Scenario Calculations'!$E$174:$Y$174,1,'Scenario Calculations'!G195+1)</f>
        <v>0.46707693645069281</v>
      </c>
    </row>
    <row r="183" spans="3:8" x14ac:dyDescent="0.15">
      <c r="C183" s="29">
        <v>2045</v>
      </c>
      <c r="D183" s="55">
        <f>SUMPRODUCT('Scenario Calculations'!E155:Y155,'Scenario Calculations'!E174:Y174)</f>
        <v>0.34544285122255497</v>
      </c>
      <c r="E183" s="55">
        <f>INDEX('Scenario Calculations'!$E$174:$Y$174,1,'Scenario Calculations'!D196+1)</f>
        <v>0.2107569268849406</v>
      </c>
      <c r="F183" s="55">
        <f>INDEX('Scenario Calculations'!$E$174:$Y$174,1,'Scenario Calculations'!E196+1)</f>
        <v>0.2107569268849406</v>
      </c>
      <c r="G183" s="55">
        <f>INDEX('Scenario Calculations'!$E$174:$Y$174,1,'Scenario Calculations'!F196+1)</f>
        <v>0.46707693645069281</v>
      </c>
      <c r="H183" s="55">
        <f>INDEX('Scenario Calculations'!$E$174:$Y$174,1,'Scenario Calculations'!G196+1)</f>
        <v>0.46707693645069281</v>
      </c>
    </row>
    <row r="184" spans="3:8" x14ac:dyDescent="0.15">
      <c r="C184" s="29">
        <v>2046</v>
      </c>
      <c r="D184" s="55">
        <f>SUMPRODUCT('Scenario Calculations'!E156:Y156,'Scenario Calculations'!E174:Y174)</f>
        <v>0.35425759924306727</v>
      </c>
      <c r="E184" s="55">
        <f>INDEX('Scenario Calculations'!$E$174:$Y$174,1,'Scenario Calculations'!D197+1)</f>
        <v>0.2107569268849406</v>
      </c>
      <c r="F184" s="55">
        <f>INDEX('Scenario Calculations'!$E$174:$Y$174,1,'Scenario Calculations'!E197+1)</f>
        <v>0.2107569268849406</v>
      </c>
      <c r="G184" s="55">
        <f>INDEX('Scenario Calculations'!$E$174:$Y$174,1,'Scenario Calculations'!F197+1)</f>
        <v>0.46707693645069281</v>
      </c>
      <c r="H184" s="55">
        <f>INDEX('Scenario Calculations'!$E$174:$Y$174,1,'Scenario Calculations'!G197+1)</f>
        <v>0.7420407878566635</v>
      </c>
    </row>
    <row r="185" spans="3:8" x14ac:dyDescent="0.15">
      <c r="C185" s="29">
        <v>2047</v>
      </c>
      <c r="D185" s="55">
        <f>SUMPRODUCT('Scenario Calculations'!E157:Y157,'Scenario Calculations'!E174:Y174)</f>
        <v>0.363031304842789</v>
      </c>
      <c r="E185" s="55">
        <f>INDEX('Scenario Calculations'!$E$174:$Y$174,1,'Scenario Calculations'!D198+1)</f>
        <v>0.2107569268849406</v>
      </c>
      <c r="F185" s="55">
        <f>INDEX('Scenario Calculations'!$E$174:$Y$174,1,'Scenario Calculations'!E198+1)</f>
        <v>0.2107569268849406</v>
      </c>
      <c r="G185" s="55">
        <f>INDEX('Scenario Calculations'!$E$174:$Y$174,1,'Scenario Calculations'!F198+1)</f>
        <v>0.46707693645069281</v>
      </c>
      <c r="H185" s="55">
        <f>INDEX('Scenario Calculations'!$E$174:$Y$174,1,'Scenario Calculations'!G198+1)</f>
        <v>0.7420407878566635</v>
      </c>
    </row>
    <row r="186" spans="3:8" x14ac:dyDescent="0.15">
      <c r="C186" s="29">
        <v>2048</v>
      </c>
      <c r="D186" s="55">
        <f>SUMPRODUCT('Scenario Calculations'!E158:Y158,'Scenario Calculations'!E174:Y174)</f>
        <v>0.37176107823933396</v>
      </c>
      <c r="E186" s="55">
        <f>INDEX('Scenario Calculations'!$E$174:$Y$174,1,'Scenario Calculations'!D199+1)</f>
        <v>0.2107569268849406</v>
      </c>
      <c r="F186" s="55">
        <f>INDEX('Scenario Calculations'!$E$174:$Y$174,1,'Scenario Calculations'!E199+1)</f>
        <v>0.2107569268849406</v>
      </c>
      <c r="G186" s="55">
        <f>INDEX('Scenario Calculations'!$E$174:$Y$174,1,'Scenario Calculations'!F199+1)</f>
        <v>0.46707693645069281</v>
      </c>
      <c r="H186" s="55">
        <f>INDEX('Scenario Calculations'!$E$174:$Y$174,1,'Scenario Calculations'!G199+1)</f>
        <v>0.7420407878566635</v>
      </c>
    </row>
    <row r="187" spans="3:8" x14ac:dyDescent="0.15">
      <c r="C187" s="29">
        <v>2049</v>
      </c>
      <c r="D187" s="55">
        <f>SUMPRODUCT('Scenario Calculations'!E159:Y159,'Scenario Calculations'!E174:Y174)</f>
        <v>0.38044417386610591</v>
      </c>
      <c r="E187" s="55">
        <f>INDEX('Scenario Calculations'!$E$174:$Y$174,1,'Scenario Calculations'!D200+1)</f>
        <v>0.2107569268849406</v>
      </c>
      <c r="F187" s="55">
        <f>INDEX('Scenario Calculations'!$E$174:$Y$174,1,'Scenario Calculations'!E200+1)</f>
        <v>0.2107569268849406</v>
      </c>
      <c r="G187" s="55">
        <f>INDEX('Scenario Calculations'!$E$174:$Y$174,1,'Scenario Calculations'!F200+1)</f>
        <v>0.46707693645069281</v>
      </c>
      <c r="H187" s="55">
        <f>INDEX('Scenario Calculations'!$E$174:$Y$174,1,'Scenario Calculations'!G200+1)</f>
        <v>0.7420407878566635</v>
      </c>
    </row>
    <row r="188" spans="3:8" x14ac:dyDescent="0.15">
      <c r="C188" s="29">
        <v>2050</v>
      </c>
      <c r="D188" s="55">
        <f>SUMPRODUCT('Scenario Calculations'!E160:Y160,'Scenario Calculations'!E174:Y174)</f>
        <v>0.38907798601795202</v>
      </c>
      <c r="E188" s="55">
        <f>INDEX('Scenario Calculations'!$E$174:$Y$174,1,'Scenario Calculations'!D201+1)</f>
        <v>0.2107569268849406</v>
      </c>
      <c r="F188" s="55">
        <f>INDEX('Scenario Calculations'!$E$174:$Y$174,1,'Scenario Calculations'!E201+1)</f>
        <v>0.2107569268849406</v>
      </c>
      <c r="G188" s="55">
        <f>INDEX('Scenario Calculations'!$E$174:$Y$174,1,'Scenario Calculations'!F201+1)</f>
        <v>0.46707693645069281</v>
      </c>
      <c r="H188" s="55">
        <f>INDEX('Scenario Calculations'!$E$174:$Y$174,1,'Scenario Calculations'!G201+1)</f>
        <v>0.7420407878566635</v>
      </c>
    </row>
    <row r="191" spans="3:8" x14ac:dyDescent="0.15">
      <c r="C191" s="69" t="s">
        <v>160</v>
      </c>
    </row>
    <row r="192" spans="3:8" ht="16" x14ac:dyDescent="0.3">
      <c r="C192" s="72" t="s">
        <v>77</v>
      </c>
      <c r="D192" s="72" t="s">
        <v>152</v>
      </c>
      <c r="E192" s="72" t="s">
        <v>153</v>
      </c>
      <c r="F192" s="72" t="s">
        <v>154</v>
      </c>
      <c r="G192" s="72" t="s">
        <v>155</v>
      </c>
      <c r="H192" s="72" t="s">
        <v>156</v>
      </c>
    </row>
    <row r="193" spans="3:8" x14ac:dyDescent="0.15">
      <c r="C193" s="29">
        <v>2030</v>
      </c>
      <c r="D193" s="55">
        <f>(SUMPRODUCT('Scenario Calculations'!E140:Y140,'Scenario Calculations'!E169:Y169)+Yn0)/GDP_0-1</f>
        <v>0.83196132161509762</v>
      </c>
      <c r="E193" s="55">
        <f>(INDEX('Scenario Calculations'!$E$169:$Y$169,1,'Scenario Calculations'!D181+1)+Yn0)/GDP_0-1</f>
        <v>0.83196132161509762</v>
      </c>
      <c r="F193" s="55">
        <f>(INDEX('Scenario Calculations'!$E$169:$Y$169,1,'Scenario Calculations'!E181+1)+Yn0)/GDP_0-1</f>
        <v>0.83196132161509762</v>
      </c>
      <c r="G193" s="55">
        <f>(INDEX('Scenario Calculations'!$E$169:$Y$169,1,'Scenario Calculations'!F181+1)+Yn0)/GDP_0-1</f>
        <v>0.83196132161509762</v>
      </c>
      <c r="H193" s="55">
        <f>(INDEX('Scenario Calculations'!$E$169:$Y$169,1,'Scenario Calculations'!G181+1)+Yn0)/GDP_0-1</f>
        <v>0.83196132161509762</v>
      </c>
    </row>
    <row r="194" spans="3:8" x14ac:dyDescent="0.15">
      <c r="C194" s="29">
        <v>2031</v>
      </c>
      <c r="D194" s="55">
        <f>(SUMPRODUCT('Scenario Calculations'!E141:Y141,'Scenario Calculations'!E169:Y169)+Yn0)/GDP_0-1</f>
        <v>0.90030666107843804</v>
      </c>
      <c r="E194" s="55">
        <f>(INDEX('Scenario Calculations'!$E$169:$Y$169,1,'Scenario Calculations'!D182+1)+Yn0)/GDP_0-1</f>
        <v>0.83196132161509762</v>
      </c>
      <c r="F194" s="55">
        <f>(INDEX('Scenario Calculations'!$E$169:$Y$169,1,'Scenario Calculations'!E182+1)+Yn0)/GDP_0-1</f>
        <v>0.83196132161509762</v>
      </c>
      <c r="G194" s="55">
        <f>(INDEX('Scenario Calculations'!$E$169:$Y$169,1,'Scenario Calculations'!F182+1)+Yn0)/GDP_0-1</f>
        <v>0.83196132161509762</v>
      </c>
      <c r="H194" s="55">
        <f>(INDEX('Scenario Calculations'!$E$169:$Y$169,1,'Scenario Calculations'!G182+1)+Yn0)/GDP_0-1</f>
        <v>0.83196132161509762</v>
      </c>
    </row>
    <row r="195" spans="3:8" x14ac:dyDescent="0.15">
      <c r="C195" s="29">
        <v>2032</v>
      </c>
      <c r="D195" s="55">
        <f>(SUMPRODUCT('Scenario Calculations'!E142:Y142,'Scenario Calculations'!E169:Y169)+Yn0)/GDP_0-1</f>
        <v>0.9741110004466873</v>
      </c>
      <c r="E195" s="55">
        <f>(INDEX('Scenario Calculations'!$E$169:$Y$169,1,'Scenario Calculations'!D183+1)+Yn0)/GDP_0-1</f>
        <v>0.83196132161509762</v>
      </c>
      <c r="F195" s="55">
        <f>(INDEX('Scenario Calculations'!$E$169:$Y$169,1,'Scenario Calculations'!E183+1)+Yn0)/GDP_0-1</f>
        <v>0.83196132161509762</v>
      </c>
      <c r="G195" s="55">
        <f>(INDEX('Scenario Calculations'!$E$169:$Y$169,1,'Scenario Calculations'!F183+1)+Yn0)/GDP_0-1</f>
        <v>0.83196132161509762</v>
      </c>
      <c r="H195" s="55">
        <f>(INDEX('Scenario Calculations'!$E$169:$Y$169,1,'Scenario Calculations'!G183+1)+Yn0)/GDP_0-1</f>
        <v>0.83196132161509762</v>
      </c>
    </row>
    <row r="196" spans="3:8" x14ac:dyDescent="0.15">
      <c r="C196" s="29">
        <v>2033</v>
      </c>
      <c r="D196" s="55">
        <f>(SUMPRODUCT('Scenario Calculations'!E143:Y143,'Scenario Calculations'!E169:Y169)+Yn0)/GDP_0-1</f>
        <v>1.0538103706210866</v>
      </c>
      <c r="E196" s="55">
        <f>(INDEX('Scenario Calculations'!$E$169:$Y$169,1,'Scenario Calculations'!D184+1)+Yn0)/GDP_0-1</f>
        <v>0.83196132161509762</v>
      </c>
      <c r="F196" s="55">
        <f>(INDEX('Scenario Calculations'!$E$169:$Y$169,1,'Scenario Calculations'!E184+1)+Yn0)/GDP_0-1</f>
        <v>0.83196132161509762</v>
      </c>
      <c r="G196" s="55">
        <f>(INDEX('Scenario Calculations'!$E$169:$Y$169,1,'Scenario Calculations'!F184+1)+Yn0)/GDP_0-1</f>
        <v>0.83196132161509762</v>
      </c>
      <c r="H196" s="55">
        <f>(INDEX('Scenario Calculations'!$E$169:$Y$169,1,'Scenario Calculations'!G184+1)+Yn0)/GDP_0-1</f>
        <v>2.7846853062819559</v>
      </c>
    </row>
    <row r="197" spans="3:8" x14ac:dyDescent="0.15">
      <c r="C197" s="29">
        <v>2034</v>
      </c>
      <c r="D197" s="55">
        <f>(SUMPRODUCT('Scenario Calculations'!E144:Y144,'Scenario Calculations'!E169:Y169)+Yn0)/GDP_0-1</f>
        <v>1.139875629934668</v>
      </c>
      <c r="E197" s="55">
        <f>(INDEX('Scenario Calculations'!$E$169:$Y$169,1,'Scenario Calculations'!D185+1)+Yn0)/GDP_0-1</f>
        <v>0.83196132161509762</v>
      </c>
      <c r="F197" s="55">
        <f>(INDEX('Scenario Calculations'!$E$169:$Y$169,1,'Scenario Calculations'!E185+1)+Yn0)/GDP_0-1</f>
        <v>0.83196132161509762</v>
      </c>
      <c r="G197" s="55">
        <f>(INDEX('Scenario Calculations'!$E$169:$Y$169,1,'Scenario Calculations'!F185+1)+Yn0)/GDP_0-1</f>
        <v>0.83196132161509762</v>
      </c>
      <c r="H197" s="55">
        <f>(INDEX('Scenario Calculations'!$E$169:$Y$169,1,'Scenario Calculations'!G185+1)+Yn0)/GDP_0-1</f>
        <v>2.7846853062819559</v>
      </c>
    </row>
    <row r="198" spans="3:8" x14ac:dyDescent="0.15">
      <c r="C198" s="29">
        <v>2035</v>
      </c>
      <c r="D198" s="55">
        <f>(SUMPRODUCT('Scenario Calculations'!E145:Y145,'Scenario Calculations'!E169:Y169)+Yn0)/GDP_0-1</f>
        <v>1.2328152459505204</v>
      </c>
      <c r="E198" s="55">
        <f>(INDEX('Scenario Calculations'!$E$169:$Y$169,1,'Scenario Calculations'!D186+1)+Yn0)/GDP_0-1</f>
        <v>0.83196132161509762</v>
      </c>
      <c r="F198" s="55">
        <f>(INDEX('Scenario Calculations'!$E$169:$Y$169,1,'Scenario Calculations'!E186+1)+Yn0)/GDP_0-1</f>
        <v>0.83196132161509762</v>
      </c>
      <c r="G198" s="55">
        <f>(INDEX('Scenario Calculations'!$E$169:$Y$169,1,'Scenario Calculations'!F186+1)+Yn0)/GDP_0-1</f>
        <v>0.83196132161509762</v>
      </c>
      <c r="H198" s="55">
        <f>(INDEX('Scenario Calculations'!$E$169:$Y$169,1,'Scenario Calculations'!G186+1)+Yn0)/GDP_0-1</f>
        <v>2.7846853062819559</v>
      </c>
    </row>
    <row r="199" spans="3:8" x14ac:dyDescent="0.15">
      <c r="C199" s="29">
        <v>2036</v>
      </c>
      <c r="D199" s="55">
        <f>(SUMPRODUCT('Scenario Calculations'!E146:Y146,'Scenario Calculations'!E169:Y169)+Yn0)/GDP_0-1</f>
        <v>1.3331782994527726</v>
      </c>
      <c r="E199" s="55">
        <f>(INDEX('Scenario Calculations'!$E$169:$Y$169,1,'Scenario Calculations'!D187+1)+Yn0)/GDP_0-1</f>
        <v>0.83196132161509762</v>
      </c>
      <c r="F199" s="55">
        <f>(INDEX('Scenario Calculations'!$E$169:$Y$169,1,'Scenario Calculations'!E187+1)+Yn0)/GDP_0-1</f>
        <v>0.83196132161509762</v>
      </c>
      <c r="G199" s="55">
        <f>(INDEX('Scenario Calculations'!$E$169:$Y$169,1,'Scenario Calculations'!F187+1)+Yn0)/GDP_0-1</f>
        <v>0.83196132161509762</v>
      </c>
      <c r="H199" s="55">
        <f>(INDEX('Scenario Calculations'!$E$169:$Y$169,1,'Scenario Calculations'!G187+1)+Yn0)/GDP_0-1</f>
        <v>2.7846853062819559</v>
      </c>
    </row>
    <row r="200" spans="3:8" x14ac:dyDescent="0.15">
      <c r="C200" s="29">
        <v>2037</v>
      </c>
      <c r="D200" s="55">
        <f>(SUMPRODUCT('Scenario Calculations'!E147:Y147,'Scenario Calculations'!E169:Y169)+Yn0)/GDP_0-1</f>
        <v>1.4415577283776542</v>
      </c>
      <c r="E200" s="55">
        <f>(INDEX('Scenario Calculations'!$E$169:$Y$169,1,'Scenario Calculations'!D188+1)+Yn0)/GDP_0-1</f>
        <v>0.83196132161509762</v>
      </c>
      <c r="F200" s="55">
        <f>(INDEX('Scenario Calculations'!$E$169:$Y$169,1,'Scenario Calculations'!E188+1)+Yn0)/GDP_0-1</f>
        <v>0.83196132161509762</v>
      </c>
      <c r="G200" s="55">
        <f>(INDEX('Scenario Calculations'!$E$169:$Y$169,1,'Scenario Calculations'!F188+1)+Yn0)/GDP_0-1</f>
        <v>0.83196132161509762</v>
      </c>
      <c r="H200" s="55">
        <f>(INDEX('Scenario Calculations'!$E$169:$Y$169,1,'Scenario Calculations'!G188+1)+Yn0)/GDP_0-1</f>
        <v>2.7846853062819559</v>
      </c>
    </row>
    <row r="201" spans="3:8" x14ac:dyDescent="0.15">
      <c r="C201" s="29">
        <v>2038</v>
      </c>
      <c r="D201" s="55">
        <f>(SUMPRODUCT('Scenario Calculations'!E148:Y148,'Scenario Calculations'!E169:Y169)+Yn0)/GDP_0-1</f>
        <v>1.5585938308495657</v>
      </c>
      <c r="E201" s="55">
        <f>(INDEX('Scenario Calculations'!$E$169:$Y$169,1,'Scenario Calculations'!D189+1)+Yn0)/GDP_0-1</f>
        <v>0.83196132161509762</v>
      </c>
      <c r="F201" s="55">
        <f>(INDEX('Scenario Calculations'!$E$169:$Y$169,1,'Scenario Calculations'!E189+1)+Yn0)/GDP_0-1</f>
        <v>0.83196132161509762</v>
      </c>
      <c r="G201" s="55">
        <f>(INDEX('Scenario Calculations'!$E$169:$Y$169,1,'Scenario Calculations'!F189+1)+Yn0)/GDP_0-1</f>
        <v>0.83196132161509762</v>
      </c>
      <c r="H201" s="55">
        <f>(INDEX('Scenario Calculations'!$E$169:$Y$169,1,'Scenario Calculations'!G189+1)+Yn0)/GDP_0-1</f>
        <v>2.7846853062819559</v>
      </c>
    </row>
    <row r="202" spans="3:8" x14ac:dyDescent="0.15">
      <c r="C202" s="29">
        <v>2039</v>
      </c>
      <c r="D202" s="55">
        <f>(SUMPRODUCT('Scenario Calculations'!E149:Y149,'Scenario Calculations'!E169:Y169)+Yn0)/GDP_0-1</f>
        <v>1.68497804801784</v>
      </c>
      <c r="E202" s="55">
        <f>(INDEX('Scenario Calculations'!$E$169:$Y$169,1,'Scenario Calculations'!D190+1)+Yn0)/GDP_0-1</f>
        <v>0.83196132161509762</v>
      </c>
      <c r="F202" s="55">
        <f>(INDEX('Scenario Calculations'!$E$169:$Y$169,1,'Scenario Calculations'!E190+1)+Yn0)/GDP_0-1</f>
        <v>0.83196132161509762</v>
      </c>
      <c r="G202" s="55">
        <f>(INDEX('Scenario Calculations'!$E$169:$Y$169,1,'Scenario Calculations'!F190+1)+Yn0)/GDP_0-1</f>
        <v>2.7846853062819559</v>
      </c>
      <c r="H202" s="55">
        <f>(INDEX('Scenario Calculations'!$E$169:$Y$169,1,'Scenario Calculations'!G190+1)+Yn0)/GDP_0-1</f>
        <v>2.7846853062819559</v>
      </c>
    </row>
    <row r="203" spans="3:8" x14ac:dyDescent="0.15">
      <c r="C203" s="29">
        <v>2040</v>
      </c>
      <c r="D203" s="55">
        <f>(SUMPRODUCT('Scenario Calculations'!E150:Y150,'Scenario Calculations'!E169:Y169)+Yn0)/GDP_0-1</f>
        <v>1.821457049042936</v>
      </c>
      <c r="E203" s="55">
        <f>(INDEX('Scenario Calculations'!$E$169:$Y$169,1,'Scenario Calculations'!D191+1)+Yn0)/GDP_0-1</f>
        <v>0.83196132161509762</v>
      </c>
      <c r="F203" s="55">
        <f>(INDEX('Scenario Calculations'!$E$169:$Y$169,1,'Scenario Calculations'!E191+1)+Yn0)/GDP_0-1</f>
        <v>0.83196132161509762</v>
      </c>
      <c r="G203" s="55">
        <f>(INDEX('Scenario Calculations'!$E$169:$Y$169,1,'Scenario Calculations'!F191+1)+Yn0)/GDP_0-1</f>
        <v>2.7846853062819559</v>
      </c>
      <c r="H203" s="55">
        <f>(INDEX('Scenario Calculations'!$E$169:$Y$169,1,'Scenario Calculations'!G191+1)+Yn0)/GDP_0-1</f>
        <v>2.7846853062819559</v>
      </c>
    </row>
    <row r="204" spans="3:8" x14ac:dyDescent="0.15">
      <c r="C204" s="29">
        <v>2041</v>
      </c>
      <c r="D204" s="55">
        <f>(SUMPRODUCT('Scenario Calculations'!E151:Y151,'Scenario Calculations'!E169:Y169)+Yn0)/GDP_0-1</f>
        <v>1.9688371423658886</v>
      </c>
      <c r="E204" s="55">
        <f>(INDEX('Scenario Calculations'!$E$169:$Y$169,1,'Scenario Calculations'!D192+1)+Yn0)/GDP_0-1</f>
        <v>0.83196132161509762</v>
      </c>
      <c r="F204" s="55">
        <f>(INDEX('Scenario Calculations'!$E$169:$Y$169,1,'Scenario Calculations'!E192+1)+Yn0)/GDP_0-1</f>
        <v>0.83196132161509762</v>
      </c>
      <c r="G204" s="55">
        <f>(INDEX('Scenario Calculations'!$E$169:$Y$169,1,'Scenario Calculations'!F192+1)+Yn0)/GDP_0-1</f>
        <v>2.7846853062819559</v>
      </c>
      <c r="H204" s="55">
        <f>(INDEX('Scenario Calculations'!$E$169:$Y$169,1,'Scenario Calculations'!G192+1)+Yn0)/GDP_0-1</f>
        <v>2.7846853062819559</v>
      </c>
    </row>
    <row r="205" spans="3:8" x14ac:dyDescent="0.15">
      <c r="C205" s="29">
        <v>2042</v>
      </c>
      <c r="D205" s="55">
        <f>(SUMPRODUCT('Scenario Calculations'!E152:Y152,'Scenario Calculations'!E169:Y169)+Yn0)/GDP_0-1</f>
        <v>2.1279890393224612</v>
      </c>
      <c r="E205" s="55">
        <f>(INDEX('Scenario Calculations'!$E$169:$Y$169,1,'Scenario Calculations'!D193+1)+Yn0)/GDP_0-1</f>
        <v>0.83196132161509762</v>
      </c>
      <c r="F205" s="55">
        <f>(INDEX('Scenario Calculations'!$E$169:$Y$169,1,'Scenario Calculations'!E193+1)+Yn0)/GDP_0-1</f>
        <v>0.83196132161509762</v>
      </c>
      <c r="G205" s="55">
        <f>(INDEX('Scenario Calculations'!$E$169:$Y$169,1,'Scenario Calculations'!F193+1)+Yn0)/GDP_0-1</f>
        <v>2.7846853062819559</v>
      </c>
      <c r="H205" s="55">
        <f>(INDEX('Scenario Calculations'!$E$169:$Y$169,1,'Scenario Calculations'!G193+1)+Yn0)/GDP_0-1</f>
        <v>2.7846853062819559</v>
      </c>
    </row>
    <row r="206" spans="3:8" x14ac:dyDescent="0.15">
      <c r="C206" s="29">
        <v>2043</v>
      </c>
      <c r="D206" s="55">
        <f>(SUMPRODUCT('Scenario Calculations'!E153:Y153,'Scenario Calculations'!E169:Y169)+Yn0)/GDP_0-1</f>
        <v>2.2998529982451319</v>
      </c>
      <c r="E206" s="55">
        <f>(INDEX('Scenario Calculations'!$E$169:$Y$169,1,'Scenario Calculations'!D194+1)+Yn0)/GDP_0-1</f>
        <v>0.83196132161509762</v>
      </c>
      <c r="F206" s="55">
        <f>(INDEX('Scenario Calculations'!$E$169:$Y$169,1,'Scenario Calculations'!E194+1)+Yn0)/GDP_0-1</f>
        <v>0.83196132161509762</v>
      </c>
      <c r="G206" s="55">
        <f>(INDEX('Scenario Calculations'!$E$169:$Y$169,1,'Scenario Calculations'!F194+1)+Yn0)/GDP_0-1</f>
        <v>2.7846853062819559</v>
      </c>
      <c r="H206" s="55">
        <f>(INDEX('Scenario Calculations'!$E$169:$Y$169,1,'Scenario Calculations'!G194+1)+Yn0)/GDP_0-1</f>
        <v>2.7846853062819559</v>
      </c>
    </row>
    <row r="207" spans="3:8" x14ac:dyDescent="0.15">
      <c r="C207" s="29">
        <v>2044</v>
      </c>
      <c r="D207" s="55">
        <f>(SUMPRODUCT('Scenario Calculations'!E154:Y154,'Scenario Calculations'!E169:Y169)+Yn0)/GDP_0-1</f>
        <v>2.4854443794438978</v>
      </c>
      <c r="E207" s="55">
        <f>(INDEX('Scenario Calculations'!$E$169:$Y$169,1,'Scenario Calculations'!D195+1)+Yn0)/GDP_0-1</f>
        <v>0.83196132161509762</v>
      </c>
      <c r="F207" s="55">
        <f>(INDEX('Scenario Calculations'!$E$169:$Y$169,1,'Scenario Calculations'!E195+1)+Yn0)/GDP_0-1</f>
        <v>0.83196132161509762</v>
      </c>
      <c r="G207" s="55">
        <f>(INDEX('Scenario Calculations'!$E$169:$Y$169,1,'Scenario Calculations'!F195+1)+Yn0)/GDP_0-1</f>
        <v>2.7846853062819559</v>
      </c>
      <c r="H207" s="55">
        <f>(INDEX('Scenario Calculations'!$E$169:$Y$169,1,'Scenario Calculations'!G195+1)+Yn0)/GDP_0-1</f>
        <v>2.7846853062819559</v>
      </c>
    </row>
    <row r="208" spans="3:8" x14ac:dyDescent="0.15">
      <c r="C208" s="29">
        <v>2045</v>
      </c>
      <c r="D208" s="55">
        <f>(SUMPRODUCT('Scenario Calculations'!E155:Y155,'Scenario Calculations'!E169:Y169)+Yn0)/GDP_0-1</f>
        <v>2.685859643884319</v>
      </c>
      <c r="E208" s="55">
        <f>(INDEX('Scenario Calculations'!$E$169:$Y$169,1,'Scenario Calculations'!D196+1)+Yn0)/GDP_0-1</f>
        <v>0.83196132161509762</v>
      </c>
      <c r="F208" s="55">
        <f>(INDEX('Scenario Calculations'!$E$169:$Y$169,1,'Scenario Calculations'!E196+1)+Yn0)/GDP_0-1</f>
        <v>0.83196132161509762</v>
      </c>
      <c r="G208" s="55">
        <f>(INDEX('Scenario Calculations'!$E$169:$Y$169,1,'Scenario Calculations'!F196+1)+Yn0)/GDP_0-1</f>
        <v>2.7846853062819559</v>
      </c>
      <c r="H208" s="55">
        <f>(INDEX('Scenario Calculations'!$E$169:$Y$169,1,'Scenario Calculations'!G196+1)+Yn0)/GDP_0-1</f>
        <v>2.7846853062819559</v>
      </c>
    </row>
    <row r="209" spans="3:8" x14ac:dyDescent="0.15">
      <c r="C209" s="29">
        <v>2046</v>
      </c>
      <c r="D209" s="55">
        <f>(SUMPRODUCT('Scenario Calculations'!E156:Y156,'Scenario Calculations'!E169:Y169)+Yn0)/GDP_0-1</f>
        <v>2.9022828310026219</v>
      </c>
      <c r="E209" s="55">
        <f>(INDEX('Scenario Calculations'!$E$169:$Y$169,1,'Scenario Calculations'!D197+1)+Yn0)/GDP_0-1</f>
        <v>0.83196132161509762</v>
      </c>
      <c r="F209" s="55">
        <f>(INDEX('Scenario Calculations'!$E$169:$Y$169,1,'Scenario Calculations'!E197+1)+Yn0)/GDP_0-1</f>
        <v>0.83196132161509762</v>
      </c>
      <c r="G209" s="55">
        <f>(INDEX('Scenario Calculations'!$E$169:$Y$169,1,'Scenario Calculations'!F197+1)+Yn0)/GDP_0-1</f>
        <v>2.7846853062819559</v>
      </c>
      <c r="H209" s="55">
        <f>(INDEX('Scenario Calculations'!$E$169:$Y$169,1,'Scenario Calculations'!G197+1)+Yn0)/GDP_0-1</f>
        <v>9.1937357439360028</v>
      </c>
    </row>
    <row r="210" spans="3:8" x14ac:dyDescent="0.15">
      <c r="C210" s="29">
        <v>2047</v>
      </c>
      <c r="D210" s="55">
        <f>(SUMPRODUCT('Scenario Calculations'!E157:Y157,'Scenario Calculations'!E169:Y169)+Yn0)/GDP_0-1</f>
        <v>3.1359925539282827</v>
      </c>
      <c r="E210" s="55">
        <f>(INDEX('Scenario Calculations'!$E$169:$Y$169,1,'Scenario Calculations'!D198+1)+Yn0)/GDP_0-1</f>
        <v>0.83196132161509762</v>
      </c>
      <c r="F210" s="55">
        <f>(INDEX('Scenario Calculations'!$E$169:$Y$169,1,'Scenario Calculations'!E198+1)+Yn0)/GDP_0-1</f>
        <v>0.83196132161509762</v>
      </c>
      <c r="G210" s="55">
        <f>(INDEX('Scenario Calculations'!$E$169:$Y$169,1,'Scenario Calculations'!F198+1)+Yn0)/GDP_0-1</f>
        <v>2.7846853062819559</v>
      </c>
      <c r="H210" s="55">
        <f>(INDEX('Scenario Calculations'!$E$169:$Y$169,1,'Scenario Calculations'!G198+1)+Yn0)/GDP_0-1</f>
        <v>9.1937357439360028</v>
      </c>
    </row>
    <row r="211" spans="3:8" x14ac:dyDescent="0.15">
      <c r="C211" s="29">
        <v>2048</v>
      </c>
      <c r="D211" s="55">
        <f>(SUMPRODUCT('Scenario Calculations'!E158:Y158,'Scenario Calculations'!E169:Y169)+Yn0)/GDP_0-1</f>
        <v>3.3883695534414269</v>
      </c>
      <c r="E211" s="55">
        <f>(INDEX('Scenario Calculations'!$E$169:$Y$169,1,'Scenario Calculations'!D199+1)+Yn0)/GDP_0-1</f>
        <v>0.83196132161509762</v>
      </c>
      <c r="F211" s="55">
        <f>(INDEX('Scenario Calculations'!$E$169:$Y$169,1,'Scenario Calculations'!E199+1)+Yn0)/GDP_0-1</f>
        <v>0.83196132161509762</v>
      </c>
      <c r="G211" s="55">
        <f>(INDEX('Scenario Calculations'!$E$169:$Y$169,1,'Scenario Calculations'!F199+1)+Yn0)/GDP_0-1</f>
        <v>2.7846853062819559</v>
      </c>
      <c r="H211" s="55">
        <f>(INDEX('Scenario Calculations'!$E$169:$Y$169,1,'Scenario Calculations'!G199+1)+Yn0)/GDP_0-1</f>
        <v>9.1937357439360028</v>
      </c>
    </row>
    <row r="212" spans="3:8" x14ac:dyDescent="0.15">
      <c r="C212" s="29">
        <v>2049</v>
      </c>
      <c r="D212" s="55">
        <f>(SUMPRODUCT('Scenario Calculations'!E159:Y159,'Scenario Calculations'!E169:Y169)+Yn0)/GDP_0-1</f>
        <v>3.6609048552932748</v>
      </c>
      <c r="E212" s="55">
        <f>(INDEX('Scenario Calculations'!$E$169:$Y$169,1,'Scenario Calculations'!D200+1)+Yn0)/GDP_0-1</f>
        <v>0.83196132161509762</v>
      </c>
      <c r="F212" s="55">
        <f>(INDEX('Scenario Calculations'!$E$169:$Y$169,1,'Scenario Calculations'!E200+1)+Yn0)/GDP_0-1</f>
        <v>0.83196132161509762</v>
      </c>
      <c r="G212" s="55">
        <f>(INDEX('Scenario Calculations'!$E$169:$Y$169,1,'Scenario Calculations'!F200+1)+Yn0)/GDP_0-1</f>
        <v>2.7846853062819559</v>
      </c>
      <c r="H212" s="55">
        <f>(INDEX('Scenario Calculations'!$E$169:$Y$169,1,'Scenario Calculations'!G200+1)+Yn0)/GDP_0-1</f>
        <v>9.1937357439360028</v>
      </c>
    </row>
    <row r="213" spans="3:8" x14ac:dyDescent="0.15">
      <c r="C213" s="29">
        <v>2050</v>
      </c>
      <c r="D213" s="55">
        <f>(SUMPRODUCT('Scenario Calculations'!E160:Y160,'Scenario Calculations'!E169:Y169)+Yn0)/GDP_0-1</f>
        <v>3.9552085790825355</v>
      </c>
      <c r="E213" s="55">
        <f>(INDEX('Scenario Calculations'!$E$169:$Y$169,1,'Scenario Calculations'!D201+1)+Yn0)/GDP_0-1</f>
        <v>0.83196132161509762</v>
      </c>
      <c r="F213" s="55">
        <f>(INDEX('Scenario Calculations'!$E$169:$Y$169,1,'Scenario Calculations'!E201+1)+Yn0)/GDP_0-1</f>
        <v>0.83196132161509762</v>
      </c>
      <c r="G213" s="55">
        <f>(INDEX('Scenario Calculations'!$E$169:$Y$169,1,'Scenario Calculations'!F201+1)+Yn0)/GDP_0-1</f>
        <v>2.7846853062819559</v>
      </c>
      <c r="H213" s="55">
        <f>(INDEX('Scenario Calculations'!$E$169:$Y$169,1,'Scenario Calculations'!G201+1)+Yn0)/GDP_0-1</f>
        <v>9.1937357439360028</v>
      </c>
    </row>
    <row r="215" spans="3:8" x14ac:dyDescent="0.15">
      <c r="C215" s="69" t="s">
        <v>161</v>
      </c>
    </row>
    <row r="216" spans="3:8" ht="16" x14ac:dyDescent="0.3">
      <c r="C216" s="72" t="s">
        <v>77</v>
      </c>
      <c r="D216" s="72" t="s">
        <v>152</v>
      </c>
      <c r="E216" s="72" t="s">
        <v>153</v>
      </c>
      <c r="F216" s="72" t="s">
        <v>154</v>
      </c>
      <c r="G216" s="72" t="s">
        <v>155</v>
      </c>
      <c r="H216" s="72" t="s">
        <v>156</v>
      </c>
    </row>
    <row r="217" spans="3:8" x14ac:dyDescent="0.15">
      <c r="C217" s="29">
        <v>2030</v>
      </c>
      <c r="D217" s="55">
        <f>SUMPRODUCT('Scenario Calculations'!E140:Y140,'Scenario Calculations'!E175:Y175)</f>
        <v>0.46707693645069281</v>
      </c>
      <c r="E217" s="55">
        <f>INDEX('Scenario Calculations'!$E$175:$Y$175,1,'Scenario Calculations'!D181+1)</f>
        <v>0.46707693645069281</v>
      </c>
      <c r="F217" s="55">
        <f>INDEX('Scenario Calculations'!$E$175:$Y$175,1,'Scenario Calculations'!E181+1)</f>
        <v>0.46707693645069281</v>
      </c>
      <c r="G217" s="55">
        <f>INDEX('Scenario Calculations'!$E$175:$Y$175,1,'Scenario Calculations'!F181+1)</f>
        <v>0.46707693645069281</v>
      </c>
      <c r="H217" s="55">
        <f>INDEX('Scenario Calculations'!$E$175:$Y$175,1,'Scenario Calculations'!G181+1)</f>
        <v>0.46707693645069281</v>
      </c>
    </row>
    <row r="218" spans="3:8" x14ac:dyDescent="0.15">
      <c r="C218" s="29">
        <v>2031</v>
      </c>
      <c r="D218" s="55">
        <f>SUMPRODUCT('Scenario Calculations'!E141:Y141,'Scenario Calculations'!E175:Y175)</f>
        <v>0.47670067124990179</v>
      </c>
      <c r="E218" s="55">
        <f>INDEX('Scenario Calculations'!$E$175:$Y$175,1,'Scenario Calculations'!D182+1)</f>
        <v>0.46707693645069281</v>
      </c>
      <c r="F218" s="55">
        <f>INDEX('Scenario Calculations'!$E$175:$Y$175,1,'Scenario Calculations'!E182+1)</f>
        <v>0.46707693645069281</v>
      </c>
      <c r="G218" s="55">
        <f>INDEX('Scenario Calculations'!$E$175:$Y$175,1,'Scenario Calculations'!F182+1)</f>
        <v>0.46707693645069281</v>
      </c>
      <c r="H218" s="55">
        <f>INDEX('Scenario Calculations'!$E$175:$Y$175,1,'Scenario Calculations'!G182+1)</f>
        <v>0.46707693645069281</v>
      </c>
    </row>
    <row r="219" spans="3:8" x14ac:dyDescent="0.15">
      <c r="C219" s="29">
        <v>2032</v>
      </c>
      <c r="D219" s="55">
        <f>SUMPRODUCT('Scenario Calculations'!E142:Y142,'Scenario Calculations'!E175:Y175)</f>
        <v>0.48618625226496248</v>
      </c>
      <c r="E219" s="55">
        <f>INDEX('Scenario Calculations'!$E$175:$Y$175,1,'Scenario Calculations'!D183+1)</f>
        <v>0.46707693645069281</v>
      </c>
      <c r="F219" s="55">
        <f>INDEX('Scenario Calculations'!$E$175:$Y$175,1,'Scenario Calculations'!E183+1)</f>
        <v>0.46707693645069281</v>
      </c>
      <c r="G219" s="55">
        <f>INDEX('Scenario Calculations'!$E$175:$Y$175,1,'Scenario Calculations'!F183+1)</f>
        <v>0.46707693645069281</v>
      </c>
      <c r="H219" s="55">
        <f>INDEX('Scenario Calculations'!$E$175:$Y$175,1,'Scenario Calculations'!G183+1)</f>
        <v>0.46707693645069281</v>
      </c>
    </row>
    <row r="220" spans="3:8" x14ac:dyDescent="0.15">
      <c r="C220" s="29">
        <v>2033</v>
      </c>
      <c r="D220" s="55">
        <f>SUMPRODUCT('Scenario Calculations'!E143:Y143,'Scenario Calculations'!E175:Y175)</f>
        <v>0.49553432711444573</v>
      </c>
      <c r="E220" s="55">
        <f>INDEX('Scenario Calculations'!$E$175:$Y$175,1,'Scenario Calculations'!D184+1)</f>
        <v>0.46707693645069281</v>
      </c>
      <c r="F220" s="55">
        <f>INDEX('Scenario Calculations'!$E$175:$Y$175,1,'Scenario Calculations'!E184+1)</f>
        <v>0.46707693645069281</v>
      </c>
      <c r="G220" s="55">
        <f>INDEX('Scenario Calculations'!$E$175:$Y$175,1,'Scenario Calculations'!F184+1)</f>
        <v>0.46707693645069281</v>
      </c>
      <c r="H220" s="55">
        <f>INDEX('Scenario Calculations'!$E$175:$Y$175,1,'Scenario Calculations'!G184+1)</f>
        <v>0.7420407878566635</v>
      </c>
    </row>
    <row r="221" spans="3:8" x14ac:dyDescent="0.15">
      <c r="C221" s="29">
        <v>2034</v>
      </c>
      <c r="D221" s="55">
        <f>SUMPRODUCT('Scenario Calculations'!E144:Y144,'Scenario Calculations'!E175:Y175)</f>
        <v>0.50474560281653225</v>
      </c>
      <c r="E221" s="55">
        <f>INDEX('Scenario Calculations'!$E$175:$Y$175,1,'Scenario Calculations'!D185+1)</f>
        <v>0.46707693645069281</v>
      </c>
      <c r="F221" s="55">
        <f>INDEX('Scenario Calculations'!$E$175:$Y$175,1,'Scenario Calculations'!E185+1)</f>
        <v>0.46707693645069281</v>
      </c>
      <c r="G221" s="55">
        <f>INDEX('Scenario Calculations'!$E$175:$Y$175,1,'Scenario Calculations'!F185+1)</f>
        <v>0.46707693645069281</v>
      </c>
      <c r="H221" s="55">
        <f>INDEX('Scenario Calculations'!$E$175:$Y$175,1,'Scenario Calculations'!G185+1)</f>
        <v>0.7420407878566635</v>
      </c>
    </row>
    <row r="222" spans="3:8" x14ac:dyDescent="0.15">
      <c r="C222" s="29">
        <v>2035</v>
      </c>
      <c r="D222" s="55">
        <f>SUMPRODUCT('Scenario Calculations'!E145:Y145,'Scenario Calculations'!E175:Y175)</f>
        <v>0.51382084231934699</v>
      </c>
      <c r="E222" s="55">
        <f>INDEX('Scenario Calculations'!$E$175:$Y$175,1,'Scenario Calculations'!D186+1)</f>
        <v>0.46707693645069281</v>
      </c>
      <c r="F222" s="55">
        <f>INDEX('Scenario Calculations'!$E$175:$Y$175,1,'Scenario Calculations'!E186+1)</f>
        <v>0.46707693645069281</v>
      </c>
      <c r="G222" s="55">
        <f>INDEX('Scenario Calculations'!$E$175:$Y$175,1,'Scenario Calculations'!F186+1)</f>
        <v>0.46707693645069281</v>
      </c>
      <c r="H222" s="55">
        <f>INDEX('Scenario Calculations'!$E$175:$Y$175,1,'Scenario Calculations'!G186+1)</f>
        <v>0.7420407878566635</v>
      </c>
    </row>
    <row r="223" spans="3:8" x14ac:dyDescent="0.15">
      <c r="C223" s="29">
        <v>2036</v>
      </c>
      <c r="D223" s="55">
        <f>SUMPRODUCT('Scenario Calculations'!E146:Y146,'Scenario Calculations'!E175:Y175)</f>
        <v>0.52276086116811638</v>
      </c>
      <c r="E223" s="55">
        <f>INDEX('Scenario Calculations'!$E$175:$Y$175,1,'Scenario Calculations'!D187+1)</f>
        <v>0.46707693645069281</v>
      </c>
      <c r="F223" s="55">
        <f>INDEX('Scenario Calculations'!$E$175:$Y$175,1,'Scenario Calculations'!E187+1)</f>
        <v>0.46707693645069281</v>
      </c>
      <c r="G223" s="55">
        <f>INDEX('Scenario Calculations'!$E$175:$Y$175,1,'Scenario Calculations'!F187+1)</f>
        <v>0.46707693645069281</v>
      </c>
      <c r="H223" s="55">
        <f>INDEX('Scenario Calculations'!$E$175:$Y$175,1,'Scenario Calculations'!G187+1)</f>
        <v>0.7420407878566635</v>
      </c>
    </row>
    <row r="224" spans="3:8" x14ac:dyDescent="0.15">
      <c r="C224" s="29">
        <v>2037</v>
      </c>
      <c r="D224" s="55">
        <f>SUMPRODUCT('Scenario Calculations'!E147:Y147,'Scenario Calculations'!E175:Y175)</f>
        <v>0.53156652430454354</v>
      </c>
      <c r="E224" s="55">
        <f>INDEX('Scenario Calculations'!$E$175:$Y$175,1,'Scenario Calculations'!D188+1)</f>
        <v>0.46707693645069281</v>
      </c>
      <c r="F224" s="55">
        <f>INDEX('Scenario Calculations'!$E$175:$Y$175,1,'Scenario Calculations'!E188+1)</f>
        <v>0.46707693645069281</v>
      </c>
      <c r="G224" s="55">
        <f>INDEX('Scenario Calculations'!$E$175:$Y$175,1,'Scenario Calculations'!F188+1)</f>
        <v>0.46707693645069281</v>
      </c>
      <c r="H224" s="55">
        <f>INDEX('Scenario Calculations'!$E$175:$Y$175,1,'Scenario Calculations'!G188+1)</f>
        <v>0.7420407878566635</v>
      </c>
    </row>
    <row r="225" spans="1:12" x14ac:dyDescent="0.15">
      <c r="C225" s="29">
        <v>2038</v>
      </c>
      <c r="D225" s="55">
        <f>SUMPRODUCT('Scenario Calculations'!E148:Y148,'Scenario Calculations'!E175:Y175)</f>
        <v>0.54023874299393748</v>
      </c>
      <c r="E225" s="55">
        <f>INDEX('Scenario Calculations'!$E$175:$Y$175,1,'Scenario Calculations'!D189+1)</f>
        <v>0.46707693645069281</v>
      </c>
      <c r="F225" s="55">
        <f>INDEX('Scenario Calculations'!$E$175:$Y$175,1,'Scenario Calculations'!E189+1)</f>
        <v>0.46707693645069281</v>
      </c>
      <c r="G225" s="55">
        <f>INDEX('Scenario Calculations'!$E$175:$Y$175,1,'Scenario Calculations'!F189+1)</f>
        <v>0.46707693645069281</v>
      </c>
      <c r="H225" s="55">
        <f>INDEX('Scenario Calculations'!$E$175:$Y$175,1,'Scenario Calculations'!G189+1)</f>
        <v>0.7420407878566635</v>
      </c>
    </row>
    <row r="226" spans="1:12" x14ac:dyDescent="0.15">
      <c r="C226" s="29">
        <v>2039</v>
      </c>
      <c r="D226" s="55">
        <f>SUMPRODUCT('Scenario Calculations'!E149:Y149,'Scenario Calculations'!E175:Y175)</f>
        <v>0.54877847187577189</v>
      </c>
      <c r="E226" s="55">
        <f>INDEX('Scenario Calculations'!$E$175:$Y$175,1,'Scenario Calculations'!D190+1)</f>
        <v>0.46707693645069281</v>
      </c>
      <c r="F226" s="55">
        <f>INDEX('Scenario Calculations'!$E$175:$Y$175,1,'Scenario Calculations'!E190+1)</f>
        <v>0.46707693645069281</v>
      </c>
      <c r="G226" s="55">
        <f>INDEX('Scenario Calculations'!$E$175:$Y$175,1,'Scenario Calculations'!F190+1)</f>
        <v>0.7420407878566635</v>
      </c>
      <c r="H226" s="55">
        <f>INDEX('Scenario Calculations'!$E$175:$Y$175,1,'Scenario Calculations'!G190+1)</f>
        <v>0.7420407878566635</v>
      </c>
    </row>
    <row r="227" spans="1:12" x14ac:dyDescent="0.15">
      <c r="C227" s="29">
        <v>2040</v>
      </c>
      <c r="D227" s="55">
        <f>SUMPRODUCT('Scenario Calculations'!E150:Y150,'Scenario Calculations'!E175:Y175)</f>
        <v>0.5571867061334691</v>
      </c>
      <c r="E227" s="55">
        <f>INDEX('Scenario Calculations'!$E$175:$Y$175,1,'Scenario Calculations'!D191+1)</f>
        <v>0.46707693645069281</v>
      </c>
      <c r="F227" s="55">
        <f>INDEX('Scenario Calculations'!$E$175:$Y$175,1,'Scenario Calculations'!E191+1)</f>
        <v>0.46707693645069281</v>
      </c>
      <c r="G227" s="55">
        <f>INDEX('Scenario Calculations'!$E$175:$Y$175,1,'Scenario Calculations'!F191+1)</f>
        <v>0.7420407878566635</v>
      </c>
      <c r="H227" s="55">
        <f>INDEX('Scenario Calculations'!$E$175:$Y$175,1,'Scenario Calculations'!G191+1)</f>
        <v>0.7420407878566635</v>
      </c>
    </row>
    <row r="228" spans="1:12" x14ac:dyDescent="0.15">
      <c r="C228" s="29">
        <v>2041</v>
      </c>
      <c r="D228" s="55">
        <f>SUMPRODUCT('Scenario Calculations'!E151:Y151,'Scenario Calculations'!E175:Y175)</f>
        <v>0.56546447877935158</v>
      </c>
      <c r="E228" s="55">
        <f>INDEX('Scenario Calculations'!$E$175:$Y$175,1,'Scenario Calculations'!D192+1)</f>
        <v>0.46707693645069281</v>
      </c>
      <c r="F228" s="55">
        <f>INDEX('Scenario Calculations'!$E$175:$Y$175,1,'Scenario Calculations'!E192+1)</f>
        <v>0.46707693645069281</v>
      </c>
      <c r="G228" s="55">
        <f>INDEX('Scenario Calculations'!$E$175:$Y$175,1,'Scenario Calculations'!F192+1)</f>
        <v>0.7420407878566635</v>
      </c>
      <c r="H228" s="55">
        <f>INDEX('Scenario Calculations'!$E$175:$Y$175,1,'Scenario Calculations'!G192+1)</f>
        <v>0.7420407878566635</v>
      </c>
    </row>
    <row r="229" spans="1:12" x14ac:dyDescent="0.15">
      <c r="C229" s="29">
        <v>2042</v>
      </c>
      <c r="D229" s="55">
        <f>SUMPRODUCT('Scenario Calculations'!E152:Y152,'Scenario Calculations'!E175:Y175)</f>
        <v>0.57361285805080953</v>
      </c>
      <c r="E229" s="55">
        <f>INDEX('Scenario Calculations'!$E$175:$Y$175,1,'Scenario Calculations'!D193+1)</f>
        <v>0.46707693645069281</v>
      </c>
      <c r="F229" s="55">
        <f>INDEX('Scenario Calculations'!$E$175:$Y$175,1,'Scenario Calculations'!E193+1)</f>
        <v>0.46707693645069281</v>
      </c>
      <c r="G229" s="55">
        <f>INDEX('Scenario Calculations'!$E$175:$Y$175,1,'Scenario Calculations'!F193+1)</f>
        <v>0.7420407878566635</v>
      </c>
      <c r="H229" s="55">
        <f>INDEX('Scenario Calculations'!$E$175:$Y$175,1,'Scenario Calculations'!G193+1)</f>
        <v>0.7420407878566635</v>
      </c>
    </row>
    <row r="230" spans="1:12" x14ac:dyDescent="0.15">
      <c r="C230" s="29">
        <v>2043</v>
      </c>
      <c r="D230" s="55">
        <f>SUMPRODUCT('Scenario Calculations'!E153:Y153,'Scenario Calculations'!E175:Y175)</f>
        <v>0.58163294491386963</v>
      </c>
      <c r="E230" s="55">
        <f>INDEX('Scenario Calculations'!$E$175:$Y$175,1,'Scenario Calculations'!D194+1)</f>
        <v>0.46707693645069281</v>
      </c>
      <c r="F230" s="55">
        <f>INDEX('Scenario Calculations'!$E$175:$Y$175,1,'Scenario Calculations'!E194+1)</f>
        <v>0.46707693645069281</v>
      </c>
      <c r="G230" s="55">
        <f>INDEX('Scenario Calculations'!$E$175:$Y$175,1,'Scenario Calculations'!F194+1)</f>
        <v>0.7420407878566635</v>
      </c>
      <c r="H230" s="55">
        <f>INDEX('Scenario Calculations'!$E$175:$Y$175,1,'Scenario Calculations'!G194+1)</f>
        <v>0.7420407878566635</v>
      </c>
    </row>
    <row r="231" spans="1:12" x14ac:dyDescent="0.15">
      <c r="C231" s="29">
        <v>2044</v>
      </c>
      <c r="D231" s="55">
        <f>SUMPRODUCT('Scenario Calculations'!E154:Y154,'Scenario Calculations'!E175:Y175)</f>
        <v>0.58952587067045747</v>
      </c>
      <c r="E231" s="55">
        <f>INDEX('Scenario Calculations'!$E$175:$Y$175,1,'Scenario Calculations'!D195+1)</f>
        <v>0.46707693645069281</v>
      </c>
      <c r="F231" s="55">
        <f>INDEX('Scenario Calculations'!$E$175:$Y$175,1,'Scenario Calculations'!E195+1)</f>
        <v>0.46707693645069281</v>
      </c>
      <c r="G231" s="55">
        <f>INDEX('Scenario Calculations'!$E$175:$Y$175,1,'Scenario Calculations'!F195+1)</f>
        <v>0.7420407878566635</v>
      </c>
      <c r="H231" s="55">
        <f>INDEX('Scenario Calculations'!$E$175:$Y$175,1,'Scenario Calculations'!G195+1)</f>
        <v>0.7420407878566635</v>
      </c>
    </row>
    <row r="232" spans="1:12" x14ac:dyDescent="0.15">
      <c r="C232" s="29">
        <v>2045</v>
      </c>
      <c r="D232" s="55">
        <f>SUMPRODUCT('Scenario Calculations'!E155:Y155,'Scenario Calculations'!E175:Y175)</f>
        <v>0.59729279466576768</v>
      </c>
      <c r="E232" s="55">
        <f>INDEX('Scenario Calculations'!$E$175:$Y$175,1,'Scenario Calculations'!D196+1)</f>
        <v>0.46707693645069281</v>
      </c>
      <c r="F232" s="55">
        <f>INDEX('Scenario Calculations'!$E$175:$Y$175,1,'Scenario Calculations'!E196+1)</f>
        <v>0.46707693645069281</v>
      </c>
      <c r="G232" s="55">
        <f>INDEX('Scenario Calculations'!$E$175:$Y$175,1,'Scenario Calculations'!F196+1)</f>
        <v>0.7420407878566635</v>
      </c>
      <c r="H232" s="55">
        <f>INDEX('Scenario Calculations'!$E$175:$Y$175,1,'Scenario Calculations'!G196+1)</f>
        <v>0.7420407878566635</v>
      </c>
    </row>
    <row r="233" spans="1:12" x14ac:dyDescent="0.15">
      <c r="C233" s="29">
        <v>2046</v>
      </c>
      <c r="D233" s="55">
        <f>SUMPRODUCT('Scenario Calculations'!E156:Y156,'Scenario Calculations'!E175:Y175)</f>
        <v>0.60493490209226219</v>
      </c>
      <c r="E233" s="55">
        <f>INDEX('Scenario Calculations'!$E$175:$Y$175,1,'Scenario Calculations'!D197+1)</f>
        <v>0.46707693645069281</v>
      </c>
      <c r="F233" s="55">
        <f>INDEX('Scenario Calculations'!$E$175:$Y$175,1,'Scenario Calculations'!E197+1)</f>
        <v>0.46707693645069281</v>
      </c>
      <c r="G233" s="55">
        <f>INDEX('Scenario Calculations'!$E$175:$Y$175,1,'Scenario Calculations'!F197+1)</f>
        <v>0.7420407878566635</v>
      </c>
      <c r="H233" s="55">
        <f>INDEX('Scenario Calculations'!$E$175:$Y$175,1,'Scenario Calculations'!G197+1)</f>
        <v>0.90422603995794892</v>
      </c>
    </row>
    <row r="234" spans="1:12" x14ac:dyDescent="0.15">
      <c r="C234" s="29">
        <v>2047</v>
      </c>
      <c r="D234" s="55">
        <f>SUMPRODUCT('Scenario Calculations'!E157:Y157,'Scenario Calculations'!E175:Y175)</f>
        <v>0.61245340188692721</v>
      </c>
      <c r="E234" s="55">
        <f>INDEX('Scenario Calculations'!$E$175:$Y$175,1,'Scenario Calculations'!D198+1)</f>
        <v>0.46707693645069281</v>
      </c>
      <c r="F234" s="55">
        <f>INDEX('Scenario Calculations'!$E$175:$Y$175,1,'Scenario Calculations'!E198+1)</f>
        <v>0.46707693645069281</v>
      </c>
      <c r="G234" s="55">
        <f>INDEX('Scenario Calculations'!$E$175:$Y$175,1,'Scenario Calculations'!F198+1)</f>
        <v>0.7420407878566635</v>
      </c>
      <c r="H234" s="55">
        <f>INDEX('Scenario Calculations'!$E$175:$Y$175,1,'Scenario Calculations'!G198+1)</f>
        <v>0.90422603995794892</v>
      </c>
    </row>
    <row r="235" spans="1:12" x14ac:dyDescent="0.15">
      <c r="C235" s="29">
        <v>2048</v>
      </c>
      <c r="D235" s="55">
        <f>SUMPRODUCT('Scenario Calculations'!E158:Y158,'Scenario Calculations'!E175:Y175)</f>
        <v>0.61984952471853105</v>
      </c>
      <c r="E235" s="55">
        <f>INDEX('Scenario Calculations'!$E$175:$Y$175,1,'Scenario Calculations'!D199+1)</f>
        <v>0.46707693645069281</v>
      </c>
      <c r="F235" s="55">
        <f>INDEX('Scenario Calculations'!$E$175:$Y$175,1,'Scenario Calculations'!E199+1)</f>
        <v>0.46707693645069281</v>
      </c>
      <c r="G235" s="55">
        <f>INDEX('Scenario Calculations'!$E$175:$Y$175,1,'Scenario Calculations'!F199+1)</f>
        <v>0.7420407878566635</v>
      </c>
      <c r="H235" s="55">
        <f>INDEX('Scenario Calculations'!$E$175:$Y$175,1,'Scenario Calculations'!G199+1)</f>
        <v>0.90422603995794892</v>
      </c>
    </row>
    <row r="236" spans="1:12" x14ac:dyDescent="0.15">
      <c r="C236" s="29">
        <v>2049</v>
      </c>
      <c r="D236" s="55">
        <f>SUMPRODUCT('Scenario Calculations'!E159:Y159,'Scenario Calculations'!E175:Y175)</f>
        <v>0.62712452106171002</v>
      </c>
      <c r="E236" s="55">
        <f>INDEX('Scenario Calculations'!$E$175:$Y$175,1,'Scenario Calculations'!D200+1)</f>
        <v>0.46707693645069281</v>
      </c>
      <c r="F236" s="55">
        <f>INDEX('Scenario Calculations'!$E$175:$Y$175,1,'Scenario Calculations'!E200+1)</f>
        <v>0.46707693645069281</v>
      </c>
      <c r="G236" s="55">
        <f>INDEX('Scenario Calculations'!$E$175:$Y$175,1,'Scenario Calculations'!F200+1)</f>
        <v>0.7420407878566635</v>
      </c>
      <c r="H236" s="55">
        <f>INDEX('Scenario Calculations'!$E$175:$Y$175,1,'Scenario Calculations'!G200+1)</f>
        <v>0.90422603995794892</v>
      </c>
    </row>
    <row r="237" spans="1:12" x14ac:dyDescent="0.15">
      <c r="C237" s="29">
        <v>2050</v>
      </c>
      <c r="D237" s="55">
        <f>SUMPRODUCT('Scenario Calculations'!E160:Y160,'Scenario Calculations'!E175:Y175)</f>
        <v>0.6342796593548321</v>
      </c>
      <c r="E237" s="55">
        <f>INDEX('Scenario Calculations'!$E$175:$Y$175,1,'Scenario Calculations'!D201+1)</f>
        <v>0.46707693645069281</v>
      </c>
      <c r="F237" s="55">
        <f>INDEX('Scenario Calculations'!$E$175:$Y$175,1,'Scenario Calculations'!E201+1)</f>
        <v>0.46707693645069281</v>
      </c>
      <c r="G237" s="55">
        <f>INDEX('Scenario Calculations'!$E$175:$Y$175,1,'Scenario Calculations'!F201+1)</f>
        <v>0.7420407878566635</v>
      </c>
      <c r="H237" s="55">
        <f>INDEX('Scenario Calculations'!$E$175:$Y$175,1,'Scenario Calculations'!G201+1)</f>
        <v>0.90422603995794892</v>
      </c>
    </row>
    <row r="239" spans="1:12" x14ac:dyDescent="0.15">
      <c r="A239" s="29" t="s">
        <v>2</v>
      </c>
      <c r="C239" s="69" t="s">
        <v>87</v>
      </c>
    </row>
    <row r="240" spans="1:12" ht="16" x14ac:dyDescent="0.3">
      <c r="C240" s="72" t="s">
        <v>77</v>
      </c>
      <c r="D240" s="72" t="s">
        <v>162</v>
      </c>
      <c r="E240" s="72" t="s">
        <v>163</v>
      </c>
      <c r="F240" s="72" t="s">
        <v>164</v>
      </c>
      <c r="G240" s="72" t="s">
        <v>165</v>
      </c>
      <c r="H240" s="72" t="s">
        <v>166</v>
      </c>
      <c r="I240" s="72" t="s">
        <v>167</v>
      </c>
      <c r="J240" s="72" t="s">
        <v>168</v>
      </c>
      <c r="K240" s="72" t="s">
        <v>169</v>
      </c>
      <c r="L240" s="72" t="s">
        <v>170</v>
      </c>
    </row>
    <row r="241" spans="3:12" x14ac:dyDescent="0.15">
      <c r="C241" s="29">
        <v>2023</v>
      </c>
      <c r="D241" s="85">
        <f>'Scenario Calculations'!K73</f>
        <v>0</v>
      </c>
      <c r="E241" s="85">
        <f>0</f>
        <v>0</v>
      </c>
      <c r="F241" s="73">
        <f>'Scenario Calculations'!K73</f>
        <v>0</v>
      </c>
      <c r="G241" s="85">
        <f>'Scenario Calculations'!K89</f>
        <v>0</v>
      </c>
      <c r="H241" s="85">
        <f>0</f>
        <v>0</v>
      </c>
      <c r="I241" s="73">
        <f>'Scenario Calculations'!K89</f>
        <v>0</v>
      </c>
      <c r="J241" s="85">
        <f>'Scenario Calculations'!K121</f>
        <v>0</v>
      </c>
      <c r="K241" s="85">
        <f>0</f>
        <v>0</v>
      </c>
      <c r="L241" s="73">
        <f>'Scenario Calculations'!K121</f>
        <v>0</v>
      </c>
    </row>
    <row r="242" spans="3:12" x14ac:dyDescent="0.15">
      <c r="C242" s="29">
        <v>2024</v>
      </c>
      <c r="D242" s="85">
        <f>'Scenario Calculations'!K74</f>
        <v>2.8556198896366958E-2</v>
      </c>
      <c r="E242" s="85">
        <f>0</f>
        <v>0</v>
      </c>
      <c r="F242" s="73">
        <f>'Scenario Calculations'!K74</f>
        <v>2.8556198896366958E-2</v>
      </c>
      <c r="G242" s="85">
        <f>'Scenario Calculations'!K90</f>
        <v>2.8556198896366958E-2</v>
      </c>
      <c r="H242" s="85">
        <f>0</f>
        <v>0</v>
      </c>
      <c r="I242" s="73">
        <f>'Scenario Calculations'!K90</f>
        <v>2.8556198896366958E-2</v>
      </c>
      <c r="J242" s="85">
        <f>'Scenario Calculations'!K122</f>
        <v>2.8556198896366958E-2</v>
      </c>
      <c r="K242" s="85">
        <f>0</f>
        <v>0</v>
      </c>
      <c r="L242" s="73">
        <f>'Scenario Calculations'!K122</f>
        <v>2.8556198896366958E-2</v>
      </c>
    </row>
    <row r="243" spans="3:12" x14ac:dyDescent="0.15">
      <c r="C243" s="29">
        <v>2025</v>
      </c>
      <c r="D243" s="85">
        <f>'Scenario Calculations'!K75</f>
        <v>3.1211253026277364E-2</v>
      </c>
      <c r="E243" s="85">
        <f>0</f>
        <v>0</v>
      </c>
      <c r="F243" s="73">
        <f>'Scenario Calculations'!K75</f>
        <v>3.1211253026277364E-2</v>
      </c>
      <c r="G243" s="85">
        <f>'Scenario Calculations'!K91</f>
        <v>3.1211253026277364E-2</v>
      </c>
      <c r="H243" s="85">
        <f>0</f>
        <v>0</v>
      </c>
      <c r="I243" s="73">
        <f>'Scenario Calculations'!K91</f>
        <v>3.1211253026277364E-2</v>
      </c>
      <c r="J243" s="85">
        <f>'Scenario Calculations'!K123</f>
        <v>3.1211253026277364E-2</v>
      </c>
      <c r="K243" s="85">
        <f>0</f>
        <v>0</v>
      </c>
      <c r="L243" s="73">
        <f>'Scenario Calculations'!K123</f>
        <v>3.1211253026277364E-2</v>
      </c>
    </row>
    <row r="244" spans="3:12" x14ac:dyDescent="0.15">
      <c r="C244" s="29">
        <v>2026</v>
      </c>
      <c r="D244" s="85">
        <f>'Scenario Calculations'!K76</f>
        <v>3.6886136330610331E-2</v>
      </c>
      <c r="E244" s="85">
        <f>0</f>
        <v>0</v>
      </c>
      <c r="F244" s="73">
        <f>'Scenario Calculations'!K76</f>
        <v>3.6886136330610331E-2</v>
      </c>
      <c r="G244" s="85">
        <f>'Scenario Calculations'!K92</f>
        <v>3.6886136330610331E-2</v>
      </c>
      <c r="H244" s="85">
        <f>0</f>
        <v>0</v>
      </c>
      <c r="I244" s="73">
        <f>'Scenario Calculations'!K92</f>
        <v>3.6886136330610331E-2</v>
      </c>
      <c r="J244" s="85">
        <f>'Scenario Calculations'!K124</f>
        <v>3.6886136330610331E-2</v>
      </c>
      <c r="K244" s="85">
        <f>0</f>
        <v>0</v>
      </c>
      <c r="L244" s="73">
        <f>'Scenario Calculations'!K124</f>
        <v>3.6886136330610331E-2</v>
      </c>
    </row>
    <row r="245" spans="3:12" x14ac:dyDescent="0.15">
      <c r="C245" s="29">
        <v>2027</v>
      </c>
      <c r="D245" s="85">
        <f>'Scenario Calculations'!K77</f>
        <v>4.654661873964705E-2</v>
      </c>
      <c r="E245" s="85">
        <f>0</f>
        <v>0</v>
      </c>
      <c r="F245" s="73">
        <f>'Scenario Calculations'!K77</f>
        <v>4.654661873964705E-2</v>
      </c>
      <c r="G245" s="85">
        <f>'Scenario Calculations'!K93</f>
        <v>4.654661873964705E-2</v>
      </c>
      <c r="H245" s="85">
        <f>0</f>
        <v>0</v>
      </c>
      <c r="I245" s="73">
        <f>'Scenario Calculations'!K93</f>
        <v>4.654661873964705E-2</v>
      </c>
      <c r="J245" s="85">
        <f>'Scenario Calculations'!K125</f>
        <v>4.654661873964705E-2</v>
      </c>
      <c r="K245" s="85">
        <f>0</f>
        <v>0</v>
      </c>
      <c r="L245" s="73">
        <f>'Scenario Calculations'!K125</f>
        <v>4.654661873964705E-2</v>
      </c>
    </row>
    <row r="246" spans="3:12" x14ac:dyDescent="0.15">
      <c r="C246" s="29">
        <v>2028</v>
      </c>
      <c r="D246" s="85">
        <f>'Scenario Calculations'!K78</f>
        <v>5.4098641562847272E-2</v>
      </c>
      <c r="E246" s="85">
        <f>0</f>
        <v>0</v>
      </c>
      <c r="F246" s="73">
        <f>'Scenario Calculations'!K78</f>
        <v>5.4098641562847272E-2</v>
      </c>
      <c r="G246" s="85">
        <f>'Scenario Calculations'!K94</f>
        <v>5.4098641562847272E-2</v>
      </c>
      <c r="H246" s="85">
        <f>0</f>
        <v>0</v>
      </c>
      <c r="I246" s="73">
        <f>'Scenario Calculations'!K94</f>
        <v>5.4098641562847272E-2</v>
      </c>
      <c r="J246" s="85">
        <f>'Scenario Calculations'!K126</f>
        <v>5.4098641562847272E-2</v>
      </c>
      <c r="K246" s="85">
        <f>0</f>
        <v>0</v>
      </c>
      <c r="L246" s="73">
        <f>'Scenario Calculations'!K126</f>
        <v>5.4098641562847272E-2</v>
      </c>
    </row>
    <row r="247" spans="3:12" x14ac:dyDescent="0.15">
      <c r="C247" s="29">
        <v>2029</v>
      </c>
      <c r="D247" s="85">
        <f>'Scenario Calculations'!K79</f>
        <v>6.2156431646994692E-2</v>
      </c>
      <c r="E247" s="85">
        <f>0</f>
        <v>0</v>
      </c>
      <c r="F247" s="73">
        <f>'Scenario Calculations'!K79</f>
        <v>6.2156431646994692E-2</v>
      </c>
      <c r="G247" s="85">
        <f>'Scenario Calculations'!K95</f>
        <v>0.16592260587734264</v>
      </c>
      <c r="H247" s="85">
        <f>0</f>
        <v>0</v>
      </c>
      <c r="I247" s="73">
        <f>'Scenario Calculations'!K95</f>
        <v>0.16592260587734264</v>
      </c>
      <c r="J247" s="85">
        <f>'Scenario Calculations'!K127</f>
        <v>0.16592260587734264</v>
      </c>
      <c r="K247" s="85">
        <f>0</f>
        <v>0</v>
      </c>
      <c r="L247" s="73">
        <f>'Scenario Calculations'!K127</f>
        <v>0.16592260587734264</v>
      </c>
    </row>
    <row r="248" spans="3:12" x14ac:dyDescent="0.15">
      <c r="C248" s="29">
        <v>2030</v>
      </c>
      <c r="D248" s="73">
        <f t="shared" ref="D248:D268" si="1">E95</f>
        <v>5.5727092379021848E-2</v>
      </c>
      <c r="E248" s="73">
        <f t="shared" ref="E248:E268" si="2">H95-E95</f>
        <v>0</v>
      </c>
      <c r="F248" s="73">
        <f t="shared" ref="F248:F268" si="3">D95</f>
        <v>5.5727092379021848E-2</v>
      </c>
      <c r="G248" s="73">
        <f t="shared" ref="G248:G268" si="4">E144</f>
        <v>0.23700096088981093</v>
      </c>
      <c r="H248" s="73">
        <f t="shared" ref="H248:H268" si="5">H144-E144</f>
        <v>0</v>
      </c>
      <c r="I248" s="73">
        <f t="shared" ref="I248:I268" si="6">D144</f>
        <v>0.23700096088981093</v>
      </c>
      <c r="J248" s="73">
        <f t="shared" ref="J248:J268" si="7">E193</f>
        <v>0.83196132161509762</v>
      </c>
      <c r="K248" s="73">
        <f t="shared" ref="K248:K268" si="8">H193-E193</f>
        <v>0</v>
      </c>
      <c r="L248" s="73">
        <f t="shared" ref="L248:L268" si="9">D193</f>
        <v>0.83196132161509762</v>
      </c>
    </row>
    <row r="249" spans="3:12" x14ac:dyDescent="0.15">
      <c r="C249" s="29">
        <v>2031</v>
      </c>
      <c r="D249" s="73">
        <f t="shared" si="1"/>
        <v>5.5727092379021848E-2</v>
      </c>
      <c r="E249" s="73">
        <f t="shared" si="2"/>
        <v>0</v>
      </c>
      <c r="F249" s="73">
        <f t="shared" si="3"/>
        <v>6.2071677776899703E-2</v>
      </c>
      <c r="G249" s="73">
        <f t="shared" si="4"/>
        <v>0.23700096088981093</v>
      </c>
      <c r="H249" s="73">
        <f t="shared" si="5"/>
        <v>0</v>
      </c>
      <c r="I249" s="73">
        <f t="shared" si="6"/>
        <v>0.25782457351519583</v>
      </c>
      <c r="J249" s="73">
        <f t="shared" si="7"/>
        <v>0.83196132161509762</v>
      </c>
      <c r="K249" s="73">
        <f t="shared" si="8"/>
        <v>0</v>
      </c>
      <c r="L249" s="73">
        <f t="shared" si="9"/>
        <v>0.90030666107843804</v>
      </c>
    </row>
    <row r="250" spans="3:12" x14ac:dyDescent="0.15">
      <c r="C250" s="29">
        <v>2032</v>
      </c>
      <c r="D250" s="73">
        <f t="shared" si="1"/>
        <v>5.5727092379021848E-2</v>
      </c>
      <c r="E250" s="73">
        <f t="shared" si="2"/>
        <v>0</v>
      </c>
      <c r="F250" s="73">
        <f t="shared" si="3"/>
        <v>6.8923029127739843E-2</v>
      </c>
      <c r="G250" s="73">
        <f t="shared" si="4"/>
        <v>0.23700096088981093</v>
      </c>
      <c r="H250" s="73">
        <f t="shared" si="5"/>
        <v>0</v>
      </c>
      <c r="I250" s="73">
        <f t="shared" si="6"/>
        <v>0.28031144657990947</v>
      </c>
      <c r="J250" s="73">
        <f t="shared" si="7"/>
        <v>0.83196132161509762</v>
      </c>
      <c r="K250" s="73">
        <f t="shared" si="8"/>
        <v>0</v>
      </c>
      <c r="L250" s="73">
        <f t="shared" si="9"/>
        <v>0.9741110004466873</v>
      </c>
    </row>
    <row r="251" spans="3:12" x14ac:dyDescent="0.15">
      <c r="C251" s="29">
        <v>2033</v>
      </c>
      <c r="D251" s="73">
        <f t="shared" si="1"/>
        <v>5.5727092379021848E-2</v>
      </c>
      <c r="E251" s="73">
        <f t="shared" si="2"/>
        <v>0.18127386851078908</v>
      </c>
      <c r="F251" s="73">
        <f t="shared" si="3"/>
        <v>7.6321623738565769E-2</v>
      </c>
      <c r="G251" s="73">
        <f t="shared" si="4"/>
        <v>0.23700096088981093</v>
      </c>
      <c r="H251" s="73">
        <f t="shared" si="5"/>
        <v>0.59496036072528669</v>
      </c>
      <c r="I251" s="73">
        <f t="shared" si="6"/>
        <v>0.30459443096524641</v>
      </c>
      <c r="J251" s="73">
        <f t="shared" si="7"/>
        <v>0.83196132161509762</v>
      </c>
      <c r="K251" s="73">
        <f t="shared" si="8"/>
        <v>1.9527239846668583</v>
      </c>
      <c r="L251" s="73">
        <f t="shared" si="9"/>
        <v>1.0538103706210866</v>
      </c>
    </row>
    <row r="252" spans="3:12" x14ac:dyDescent="0.15">
      <c r="C252" s="29">
        <v>2034</v>
      </c>
      <c r="D252" s="73">
        <f t="shared" si="1"/>
        <v>5.5727092379021848E-2</v>
      </c>
      <c r="E252" s="73">
        <f t="shared" si="2"/>
        <v>0.18127386851078908</v>
      </c>
      <c r="F252" s="73">
        <f t="shared" si="3"/>
        <v>8.4311171991499512E-2</v>
      </c>
      <c r="G252" s="73">
        <f t="shared" si="4"/>
        <v>0.23700096088981093</v>
      </c>
      <c r="H252" s="73">
        <f t="shared" si="5"/>
        <v>0.59496036072528669</v>
      </c>
      <c r="I252" s="73">
        <f t="shared" si="6"/>
        <v>0.33081698885320088</v>
      </c>
      <c r="J252" s="73">
        <f t="shared" si="7"/>
        <v>0.83196132161509762</v>
      </c>
      <c r="K252" s="73">
        <f t="shared" si="8"/>
        <v>1.9527239846668583</v>
      </c>
      <c r="L252" s="73">
        <f t="shared" si="9"/>
        <v>1.139875629934668</v>
      </c>
    </row>
    <row r="253" spans="3:12" x14ac:dyDescent="0.15">
      <c r="C253" s="29">
        <v>2035</v>
      </c>
      <c r="D253" s="73">
        <f t="shared" si="1"/>
        <v>5.5727092379021848E-2</v>
      </c>
      <c r="E253" s="73">
        <f t="shared" si="2"/>
        <v>0.18127386851078908</v>
      </c>
      <c r="F253" s="73">
        <f t="shared" si="3"/>
        <v>9.2938875581659142E-2</v>
      </c>
      <c r="G253" s="73">
        <f t="shared" si="4"/>
        <v>0.23700096088981093</v>
      </c>
      <c r="H253" s="73">
        <f t="shared" si="5"/>
        <v>0.59496036072528669</v>
      </c>
      <c r="I253" s="73">
        <f t="shared" si="6"/>
        <v>0.3591340412910522</v>
      </c>
      <c r="J253" s="73">
        <f t="shared" si="7"/>
        <v>0.83196132161509762</v>
      </c>
      <c r="K253" s="73">
        <f t="shared" si="8"/>
        <v>1.9527239846668583</v>
      </c>
      <c r="L253" s="73">
        <f t="shared" si="9"/>
        <v>1.2328152459505204</v>
      </c>
    </row>
    <row r="254" spans="3:12" x14ac:dyDescent="0.15">
      <c r="C254" s="29">
        <v>2036</v>
      </c>
      <c r="D254" s="73">
        <f t="shared" si="1"/>
        <v>5.5727092379021848E-2</v>
      </c>
      <c r="E254" s="73">
        <f t="shared" si="2"/>
        <v>0.18127386851078908</v>
      </c>
      <c r="F254" s="73">
        <f t="shared" si="3"/>
        <v>0.10225570638148795</v>
      </c>
      <c r="G254" s="73">
        <f t="shared" si="4"/>
        <v>0.23700096088981093</v>
      </c>
      <c r="H254" s="73">
        <f t="shared" si="5"/>
        <v>0.59496036072528669</v>
      </c>
      <c r="I254" s="73">
        <f t="shared" si="6"/>
        <v>0.38971288345413346</v>
      </c>
      <c r="J254" s="73">
        <f t="shared" si="7"/>
        <v>0.83196132161509762</v>
      </c>
      <c r="K254" s="73">
        <f t="shared" si="8"/>
        <v>1.9527239846668583</v>
      </c>
      <c r="L254" s="73">
        <f t="shared" si="9"/>
        <v>1.3331782994527726</v>
      </c>
    </row>
    <row r="255" spans="3:12" x14ac:dyDescent="0.15">
      <c r="C255" s="29">
        <v>2037</v>
      </c>
      <c r="D255" s="73">
        <f t="shared" si="1"/>
        <v>5.5727092379021848E-2</v>
      </c>
      <c r="E255" s="73">
        <f t="shared" si="2"/>
        <v>0.18127386851078908</v>
      </c>
      <c r="F255" s="73">
        <f t="shared" si="3"/>
        <v>0.11231670757903056</v>
      </c>
      <c r="G255" s="73">
        <f t="shared" si="4"/>
        <v>0.23700096088981093</v>
      </c>
      <c r="H255" s="73">
        <f t="shared" si="5"/>
        <v>0.59496036072528669</v>
      </c>
      <c r="I255" s="73">
        <f t="shared" si="6"/>
        <v>0.42273417301408611</v>
      </c>
      <c r="J255" s="73">
        <f t="shared" si="7"/>
        <v>0.83196132161509762</v>
      </c>
      <c r="K255" s="73">
        <f t="shared" si="8"/>
        <v>1.9527239846668583</v>
      </c>
      <c r="L255" s="73">
        <f t="shared" si="9"/>
        <v>1.4415577283776542</v>
      </c>
    </row>
    <row r="256" spans="3:12" x14ac:dyDescent="0.15">
      <c r="C256" s="29">
        <v>2038</v>
      </c>
      <c r="D256" s="73">
        <f t="shared" si="1"/>
        <v>5.5727092379021848E-2</v>
      </c>
      <c r="E256" s="73">
        <f t="shared" si="2"/>
        <v>0.18127386851078908</v>
      </c>
      <c r="F256" s="73">
        <f t="shared" si="3"/>
        <v>0.12318131886925743</v>
      </c>
      <c r="G256" s="73">
        <f t="shared" si="4"/>
        <v>0.23700096088981093</v>
      </c>
      <c r="H256" s="73">
        <f t="shared" si="5"/>
        <v>0.59496036072528669</v>
      </c>
      <c r="I256" s="73">
        <f t="shared" si="6"/>
        <v>0.45839299745181084</v>
      </c>
      <c r="J256" s="73">
        <f t="shared" si="7"/>
        <v>0.83196132161509762</v>
      </c>
      <c r="K256" s="73">
        <f t="shared" si="8"/>
        <v>1.9527239846668583</v>
      </c>
      <c r="L256" s="73">
        <f t="shared" si="9"/>
        <v>1.5585938308495657</v>
      </c>
    </row>
    <row r="257" spans="1:13" x14ac:dyDescent="0.15">
      <c r="C257" s="29">
        <v>2039</v>
      </c>
      <c r="D257" s="73">
        <f t="shared" si="1"/>
        <v>5.5727092379021848E-2</v>
      </c>
      <c r="E257" s="73">
        <f t="shared" si="2"/>
        <v>0.18127386851078908</v>
      </c>
      <c r="F257" s="73">
        <f t="shared" si="3"/>
        <v>0.13491372761964682</v>
      </c>
      <c r="G257" s="73">
        <f t="shared" si="4"/>
        <v>0.23700096088981093</v>
      </c>
      <c r="H257" s="73">
        <f t="shared" si="5"/>
        <v>0.59496036072528669</v>
      </c>
      <c r="I257" s="73">
        <f t="shared" si="6"/>
        <v>0.4969000266207324</v>
      </c>
      <c r="J257" s="73">
        <f t="shared" si="7"/>
        <v>0.83196132161509762</v>
      </c>
      <c r="K257" s="73">
        <f t="shared" si="8"/>
        <v>1.9527239846668583</v>
      </c>
      <c r="L257" s="73">
        <f t="shared" si="9"/>
        <v>1.68497804801784</v>
      </c>
    </row>
    <row r="258" spans="1:13" x14ac:dyDescent="0.15">
      <c r="C258" s="29">
        <v>2040</v>
      </c>
      <c r="D258" s="73">
        <f t="shared" si="1"/>
        <v>5.5727092379021848E-2</v>
      </c>
      <c r="E258" s="73">
        <f t="shared" si="2"/>
        <v>0.18127386851078908</v>
      </c>
      <c r="F258" s="73">
        <f t="shared" si="3"/>
        <v>0.14758324808468481</v>
      </c>
      <c r="G258" s="73">
        <f t="shared" si="4"/>
        <v>0.23700096088981093</v>
      </c>
      <c r="H258" s="73">
        <f t="shared" si="5"/>
        <v>0.59496036072528669</v>
      </c>
      <c r="I258" s="73">
        <f t="shared" si="6"/>
        <v>0.53848275736963114</v>
      </c>
      <c r="J258" s="73">
        <f t="shared" si="7"/>
        <v>0.83196132161509762</v>
      </c>
      <c r="K258" s="73">
        <f t="shared" si="8"/>
        <v>1.9527239846668583</v>
      </c>
      <c r="L258" s="73">
        <f t="shared" si="9"/>
        <v>1.821457049042936</v>
      </c>
    </row>
    <row r="259" spans="1:13" x14ac:dyDescent="0.15">
      <c r="C259" s="29">
        <v>2041</v>
      </c>
      <c r="D259" s="73">
        <f t="shared" si="1"/>
        <v>5.5727092379021848E-2</v>
      </c>
      <c r="E259" s="73">
        <f t="shared" si="2"/>
        <v>0.18127386851078908</v>
      </c>
      <c r="F259" s="73">
        <f t="shared" si="3"/>
        <v>0.16126473090965798</v>
      </c>
      <c r="G259" s="73">
        <f t="shared" si="4"/>
        <v>0.23700096088981093</v>
      </c>
      <c r="H259" s="73">
        <f t="shared" si="5"/>
        <v>0.59496036072528669</v>
      </c>
      <c r="I259" s="73">
        <f t="shared" si="6"/>
        <v>0.58338685757819664</v>
      </c>
      <c r="J259" s="73">
        <f t="shared" si="7"/>
        <v>0.83196132161509762</v>
      </c>
      <c r="K259" s="73">
        <f t="shared" si="8"/>
        <v>1.9527239846668583</v>
      </c>
      <c r="L259" s="73">
        <f t="shared" si="9"/>
        <v>1.9688371423658886</v>
      </c>
    </row>
    <row r="260" spans="1:13" x14ac:dyDescent="0.15">
      <c r="C260" s="29">
        <v>2042</v>
      </c>
      <c r="D260" s="73">
        <f t="shared" si="1"/>
        <v>5.5727092379021848E-2</v>
      </c>
      <c r="E260" s="73">
        <f t="shared" si="2"/>
        <v>0.18127386851078908</v>
      </c>
      <c r="F260" s="73">
        <f t="shared" si="3"/>
        <v>0.17603900534305672</v>
      </c>
      <c r="G260" s="73">
        <f t="shared" si="4"/>
        <v>0.23700096088981093</v>
      </c>
      <c r="H260" s="73">
        <f t="shared" si="5"/>
        <v>0.59496036072528669</v>
      </c>
      <c r="I260" s="73">
        <f t="shared" si="6"/>
        <v>0.63187761754576588</v>
      </c>
      <c r="J260" s="73">
        <f t="shared" si="7"/>
        <v>0.83196132161509762</v>
      </c>
      <c r="K260" s="73">
        <f t="shared" si="8"/>
        <v>1.9527239846668583</v>
      </c>
      <c r="L260" s="73">
        <f t="shared" si="9"/>
        <v>2.1279890393224612</v>
      </c>
    </row>
    <row r="261" spans="1:13" x14ac:dyDescent="0.15">
      <c r="C261" s="29">
        <v>2043</v>
      </c>
      <c r="D261" s="73">
        <f t="shared" si="1"/>
        <v>5.5727092379021848E-2</v>
      </c>
      <c r="E261" s="73">
        <f t="shared" si="2"/>
        <v>0.18127386851078908</v>
      </c>
      <c r="F261" s="73">
        <f t="shared" si="3"/>
        <v>0.19199335677015172</v>
      </c>
      <c r="G261" s="73">
        <f t="shared" si="4"/>
        <v>0.23700096088981093</v>
      </c>
      <c r="H261" s="73">
        <f t="shared" si="5"/>
        <v>0.59496036072528669</v>
      </c>
      <c r="I261" s="73">
        <f t="shared" si="6"/>
        <v>0.68424151730795013</v>
      </c>
      <c r="J261" s="73">
        <f t="shared" si="7"/>
        <v>0.83196132161509762</v>
      </c>
      <c r="K261" s="73">
        <f t="shared" si="8"/>
        <v>1.9527239846668583</v>
      </c>
      <c r="L261" s="73">
        <f t="shared" si="9"/>
        <v>2.2998529982451319</v>
      </c>
    </row>
    <row r="262" spans="1:13" x14ac:dyDescent="0.15">
      <c r="C262" s="29">
        <v>2044</v>
      </c>
      <c r="D262" s="73">
        <f t="shared" si="1"/>
        <v>5.5727092379021848E-2</v>
      </c>
      <c r="E262" s="73">
        <f t="shared" si="2"/>
        <v>0.18127386851078908</v>
      </c>
      <c r="F262" s="73">
        <f t="shared" si="3"/>
        <v>0.20922204238897457</v>
      </c>
      <c r="G262" s="73">
        <f t="shared" si="4"/>
        <v>0.23700096088981093</v>
      </c>
      <c r="H262" s="73">
        <f t="shared" si="5"/>
        <v>0.59496036072528669</v>
      </c>
      <c r="I262" s="73">
        <f t="shared" si="6"/>
        <v>0.74078791914075137</v>
      </c>
      <c r="J262" s="73">
        <f t="shared" si="7"/>
        <v>0.83196132161509762</v>
      </c>
      <c r="K262" s="73">
        <f t="shared" si="8"/>
        <v>1.9527239846668583</v>
      </c>
      <c r="L262" s="73">
        <f t="shared" si="9"/>
        <v>2.4854443794438978</v>
      </c>
    </row>
    <row r="263" spans="1:13" x14ac:dyDescent="0.15">
      <c r="C263" s="29">
        <v>2045</v>
      </c>
      <c r="D263" s="73">
        <f t="shared" si="1"/>
        <v>5.5727092379021848E-2</v>
      </c>
      <c r="E263" s="73">
        <f t="shared" si="2"/>
        <v>0.18127386851078908</v>
      </c>
      <c r="F263" s="73">
        <f t="shared" si="3"/>
        <v>0.22782684807528675</v>
      </c>
      <c r="G263" s="73">
        <f t="shared" si="4"/>
        <v>0.23700096088981093</v>
      </c>
      <c r="H263" s="73">
        <f t="shared" si="5"/>
        <v>0.59496036072528669</v>
      </c>
      <c r="I263" s="73">
        <f t="shared" si="6"/>
        <v>0.80185089525136166</v>
      </c>
      <c r="J263" s="73">
        <f t="shared" si="7"/>
        <v>0.83196132161509762</v>
      </c>
      <c r="K263" s="73">
        <f t="shared" si="8"/>
        <v>1.9527239846668583</v>
      </c>
      <c r="L263" s="73">
        <f t="shared" si="9"/>
        <v>2.685859643884319</v>
      </c>
    </row>
    <row r="264" spans="1:13" x14ac:dyDescent="0.15">
      <c r="C264" s="29">
        <v>2046</v>
      </c>
      <c r="D264" s="73">
        <f t="shared" si="1"/>
        <v>5.5727092379021848E-2</v>
      </c>
      <c r="E264" s="73">
        <f t="shared" si="2"/>
        <v>0.77623422923607577</v>
      </c>
      <c r="F264" s="73">
        <f t="shared" si="3"/>
        <v>0.24791768972644923</v>
      </c>
      <c r="G264" s="73">
        <f t="shared" si="4"/>
        <v>0.23700096088981093</v>
      </c>
      <c r="H264" s="73">
        <f t="shared" si="5"/>
        <v>2.5476843453921449</v>
      </c>
      <c r="I264" s="73">
        <f t="shared" si="6"/>
        <v>0.86779120145351474</v>
      </c>
      <c r="J264" s="73">
        <f t="shared" si="7"/>
        <v>0.83196132161509762</v>
      </c>
      <c r="K264" s="73">
        <f t="shared" si="8"/>
        <v>8.3617744223209058</v>
      </c>
      <c r="L264" s="73">
        <f t="shared" si="9"/>
        <v>2.9022828310026219</v>
      </c>
    </row>
    <row r="265" spans="1:13" x14ac:dyDescent="0.15">
      <c r="C265" s="29">
        <v>2047</v>
      </c>
      <c r="D265" s="73">
        <f t="shared" si="1"/>
        <v>5.5727092379021848E-2</v>
      </c>
      <c r="E265" s="73">
        <f t="shared" si="2"/>
        <v>0.77623422923607577</v>
      </c>
      <c r="F265" s="73">
        <f t="shared" si="3"/>
        <v>0.26961326263689656</v>
      </c>
      <c r="G265" s="73">
        <f t="shared" si="4"/>
        <v>0.23700096088981093</v>
      </c>
      <c r="H265" s="73">
        <f t="shared" si="5"/>
        <v>2.5476843453921449</v>
      </c>
      <c r="I265" s="73">
        <f t="shared" si="6"/>
        <v>0.93899840848773386</v>
      </c>
      <c r="J265" s="73">
        <f t="shared" si="7"/>
        <v>0.83196132161509762</v>
      </c>
      <c r="K265" s="73">
        <f t="shared" si="8"/>
        <v>8.3617744223209058</v>
      </c>
      <c r="L265" s="73">
        <f t="shared" si="9"/>
        <v>3.1359925539282827</v>
      </c>
    </row>
    <row r="266" spans="1:13" x14ac:dyDescent="0.15">
      <c r="C266" s="29">
        <v>2048</v>
      </c>
      <c r="D266" s="73">
        <f t="shared" si="1"/>
        <v>5.5727092379021848E-2</v>
      </c>
      <c r="E266" s="73">
        <f t="shared" si="2"/>
        <v>0.77623422923607577</v>
      </c>
      <c r="F266" s="73">
        <f t="shared" si="3"/>
        <v>0.29304174274167583</v>
      </c>
      <c r="G266" s="73">
        <f t="shared" si="4"/>
        <v>0.23700096088981093</v>
      </c>
      <c r="H266" s="73">
        <f t="shared" si="5"/>
        <v>2.5476843453921449</v>
      </c>
      <c r="I266" s="73">
        <f t="shared" si="6"/>
        <v>1.0158932035781532</v>
      </c>
      <c r="J266" s="73">
        <f t="shared" si="7"/>
        <v>0.83196132161509762</v>
      </c>
      <c r="K266" s="73">
        <f t="shared" si="8"/>
        <v>8.3617744223209058</v>
      </c>
      <c r="L266" s="73">
        <f t="shared" si="9"/>
        <v>3.3883695534414269</v>
      </c>
    </row>
    <row r="267" spans="1:13" x14ac:dyDescent="0.15">
      <c r="C267" s="29">
        <v>2049</v>
      </c>
      <c r="D267" s="73">
        <f t="shared" si="1"/>
        <v>5.5727092379021848E-2</v>
      </c>
      <c r="E267" s="73">
        <f t="shared" si="2"/>
        <v>0.77623422923607577</v>
      </c>
      <c r="F267" s="73">
        <f t="shared" si="3"/>
        <v>0.3183415438709527</v>
      </c>
      <c r="G267" s="73">
        <f t="shared" si="4"/>
        <v>0.23700096088981093</v>
      </c>
      <c r="H267" s="73">
        <f t="shared" si="5"/>
        <v>2.5476843453921449</v>
      </c>
      <c r="I267" s="73">
        <f t="shared" si="6"/>
        <v>1.0989298758233677</v>
      </c>
      <c r="J267" s="73">
        <f t="shared" si="7"/>
        <v>0.83196132161509762</v>
      </c>
      <c r="K267" s="73">
        <f t="shared" si="8"/>
        <v>8.3617744223209058</v>
      </c>
      <c r="L267" s="73">
        <f t="shared" si="9"/>
        <v>3.6609048552932748</v>
      </c>
    </row>
    <row r="268" spans="1:13" x14ac:dyDescent="0.15">
      <c r="C268" s="29">
        <v>2050</v>
      </c>
      <c r="D268" s="73">
        <f t="shared" si="1"/>
        <v>5.5727092379021848E-2</v>
      </c>
      <c r="E268" s="73">
        <f t="shared" si="2"/>
        <v>0.77623422923607577</v>
      </c>
      <c r="F268" s="73">
        <f t="shared" si="3"/>
        <v>0.34566213548928726</v>
      </c>
      <c r="G268" s="73">
        <f t="shared" si="4"/>
        <v>0.23700096088981093</v>
      </c>
      <c r="H268" s="73">
        <f t="shared" si="5"/>
        <v>2.5476843453921449</v>
      </c>
      <c r="I268" s="73">
        <f t="shared" si="6"/>
        <v>1.1885990001048143</v>
      </c>
      <c r="J268" s="73">
        <f t="shared" si="7"/>
        <v>0.83196132161509762</v>
      </c>
      <c r="K268" s="73">
        <f t="shared" si="8"/>
        <v>8.3617744223209058</v>
      </c>
      <c r="L268" s="73">
        <f t="shared" si="9"/>
        <v>3.9552085790825355</v>
      </c>
    </row>
    <row r="271" spans="1:13" x14ac:dyDescent="0.15">
      <c r="A271" s="29" t="s">
        <v>2</v>
      </c>
      <c r="C271" s="20" t="s">
        <v>278</v>
      </c>
      <c r="D271" s="20"/>
      <c r="E271" s="20"/>
      <c r="F271" s="20"/>
      <c r="G271" s="20"/>
      <c r="H271" s="20"/>
      <c r="I271" s="30"/>
      <c r="J271" s="30"/>
      <c r="K271" s="30"/>
      <c r="L271" s="30"/>
      <c r="M271" s="30"/>
    </row>
    <row r="272" spans="1:13" x14ac:dyDescent="0.15">
      <c r="C272" s="2" t="s">
        <v>171</v>
      </c>
    </row>
    <row r="273" spans="3:8" x14ac:dyDescent="0.15">
      <c r="C273" s="98" t="s">
        <v>288</v>
      </c>
    </row>
    <row r="275" spans="3:8" ht="34" x14ac:dyDescent="0.3">
      <c r="C275" s="15" t="s">
        <v>172</v>
      </c>
      <c r="D275" s="15" t="s">
        <v>117</v>
      </c>
      <c r="E275" s="15" t="s">
        <v>173</v>
      </c>
      <c r="F275" s="15" t="s">
        <v>120</v>
      </c>
      <c r="G275" s="15"/>
      <c r="H275" s="15"/>
    </row>
    <row r="276" spans="3:8" x14ac:dyDescent="0.15">
      <c r="C276" s="13" t="s">
        <v>279</v>
      </c>
      <c r="D276" s="99">
        <f>D302</f>
        <v>0.31526327177630031</v>
      </c>
      <c r="E276" s="99">
        <f>D352</f>
        <v>1.0888100243595022</v>
      </c>
      <c r="F276" s="100">
        <f>D402</f>
        <v>3.6276325148544077</v>
      </c>
      <c r="G276" s="10"/>
      <c r="H276" s="8"/>
    </row>
    <row r="277" spans="3:8" x14ac:dyDescent="0.15">
      <c r="C277" s="13" t="s">
        <v>260</v>
      </c>
      <c r="D277" s="99">
        <f>D115</f>
        <v>0.34566213548928726</v>
      </c>
      <c r="E277" s="99">
        <f>D164</f>
        <v>1.1885990001048143</v>
      </c>
      <c r="F277" s="100">
        <f>D213</f>
        <v>3.9552085790825355</v>
      </c>
      <c r="G277" s="10"/>
      <c r="H277" s="8"/>
    </row>
    <row r="280" spans="3:8" x14ac:dyDescent="0.15">
      <c r="C280" s="69" t="s">
        <v>174</v>
      </c>
    </row>
    <row r="281" spans="3:8" ht="16" x14ac:dyDescent="0.3">
      <c r="C281" s="72" t="s">
        <v>77</v>
      </c>
      <c r="D281" s="72" t="s">
        <v>152</v>
      </c>
      <c r="E281" s="72" t="s">
        <v>153</v>
      </c>
      <c r="F281" s="72" t="s">
        <v>154</v>
      </c>
      <c r="G281" s="72" t="s">
        <v>155</v>
      </c>
      <c r="H281" s="72" t="s">
        <v>156</v>
      </c>
    </row>
    <row r="282" spans="3:8" x14ac:dyDescent="0.15">
      <c r="C282" s="29">
        <v>2030</v>
      </c>
      <c r="D282" s="55">
        <v>6.6785845421514667E-2</v>
      </c>
      <c r="E282" s="55">
        <v>6.6785845421514667E-2</v>
      </c>
      <c r="F282" s="55">
        <v>6.6785845421514667E-2</v>
      </c>
      <c r="G282" s="55">
        <v>6.6785845421514667E-2</v>
      </c>
      <c r="H282" s="55">
        <v>6.6785845421514667E-2</v>
      </c>
    </row>
    <row r="283" spans="3:8" x14ac:dyDescent="0.15">
      <c r="C283" s="29">
        <v>2031</v>
      </c>
      <c r="D283" s="55">
        <v>6.7091870355933336E-2</v>
      </c>
      <c r="E283" s="55">
        <v>6.3407150959936986E-2</v>
      </c>
      <c r="F283" s="55">
        <v>6.3407150959936986E-2</v>
      </c>
      <c r="G283" s="55">
        <v>6.3407150959936986E-2</v>
      </c>
      <c r="H283" s="55">
        <v>6.3407150959936986E-2</v>
      </c>
    </row>
    <row r="284" spans="3:8" x14ac:dyDescent="0.15">
      <c r="C284" s="29">
        <v>2032</v>
      </c>
      <c r="D284" s="55">
        <v>6.9520318445604121E-2</v>
      </c>
      <c r="E284" s="55">
        <v>6.1000309726733093E-2</v>
      </c>
      <c r="F284" s="55">
        <v>6.1000309726733093E-2</v>
      </c>
      <c r="G284" s="55">
        <v>6.1000309726733093E-2</v>
      </c>
      <c r="H284" s="55">
        <v>6.1000309726733093E-2</v>
      </c>
    </row>
    <row r="285" spans="3:8" x14ac:dyDescent="0.15">
      <c r="C285" s="29">
        <v>2033</v>
      </c>
      <c r="D285" s="55">
        <v>7.3649261570344252E-2</v>
      </c>
      <c r="E285" s="55">
        <v>5.9316474411219344E-2</v>
      </c>
      <c r="F285" s="55">
        <v>5.9316474411219344E-2</v>
      </c>
      <c r="G285" s="55">
        <v>5.9316474411219344E-2</v>
      </c>
      <c r="H285" s="55">
        <v>0.15965049558920819</v>
      </c>
    </row>
    <row r="286" spans="3:8" x14ac:dyDescent="0.15">
      <c r="C286" s="29">
        <v>2034</v>
      </c>
      <c r="D286" s="55">
        <v>7.916440261966888E-2</v>
      </c>
      <c r="E286" s="55">
        <v>5.8154817892782429E-2</v>
      </c>
      <c r="F286" s="55">
        <v>5.8154817892782429E-2</v>
      </c>
      <c r="G286" s="55">
        <v>5.8154817892782429E-2</v>
      </c>
      <c r="H286" s="55">
        <v>0.19185353793291493</v>
      </c>
    </row>
    <row r="287" spans="3:8" x14ac:dyDescent="0.15">
      <c r="C287" s="29">
        <v>2035</v>
      </c>
      <c r="D287" s="55">
        <v>8.5850488999947322E-2</v>
      </c>
      <c r="E287" s="55">
        <v>5.7361678561006268E-2</v>
      </c>
      <c r="F287" s="55">
        <v>5.7361678561006268E-2</v>
      </c>
      <c r="G287" s="55">
        <v>5.7361678561006268E-2</v>
      </c>
      <c r="H287" s="55">
        <v>0.20889235673851214</v>
      </c>
    </row>
    <row r="288" spans="3:8" x14ac:dyDescent="0.15">
      <c r="C288" s="29">
        <v>2036</v>
      </c>
      <c r="D288" s="55">
        <v>9.3570155856501941E-2</v>
      </c>
      <c r="E288" s="55">
        <v>5.6824172915001636E-2</v>
      </c>
      <c r="F288" s="55">
        <v>5.6824172915001636E-2</v>
      </c>
      <c r="G288" s="55">
        <v>5.6824172915001636E-2</v>
      </c>
      <c r="H288" s="55">
        <v>0.21899465577853872</v>
      </c>
    </row>
    <row r="289" spans="3:8" x14ac:dyDescent="0.15">
      <c r="C289" s="29">
        <v>2037</v>
      </c>
      <c r="D289" s="55">
        <v>0.10224529838641334</v>
      </c>
      <c r="E289" s="55">
        <v>5.6461810643389843E-2</v>
      </c>
      <c r="F289" s="55">
        <v>5.6461810643389843E-2</v>
      </c>
      <c r="G289" s="55">
        <v>5.6461810643389843E-2</v>
      </c>
      <c r="H289" s="55">
        <v>0.22528845136734632</v>
      </c>
    </row>
    <row r="290" spans="3:8" x14ac:dyDescent="0.15">
      <c r="C290" s="29">
        <v>2038</v>
      </c>
      <c r="D290" s="55">
        <v>0.11184193394503066</v>
      </c>
      <c r="E290" s="55">
        <v>5.621840392352806E-2</v>
      </c>
      <c r="F290" s="55">
        <v>5.621840392352806E-2</v>
      </c>
      <c r="G290" s="55">
        <v>5.621840392352806E-2</v>
      </c>
      <c r="H290" s="55">
        <v>0.22931372642390579</v>
      </c>
    </row>
    <row r="291" spans="3:8" x14ac:dyDescent="0.15">
      <c r="C291" s="29">
        <v>2039</v>
      </c>
      <c r="D291" s="55">
        <v>0.12235866283430605</v>
      </c>
      <c r="E291" s="55">
        <v>5.6055305478244444E-2</v>
      </c>
      <c r="F291" s="55">
        <v>5.6055305478244444E-2</v>
      </c>
      <c r="G291" s="55">
        <v>0.15244812966686694</v>
      </c>
      <c r="H291" s="55">
        <v>0.23192767968802697</v>
      </c>
    </row>
    <row r="292" spans="3:8" x14ac:dyDescent="0.15">
      <c r="C292" s="29">
        <v>2040</v>
      </c>
      <c r="D292" s="55">
        <v>0.13381831164075852</v>
      </c>
      <c r="E292" s="55">
        <v>5.5946201515369109E-2</v>
      </c>
      <c r="F292" s="55">
        <v>5.5946201515369109E-2</v>
      </c>
      <c r="G292" s="55">
        <v>0.1884610084857008</v>
      </c>
      <c r="H292" s="55">
        <v>0.23364104737183444</v>
      </c>
    </row>
    <row r="293" spans="3:8" x14ac:dyDescent="0.15">
      <c r="C293" s="29">
        <v>2041</v>
      </c>
      <c r="D293" s="55">
        <v>0.14626212337816838</v>
      </c>
      <c r="E293" s="55">
        <v>5.5873299159133527E-2</v>
      </c>
      <c r="F293" s="55">
        <v>5.5873299159133527E-2</v>
      </c>
      <c r="G293" s="55">
        <v>0.21787504365622445</v>
      </c>
      <c r="H293" s="55">
        <v>0.23556778976664861</v>
      </c>
    </row>
    <row r="294" spans="3:8" x14ac:dyDescent="0.15">
      <c r="C294" s="29">
        <v>2042</v>
      </c>
      <c r="D294" s="55">
        <v>0.15974586229030194</v>
      </c>
      <c r="E294" s="55">
        <v>5.5824623283289077E-2</v>
      </c>
      <c r="F294" s="55">
        <v>5.5824623283289077E-2</v>
      </c>
      <c r="G294" s="55">
        <v>0.22458055588175041</v>
      </c>
      <c r="H294" s="55">
        <v>0.23604727176012275</v>
      </c>
    </row>
    <row r="295" spans="3:8" x14ac:dyDescent="0.15">
      <c r="C295" s="29">
        <v>2043</v>
      </c>
      <c r="D295" s="55">
        <v>0.1743373044669386</v>
      </c>
      <c r="E295" s="55">
        <v>5.5792139568186183E-2</v>
      </c>
      <c r="F295" s="55">
        <v>5.5792139568186183E-2</v>
      </c>
      <c r="G295" s="55">
        <v>0.22885716728950989</v>
      </c>
      <c r="H295" s="55">
        <v>0.23636594560964919</v>
      </c>
    </row>
    <row r="296" spans="3:8" x14ac:dyDescent="0.15">
      <c r="C296" s="29">
        <v>2044</v>
      </c>
      <c r="D296" s="55">
        <v>0.19011471018132522</v>
      </c>
      <c r="E296" s="55">
        <v>5.5770469001366507E-2</v>
      </c>
      <c r="F296" s="55">
        <v>5.5770469001366507E-2</v>
      </c>
      <c r="G296" s="55">
        <v>0.23162969027261071</v>
      </c>
      <c r="H296" s="55">
        <v>0.23673361146027738</v>
      </c>
    </row>
    <row r="297" spans="3:8" x14ac:dyDescent="0.15">
      <c r="C297" s="29">
        <v>2045</v>
      </c>
      <c r="D297" s="55">
        <v>0.20716598516209023</v>
      </c>
      <c r="E297" s="55">
        <v>5.5756015388822577E-2</v>
      </c>
      <c r="F297" s="55">
        <v>5.5756015388822577E-2</v>
      </c>
      <c r="G297" s="55">
        <v>0.23344510349568437</v>
      </c>
      <c r="H297" s="55">
        <v>0.23682278891020614</v>
      </c>
    </row>
    <row r="298" spans="3:8" x14ac:dyDescent="0.15">
      <c r="C298" s="29">
        <v>2046</v>
      </c>
      <c r="D298" s="55">
        <v>0.22558832565156556</v>
      </c>
      <c r="E298" s="55">
        <v>5.5746376725213764E-2</v>
      </c>
      <c r="F298" s="55">
        <v>5.5746376725213764E-2</v>
      </c>
      <c r="G298" s="55">
        <v>0.234641282022646</v>
      </c>
      <c r="H298" s="55">
        <v>0.54862139255596154</v>
      </c>
    </row>
    <row r="299" spans="3:8" x14ac:dyDescent="0.15">
      <c r="C299" s="29">
        <v>2047</v>
      </c>
      <c r="D299" s="55">
        <v>0.24548820676545438</v>
      </c>
      <c r="E299" s="55">
        <v>5.5739949650015053E-2</v>
      </c>
      <c r="F299" s="55">
        <v>5.5739949650015053E-2</v>
      </c>
      <c r="G299" s="55">
        <v>0.23596182853346503</v>
      </c>
      <c r="H299" s="55">
        <v>0.66998623052102446</v>
      </c>
    </row>
    <row r="300" spans="3:8" x14ac:dyDescent="0.15">
      <c r="C300" s="29">
        <v>2048</v>
      </c>
      <c r="D300" s="55">
        <v>0.26698161964706973</v>
      </c>
      <c r="E300" s="55">
        <v>5.5735664355431647E-2</v>
      </c>
      <c r="F300" s="55">
        <v>5.5735664355431647E-2</v>
      </c>
      <c r="G300" s="55">
        <v>0.23630912924584346</v>
      </c>
      <c r="H300" s="55">
        <v>0.73217802851998148</v>
      </c>
    </row>
    <row r="301" spans="3:8" x14ac:dyDescent="0.15">
      <c r="C301" s="29">
        <v>2049</v>
      </c>
      <c r="D301" s="55">
        <v>0.29019449490051352</v>
      </c>
      <c r="E301" s="55">
        <v>5.5732807235510107E-2</v>
      </c>
      <c r="F301" s="55">
        <v>5.5732807235510107E-2</v>
      </c>
      <c r="G301" s="55">
        <v>0.23669584352784456</v>
      </c>
      <c r="H301" s="55">
        <v>0.7684734248527374</v>
      </c>
    </row>
    <row r="302" spans="3:8" x14ac:dyDescent="0.15">
      <c r="C302" s="29">
        <v>2050</v>
      </c>
      <c r="D302" s="55">
        <v>0.31526327177630031</v>
      </c>
      <c r="E302" s="55">
        <v>5.5730902374711233E-2</v>
      </c>
      <c r="F302" s="55">
        <v>5.5730902374711233E-2</v>
      </c>
      <c r="G302" s="55">
        <v>0.23679762874155208</v>
      </c>
      <c r="H302" s="55">
        <v>0.79080177814746588</v>
      </c>
    </row>
    <row r="303" spans="3:8" ht="15" x14ac:dyDescent="0.2">
      <c r="C303"/>
      <c r="D303"/>
      <c r="E303"/>
      <c r="F303"/>
      <c r="G303"/>
      <c r="H303"/>
    </row>
    <row r="304" spans="3:8" ht="15" x14ac:dyDescent="0.2">
      <c r="C304"/>
      <c r="D304"/>
      <c r="E304"/>
      <c r="F304"/>
      <c r="G304"/>
      <c r="H304"/>
    </row>
    <row r="305" spans="3:8" x14ac:dyDescent="0.15">
      <c r="C305" s="69" t="s">
        <v>175</v>
      </c>
    </row>
    <row r="306" spans="3:8" ht="16" x14ac:dyDescent="0.3">
      <c r="C306" s="72" t="s">
        <v>77</v>
      </c>
      <c r="D306" s="72" t="s">
        <v>152</v>
      </c>
      <c r="E306" s="72" t="s">
        <v>153</v>
      </c>
      <c r="F306" s="72" t="s">
        <v>154</v>
      </c>
      <c r="G306" s="72" t="s">
        <v>155</v>
      </c>
      <c r="H306" s="72" t="s">
        <v>156</v>
      </c>
    </row>
    <row r="307" spans="3:8" x14ac:dyDescent="0.15">
      <c r="C307" s="29">
        <v>2030</v>
      </c>
      <c r="D307" s="55">
        <v>8.4826215112371928E-2</v>
      </c>
      <c r="E307" s="55">
        <v>8.4826215112371928E-2</v>
      </c>
      <c r="F307" s="55">
        <v>8.4826215112371928E-2</v>
      </c>
      <c r="G307" s="55">
        <v>8.4826215112371928E-2</v>
      </c>
      <c r="H307" s="55">
        <v>8.4826215112371928E-2</v>
      </c>
    </row>
    <row r="308" spans="3:8" x14ac:dyDescent="0.15">
      <c r="C308" s="29">
        <v>2031</v>
      </c>
      <c r="D308" s="55">
        <v>8.4813090820857223E-2</v>
      </c>
      <c r="E308" s="55">
        <v>8.1918492895543038E-2</v>
      </c>
      <c r="F308" s="55">
        <v>8.1918492895543038E-2</v>
      </c>
      <c r="G308" s="55">
        <v>8.1918492895543038E-2</v>
      </c>
      <c r="H308" s="55">
        <v>8.1918492895543038E-2</v>
      </c>
    </row>
    <row r="309" spans="3:8" x14ac:dyDescent="0.15">
      <c r="C309" s="29">
        <v>2032</v>
      </c>
      <c r="D309" s="55">
        <v>8.6395643068761241E-2</v>
      </c>
      <c r="E309" s="55">
        <v>7.9835857851534353E-2</v>
      </c>
      <c r="F309" s="55">
        <v>7.9835857851534353E-2</v>
      </c>
      <c r="G309" s="55">
        <v>7.9835857851534353E-2</v>
      </c>
      <c r="H309" s="55">
        <v>7.9835857851534353E-2</v>
      </c>
    </row>
    <row r="310" spans="3:8" x14ac:dyDescent="0.15">
      <c r="C310" s="29">
        <v>2033</v>
      </c>
      <c r="D310" s="55">
        <v>8.9146704387680895E-2</v>
      </c>
      <c r="E310" s="55">
        <v>7.8373211969924514E-2</v>
      </c>
      <c r="F310" s="55">
        <v>7.8373211969924514E-2</v>
      </c>
      <c r="G310" s="55">
        <v>7.8373211969924514E-2</v>
      </c>
      <c r="H310" s="55">
        <v>0.15811320433842529</v>
      </c>
    </row>
    <row r="311" spans="3:8" x14ac:dyDescent="0.15">
      <c r="C311" s="29">
        <v>2034</v>
      </c>
      <c r="D311" s="55">
        <v>9.2750598587438879E-2</v>
      </c>
      <c r="E311" s="55">
        <v>7.7361437749576448E-2</v>
      </c>
      <c r="F311" s="55">
        <v>7.7361437749576448E-2</v>
      </c>
      <c r="G311" s="55">
        <v>7.7361437749576448E-2</v>
      </c>
      <c r="H311" s="55">
        <v>0.18086039203089757</v>
      </c>
    </row>
    <row r="312" spans="3:8" x14ac:dyDescent="0.15">
      <c r="C312" s="29">
        <v>2035</v>
      </c>
      <c r="D312" s="55">
        <v>9.698022133631283E-2</v>
      </c>
      <c r="E312" s="55">
        <v>7.6669355799216521E-2</v>
      </c>
      <c r="F312" s="55">
        <v>7.6669355799216521E-2</v>
      </c>
      <c r="G312" s="55">
        <v>7.6669355799216521E-2</v>
      </c>
      <c r="H312" s="55">
        <v>0.19240581315865513</v>
      </c>
    </row>
    <row r="313" spans="3:8" x14ac:dyDescent="0.15">
      <c r="C313" s="29">
        <v>2036</v>
      </c>
      <c r="D313" s="55">
        <v>0.10167455543206994</v>
      </c>
      <c r="E313" s="55">
        <v>7.6199745577283193E-2</v>
      </c>
      <c r="F313" s="55">
        <v>7.6199745577283193E-2</v>
      </c>
      <c r="G313" s="55">
        <v>7.6199745577283193E-2</v>
      </c>
      <c r="H313" s="55">
        <v>0.19909867103115145</v>
      </c>
    </row>
    <row r="314" spans="3:8" x14ac:dyDescent="0.15">
      <c r="C314" s="29">
        <v>2037</v>
      </c>
      <c r="D314" s="55">
        <v>0.10672094650061212</v>
      </c>
      <c r="E314" s="55">
        <v>7.5882885700915004E-2</v>
      </c>
      <c r="F314" s="55">
        <v>7.5882885700915004E-2</v>
      </c>
      <c r="G314" s="55">
        <v>7.5882885700915004E-2</v>
      </c>
      <c r="H314" s="55">
        <v>0.20321256702495527</v>
      </c>
    </row>
    <row r="315" spans="3:8" x14ac:dyDescent="0.15">
      <c r="C315" s="29">
        <v>2038</v>
      </c>
      <c r="D315" s="55">
        <v>0.11204120516078428</v>
      </c>
      <c r="E315" s="55">
        <v>7.5669921871915208E-2</v>
      </c>
      <c r="F315" s="55">
        <v>7.5669921871915208E-2</v>
      </c>
      <c r="G315" s="55">
        <v>7.5669921871915208E-2</v>
      </c>
      <c r="H315" s="55">
        <v>0.20582157440069224</v>
      </c>
    </row>
    <row r="316" spans="3:8" x14ac:dyDescent="0.15">
      <c r="C316" s="29">
        <v>2039</v>
      </c>
      <c r="D316" s="55">
        <v>0.1175811422250541</v>
      </c>
      <c r="E316" s="55">
        <v>7.5527167228394573E-2</v>
      </c>
      <c r="F316" s="55">
        <v>7.5527167228394573E-2</v>
      </c>
      <c r="G316" s="55">
        <v>0.15285172956012452</v>
      </c>
      <c r="H316" s="55">
        <v>0.2075066938457035</v>
      </c>
    </row>
    <row r="317" spans="3:8" x14ac:dyDescent="0.15">
      <c r="C317" s="29">
        <v>2040</v>
      </c>
      <c r="D317" s="55">
        <v>0.12330299463779831</v>
      </c>
      <c r="E317" s="55">
        <v>7.5431647542371652E-2</v>
      </c>
      <c r="F317" s="55">
        <v>7.5431647542371652E-2</v>
      </c>
      <c r="G317" s="55">
        <v>0.17852211149701991</v>
      </c>
      <c r="H317" s="55">
        <v>0.20860736443646516</v>
      </c>
    </row>
    <row r="318" spans="3:8" x14ac:dyDescent="0.15">
      <c r="C318" s="29">
        <v>2041</v>
      </c>
      <c r="D318" s="55">
        <v>0.12918010646267572</v>
      </c>
      <c r="E318" s="55">
        <v>7.5367811084485425E-2</v>
      </c>
      <c r="F318" s="55">
        <v>7.5367811084485425E-2</v>
      </c>
      <c r="G318" s="55">
        <v>0.19836238955353852</v>
      </c>
      <c r="H318" s="55">
        <v>0.20984146082074523</v>
      </c>
    </row>
    <row r="319" spans="3:8" x14ac:dyDescent="0.15">
      <c r="C319" s="29">
        <v>2042</v>
      </c>
      <c r="D319" s="55">
        <v>0.13519327227856742</v>
      </c>
      <c r="E319" s="55">
        <v>7.5325183473197513E-2</v>
      </c>
      <c r="F319" s="55">
        <v>7.5325183473197513E-2</v>
      </c>
      <c r="G319" s="55">
        <v>0.20275196667974055</v>
      </c>
      <c r="H319" s="55">
        <v>0.21014797562821427</v>
      </c>
    </row>
    <row r="320" spans="3:8" x14ac:dyDescent="0.15">
      <c r="C320" s="29">
        <v>2043</v>
      </c>
      <c r="D320" s="55">
        <v>0.14132826001445231</v>
      </c>
      <c r="E320" s="55">
        <v>7.529673386443729E-2</v>
      </c>
      <c r="F320" s="55">
        <v>7.529673386443729E-2</v>
      </c>
      <c r="G320" s="55">
        <v>0.20552651210688039</v>
      </c>
      <c r="H320" s="55">
        <v>0.2103515603241991</v>
      </c>
    </row>
    <row r="321" spans="3:8" x14ac:dyDescent="0.15">
      <c r="C321" s="29">
        <v>2044</v>
      </c>
      <c r="D321" s="55">
        <v>0.14757414956020953</v>
      </c>
      <c r="E321" s="55">
        <v>7.5277753560947486E-2</v>
      </c>
      <c r="F321" s="55">
        <v>7.5277753560947486E-2</v>
      </c>
      <c r="G321" s="55">
        <v>0.20731495227038466</v>
      </c>
      <c r="H321" s="55">
        <v>0.21058631319464763</v>
      </c>
    </row>
    <row r="322" spans="3:8" x14ac:dyDescent="0.15">
      <c r="C322" s="29">
        <v>2045</v>
      </c>
      <c r="D322" s="55">
        <v>0.15392222621506446</v>
      </c>
      <c r="E322" s="55">
        <v>7.526509383951005E-2</v>
      </c>
      <c r="F322" s="55">
        <v>7.526509383951005E-2</v>
      </c>
      <c r="G322" s="55">
        <v>0.20848164458064869</v>
      </c>
      <c r="H322" s="55">
        <v>0.2106432315342508</v>
      </c>
    </row>
    <row r="323" spans="3:8" x14ac:dyDescent="0.15">
      <c r="C323" s="29">
        <v>2046</v>
      </c>
      <c r="D323" s="55">
        <v>0.16036524731700605</v>
      </c>
      <c r="E323" s="55">
        <v>7.5256651273298794E-2</v>
      </c>
      <c r="F323" s="55">
        <v>7.5256651273298794E-2</v>
      </c>
      <c r="G323" s="55">
        <v>0.20924850478063931</v>
      </c>
      <c r="H323" s="55">
        <v>0.36957190149129632</v>
      </c>
    </row>
    <row r="324" spans="3:8" x14ac:dyDescent="0.15">
      <c r="C324" s="29">
        <v>2047</v>
      </c>
      <c r="D324" s="55">
        <v>0.16689695800821713</v>
      </c>
      <c r="E324" s="55">
        <v>7.5251021671952606E-2</v>
      </c>
      <c r="F324" s="55">
        <v>7.5251021671952606E-2</v>
      </c>
      <c r="G324" s="55">
        <v>0.21009337240019679</v>
      </c>
      <c r="H324" s="55">
        <v>0.41538773076328994</v>
      </c>
    </row>
    <row r="325" spans="3:8" x14ac:dyDescent="0.15">
      <c r="C325" s="29">
        <v>2048</v>
      </c>
      <c r="D325" s="55">
        <v>0.17351177248677119</v>
      </c>
      <c r="E325" s="55">
        <v>7.524726806020908E-2</v>
      </c>
      <c r="F325" s="55">
        <v>7.524726806020908E-2</v>
      </c>
      <c r="G325" s="55">
        <v>0.21031527089466567</v>
      </c>
      <c r="H325" s="55">
        <v>0.43637754102381304</v>
      </c>
    </row>
    <row r="326" spans="3:8" x14ac:dyDescent="0.15">
      <c r="C326" s="29">
        <v>2049</v>
      </c>
      <c r="D326" s="55">
        <v>0.18020456478370456</v>
      </c>
      <c r="E326" s="55">
        <v>7.524476541045251E-2</v>
      </c>
      <c r="F326" s="55">
        <v>7.524476541045251E-2</v>
      </c>
      <c r="G326" s="55">
        <v>0.21056220498490411</v>
      </c>
      <c r="H326" s="55">
        <v>0.44794508862905158</v>
      </c>
    </row>
    <row r="327" spans="3:8" x14ac:dyDescent="0.15">
      <c r="C327" s="29">
        <v>2050</v>
      </c>
      <c r="D327" s="55">
        <v>0.18697053186568741</v>
      </c>
      <c r="E327" s="55">
        <v>7.5243096869737361E-2</v>
      </c>
      <c r="F327" s="55">
        <v>7.5243096869737361E-2</v>
      </c>
      <c r="G327" s="55">
        <v>0.21062717365302502</v>
      </c>
      <c r="H327" s="55">
        <v>0.45482830554875536</v>
      </c>
    </row>
    <row r="328" spans="3:8" ht="15" x14ac:dyDescent="0.2">
      <c r="C328"/>
      <c r="D328"/>
      <c r="E328"/>
      <c r="F328"/>
      <c r="G328"/>
      <c r="H328"/>
    </row>
    <row r="329" spans="3:8" ht="15" x14ac:dyDescent="0.2">
      <c r="C329"/>
      <c r="D329"/>
      <c r="E329"/>
      <c r="F329"/>
      <c r="G329"/>
      <c r="H329"/>
    </row>
    <row r="330" spans="3:8" x14ac:dyDescent="0.15">
      <c r="C330" s="69" t="s">
        <v>176</v>
      </c>
    </row>
    <row r="331" spans="3:8" ht="16" x14ac:dyDescent="0.3">
      <c r="C331" s="72" t="s">
        <v>77</v>
      </c>
      <c r="D331" s="72" t="s">
        <v>152</v>
      </c>
      <c r="E331" s="72" t="s">
        <v>153</v>
      </c>
      <c r="F331" s="72" t="s">
        <v>154</v>
      </c>
      <c r="G331" s="72" t="s">
        <v>155</v>
      </c>
      <c r="H331" s="72" t="s">
        <v>156</v>
      </c>
    </row>
    <row r="332" spans="3:8" x14ac:dyDescent="0.15">
      <c r="C332" s="29">
        <v>2030</v>
      </c>
      <c r="D332" s="55">
        <v>0.2273543336120416</v>
      </c>
      <c r="E332" s="55">
        <v>0.2273543336120416</v>
      </c>
      <c r="F332" s="55">
        <v>0.2273543336120416</v>
      </c>
      <c r="G332" s="55">
        <v>0.2273543336120416</v>
      </c>
      <c r="H332" s="55">
        <v>0.2273543336120416</v>
      </c>
    </row>
    <row r="333" spans="3:8" x14ac:dyDescent="0.15">
      <c r="C333" s="29">
        <v>2031</v>
      </c>
      <c r="D333" s="55">
        <v>0.24141039100988843</v>
      </c>
      <c r="E333" s="55">
        <v>0.23065151951138918</v>
      </c>
      <c r="F333" s="55">
        <v>0.23065151951138918</v>
      </c>
      <c r="G333" s="55">
        <v>0.23065151951138918</v>
      </c>
      <c r="H333" s="55">
        <v>0.23065151951138918</v>
      </c>
    </row>
    <row r="334" spans="3:8" x14ac:dyDescent="0.15">
      <c r="C334" s="29">
        <v>2032</v>
      </c>
      <c r="D334" s="55">
        <v>0.25942852591616478</v>
      </c>
      <c r="E334" s="55">
        <v>0.23280302266985498</v>
      </c>
      <c r="F334" s="55">
        <v>0.23280302266985498</v>
      </c>
      <c r="G334" s="55">
        <v>0.23280302266985498</v>
      </c>
      <c r="H334" s="55">
        <v>0.23280302266985498</v>
      </c>
    </row>
    <row r="335" spans="3:8" x14ac:dyDescent="0.15">
      <c r="C335" s="29">
        <v>2033</v>
      </c>
      <c r="D335" s="55">
        <v>0.28019815456273689</v>
      </c>
      <c r="E335" s="55">
        <v>0.23421754627973312</v>
      </c>
      <c r="F335" s="55">
        <v>0.23421754627973312</v>
      </c>
      <c r="G335" s="55">
        <v>0.23421754627973312</v>
      </c>
      <c r="H335" s="55">
        <v>0.54592349944050844</v>
      </c>
    </row>
    <row r="336" spans="3:8" x14ac:dyDescent="0.15">
      <c r="C336" s="29">
        <v>2034</v>
      </c>
      <c r="D336" s="55">
        <v>0.30333369902915391</v>
      </c>
      <c r="E336" s="55">
        <v>0.23515201002678854</v>
      </c>
      <c r="F336" s="55">
        <v>0.23515201002678854</v>
      </c>
      <c r="G336" s="55">
        <v>0.23515201002678854</v>
      </c>
      <c r="H336" s="55">
        <v>0.66876554332547067</v>
      </c>
    </row>
    <row r="337" spans="3:8" x14ac:dyDescent="0.15">
      <c r="C337" s="29">
        <v>2035</v>
      </c>
      <c r="D337" s="55">
        <v>0.32873192099361465</v>
      </c>
      <c r="E337" s="55">
        <v>0.23577125708746038</v>
      </c>
      <c r="F337" s="55">
        <v>0.23577125708746038</v>
      </c>
      <c r="G337" s="55">
        <v>0.23577125708746038</v>
      </c>
      <c r="H337" s="55">
        <v>0.73119417311967849</v>
      </c>
    </row>
    <row r="338" spans="3:8" x14ac:dyDescent="0.15">
      <c r="C338" s="29">
        <v>2036</v>
      </c>
      <c r="D338" s="55">
        <v>0.35641420825730885</v>
      </c>
      <c r="E338" s="55">
        <v>0.23618245204585486</v>
      </c>
      <c r="F338" s="55">
        <v>0.23618245204585486</v>
      </c>
      <c r="G338" s="55">
        <v>0.23618245204585486</v>
      </c>
      <c r="H338" s="55">
        <v>0.76767497845528965</v>
      </c>
    </row>
    <row r="339" spans="3:8" x14ac:dyDescent="0.15">
      <c r="C339" s="29">
        <v>2037</v>
      </c>
      <c r="D339" s="55">
        <v>0.38646953188932515</v>
      </c>
      <c r="E339" s="55">
        <v>0.23645586078452152</v>
      </c>
      <c r="F339" s="55">
        <v>0.23645586078452152</v>
      </c>
      <c r="G339" s="55">
        <v>0.23645586078452152</v>
      </c>
      <c r="H339" s="55">
        <v>0.79024198449574623</v>
      </c>
    </row>
    <row r="340" spans="3:8" x14ac:dyDescent="0.15">
      <c r="C340" s="29">
        <v>2038</v>
      </c>
      <c r="D340" s="55">
        <v>0.41903004973240898</v>
      </c>
      <c r="E340" s="55">
        <v>0.23663781450445587</v>
      </c>
      <c r="F340" s="55">
        <v>0.23663781450445587</v>
      </c>
      <c r="G340" s="55">
        <v>0.23663781450445587</v>
      </c>
      <c r="H340" s="55">
        <v>0.80461798602981549</v>
      </c>
    </row>
    <row r="341" spans="3:8" x14ac:dyDescent="0.15">
      <c r="C341" s="29">
        <v>2039</v>
      </c>
      <c r="D341" s="55">
        <v>0.45425958682309381</v>
      </c>
      <c r="E341" s="55">
        <v>0.2367589758299089</v>
      </c>
      <c r="F341" s="55">
        <v>0.2367589758299089</v>
      </c>
      <c r="G341" s="55">
        <v>0.55153630453046731</v>
      </c>
      <c r="H341" s="55">
        <v>0.81393150190853425</v>
      </c>
    </row>
    <row r="342" spans="3:8" x14ac:dyDescent="0.15">
      <c r="C342" s="29">
        <v>2040</v>
      </c>
      <c r="D342" s="55">
        <v>0.49234796444110568</v>
      </c>
      <c r="E342" s="55">
        <v>0.23683968746548012</v>
      </c>
      <c r="F342" s="55">
        <v>0.23683968746548012</v>
      </c>
      <c r="G342" s="55">
        <v>0.67131322458165643</v>
      </c>
      <c r="H342" s="55">
        <v>0.82002726316343022</v>
      </c>
    </row>
    <row r="343" spans="3:8" x14ac:dyDescent="0.15">
      <c r="C343" s="29">
        <v>2041</v>
      </c>
      <c r="D343" s="55">
        <v>0.53350829781595765</v>
      </c>
      <c r="E343" s="55">
        <v>0.23689346745403106</v>
      </c>
      <c r="F343" s="55">
        <v>0.23689346745403106</v>
      </c>
      <c r="G343" s="55">
        <v>0.76850238712996433</v>
      </c>
      <c r="H343" s="55">
        <v>0.82666236349633748</v>
      </c>
    </row>
    <row r="344" spans="3:8" x14ac:dyDescent="0.15">
      <c r="C344" s="29">
        <v>2042</v>
      </c>
      <c r="D344" s="55">
        <v>0.57797594786919992</v>
      </c>
      <c r="E344" s="55">
        <v>0.23692930845161664</v>
      </c>
      <c r="F344" s="55">
        <v>0.23692930845161664</v>
      </c>
      <c r="G344" s="55">
        <v>0.79076363831094687</v>
      </c>
      <c r="H344" s="55">
        <v>0.82843601038357173</v>
      </c>
    </row>
    <row r="345" spans="3:8" x14ac:dyDescent="0.15">
      <c r="C345" s="29">
        <v>2043</v>
      </c>
      <c r="D345" s="55">
        <v>0.62600847321320419</v>
      </c>
      <c r="E345" s="55">
        <v>0.23695319697482087</v>
      </c>
      <c r="F345" s="55">
        <v>0.23695319697482087</v>
      </c>
      <c r="G345" s="55">
        <v>0.80495386759181509</v>
      </c>
      <c r="H345" s="55">
        <v>0.8296143520752326</v>
      </c>
    </row>
    <row r="346" spans="3:8" x14ac:dyDescent="0.15">
      <c r="C346" s="29">
        <v>2044</v>
      </c>
      <c r="D346" s="55">
        <v>0.67788623462519393</v>
      </c>
      <c r="E346" s="55">
        <v>0.23696912022471772</v>
      </c>
      <c r="F346" s="55">
        <v>0.23696912022471772</v>
      </c>
      <c r="G346" s="55">
        <v>0.81415050270796896</v>
      </c>
      <c r="H346" s="55">
        <v>0.83090917702465483</v>
      </c>
    </row>
    <row r="347" spans="3:8" x14ac:dyDescent="0.15">
      <c r="C347" s="29">
        <v>2045</v>
      </c>
      <c r="D347" s="55">
        <v>0.73391345770505056</v>
      </c>
      <c r="E347" s="55">
        <v>0.23697973464400213</v>
      </c>
      <c r="F347" s="55">
        <v>0.23697973464400213</v>
      </c>
      <c r="G347" s="55">
        <v>0.82017117475952306</v>
      </c>
      <c r="H347" s="55">
        <v>0.83126017966044863</v>
      </c>
    </row>
    <row r="348" spans="3:8" x14ac:dyDescent="0.15">
      <c r="C348" s="29">
        <v>2046</v>
      </c>
      <c r="D348" s="55">
        <v>0.79441964200902648</v>
      </c>
      <c r="E348" s="55">
        <v>0.23698681044334102</v>
      </c>
      <c r="F348" s="55">
        <v>0.23698681044334102</v>
      </c>
      <c r="G348" s="55">
        <v>0.82413771430110638</v>
      </c>
      <c r="H348" s="55">
        <v>1.8545599890001379</v>
      </c>
    </row>
    <row r="349" spans="3:8" x14ac:dyDescent="0.15">
      <c r="C349" s="29">
        <v>2047</v>
      </c>
      <c r="D349" s="55">
        <v>0.85976125216231114</v>
      </c>
      <c r="E349" s="55">
        <v>0.23699152742951535</v>
      </c>
      <c r="F349" s="55">
        <v>0.23699152742951535</v>
      </c>
      <c r="G349" s="55">
        <v>0.82849872110106504</v>
      </c>
      <c r="H349" s="55">
        <v>2.2529870395441804</v>
      </c>
    </row>
    <row r="350" spans="3:8" x14ac:dyDescent="0.15">
      <c r="C350" s="29">
        <v>2048</v>
      </c>
      <c r="D350" s="55">
        <v>0.93032365486545365</v>
      </c>
      <c r="E350" s="55">
        <v>0.23699467199213653</v>
      </c>
      <c r="F350" s="55">
        <v>0.23699467199213653</v>
      </c>
      <c r="G350" s="55">
        <v>0.82965604486886591</v>
      </c>
      <c r="H350" s="55">
        <v>2.4571416754035167</v>
      </c>
    </row>
    <row r="351" spans="3:8" x14ac:dyDescent="0.15">
      <c r="C351" s="29">
        <v>2049</v>
      </c>
      <c r="D351" s="55">
        <v>1.0065232835794824</v>
      </c>
      <c r="E351" s="55">
        <v>0.23699676832507399</v>
      </c>
      <c r="F351" s="55">
        <v>0.23699676832507399</v>
      </c>
      <c r="G351" s="55">
        <v>0.83093688851472725</v>
      </c>
      <c r="H351" s="55">
        <v>2.5762844140956207</v>
      </c>
    </row>
    <row r="352" spans="3:8" x14ac:dyDescent="0.15">
      <c r="C352" s="29">
        <v>2050</v>
      </c>
      <c r="D352" s="55">
        <v>1.0888100243595022</v>
      </c>
      <c r="E352" s="55">
        <v>0.23699816586163602</v>
      </c>
      <c r="F352" s="55">
        <v>0.23699816586163602</v>
      </c>
      <c r="G352" s="55">
        <v>0.83127863902116461</v>
      </c>
      <c r="H352" s="55">
        <v>2.6495783655485745</v>
      </c>
    </row>
    <row r="353" spans="3:8" ht="15" x14ac:dyDescent="0.2">
      <c r="C353"/>
      <c r="D353"/>
      <c r="E353"/>
      <c r="F353"/>
      <c r="G353"/>
      <c r="H353"/>
    </row>
    <row r="354" spans="3:8" ht="15" x14ac:dyDescent="0.2">
      <c r="C354"/>
      <c r="D354"/>
      <c r="E354"/>
      <c r="F354"/>
      <c r="G354"/>
      <c r="H354"/>
    </row>
    <row r="355" spans="3:8" x14ac:dyDescent="0.15">
      <c r="C355" s="69" t="s">
        <v>177</v>
      </c>
    </row>
    <row r="356" spans="3:8" ht="16" x14ac:dyDescent="0.3">
      <c r="C356" s="72" t="s">
        <v>77</v>
      </c>
      <c r="D356" s="72" t="s">
        <v>152</v>
      </c>
      <c r="E356" s="72" t="s">
        <v>153</v>
      </c>
      <c r="F356" s="72" t="s">
        <v>154</v>
      </c>
      <c r="G356" s="72" t="s">
        <v>155</v>
      </c>
      <c r="H356" s="72" t="s">
        <v>156</v>
      </c>
    </row>
    <row r="357" spans="3:8" x14ac:dyDescent="0.15">
      <c r="C357" s="29">
        <v>2030</v>
      </c>
      <c r="D357" s="55">
        <v>0.20455371926233337</v>
      </c>
      <c r="E357" s="55">
        <v>0.20455371926233337</v>
      </c>
      <c r="F357" s="55">
        <v>0.20455371926233337</v>
      </c>
      <c r="G357" s="55">
        <v>0.20455371926233337</v>
      </c>
      <c r="H357" s="55">
        <v>0.20455371926233337</v>
      </c>
    </row>
    <row r="358" spans="3:8" x14ac:dyDescent="0.15">
      <c r="C358" s="29">
        <v>2031</v>
      </c>
      <c r="D358" s="55">
        <v>0.21223425081994929</v>
      </c>
      <c r="E358" s="55">
        <v>0.20668489467548215</v>
      </c>
      <c r="F358" s="55">
        <v>0.20668489467548215</v>
      </c>
      <c r="G358" s="55">
        <v>0.20668489467548215</v>
      </c>
      <c r="H358" s="55">
        <v>0.20668489467548215</v>
      </c>
    </row>
    <row r="359" spans="3:8" x14ac:dyDescent="0.15">
      <c r="C359" s="29">
        <v>2032</v>
      </c>
      <c r="D359" s="55">
        <v>0.22088105815052339</v>
      </c>
      <c r="E359" s="55">
        <v>0.2080693980579186</v>
      </c>
      <c r="F359" s="55">
        <v>0.2080693980579186</v>
      </c>
      <c r="G359" s="55">
        <v>0.2080693980579186</v>
      </c>
      <c r="H359" s="55">
        <v>0.2080693980579186</v>
      </c>
    </row>
    <row r="360" spans="3:8" x14ac:dyDescent="0.15">
      <c r="C360" s="29">
        <v>2033</v>
      </c>
      <c r="D360" s="55">
        <v>0.22981559075637845</v>
      </c>
      <c r="E360" s="55">
        <v>0.20897702130246631</v>
      </c>
      <c r="F360" s="55">
        <v>0.20897702130246631</v>
      </c>
      <c r="G360" s="55">
        <v>0.20897702130246631</v>
      </c>
      <c r="H360" s="55">
        <v>0.36847169981419492</v>
      </c>
    </row>
    <row r="361" spans="3:8" x14ac:dyDescent="0.15">
      <c r="C361" s="29">
        <v>2034</v>
      </c>
      <c r="D361" s="55">
        <v>0.23885382020330576</v>
      </c>
      <c r="E361" s="55">
        <v>0.20957547581711716</v>
      </c>
      <c r="F361" s="55">
        <v>0.20957547581711716</v>
      </c>
      <c r="G361" s="55">
        <v>0.20957547581711716</v>
      </c>
      <c r="H361" s="55">
        <v>0.41496009207295687</v>
      </c>
    </row>
    <row r="362" spans="3:8" x14ac:dyDescent="0.15">
      <c r="C362" s="29">
        <v>2035</v>
      </c>
      <c r="D362" s="55">
        <v>0.24793194003450261</v>
      </c>
      <c r="E362" s="55">
        <v>0.20997155887899116</v>
      </c>
      <c r="F362" s="55">
        <v>0.20997155887899116</v>
      </c>
      <c r="G362" s="55">
        <v>0.20997155887899116</v>
      </c>
      <c r="H362" s="55">
        <v>0.43605722860097462</v>
      </c>
    </row>
    <row r="363" spans="3:8" x14ac:dyDescent="0.15">
      <c r="C363" s="29">
        <v>2036</v>
      </c>
      <c r="D363" s="55">
        <v>0.25702388396449782</v>
      </c>
      <c r="E363" s="55">
        <v>0.21023434833328217</v>
      </c>
      <c r="F363" s="55">
        <v>0.21023434833328217</v>
      </c>
      <c r="G363" s="55">
        <v>0.21023434833328217</v>
      </c>
      <c r="H363" s="55">
        <v>0.4476957292951525</v>
      </c>
    </row>
    <row r="364" spans="3:8" x14ac:dyDescent="0.15">
      <c r="C364" s="29">
        <v>2037</v>
      </c>
      <c r="D364" s="55">
        <v>0.26611708973888554</v>
      </c>
      <c r="E364" s="55">
        <v>0.21040898362558247</v>
      </c>
      <c r="F364" s="55">
        <v>0.21040898362558247</v>
      </c>
      <c r="G364" s="55">
        <v>0.21040898362558247</v>
      </c>
      <c r="H364" s="55">
        <v>0.45465783493288675</v>
      </c>
    </row>
    <row r="365" spans="3:8" x14ac:dyDescent="0.15">
      <c r="C365" s="29">
        <v>2038</v>
      </c>
      <c r="D365" s="55">
        <v>0.27520418339934394</v>
      </c>
      <c r="E365" s="55">
        <v>0.21052516074791441</v>
      </c>
      <c r="F365" s="55">
        <v>0.21052516074791441</v>
      </c>
      <c r="G365" s="55">
        <v>0.21052516074791441</v>
      </c>
      <c r="H365" s="55">
        <v>0.45900215592618759</v>
      </c>
    </row>
    <row r="366" spans="3:8" x14ac:dyDescent="0.15">
      <c r="C366" s="29">
        <v>2039</v>
      </c>
      <c r="D366" s="55">
        <v>0.28427988002102339</v>
      </c>
      <c r="E366" s="55">
        <v>0.21060250307556683</v>
      </c>
      <c r="F366" s="55">
        <v>0.21060250307556683</v>
      </c>
      <c r="G366" s="55">
        <v>0.37075630330518999</v>
      </c>
      <c r="H366" s="55">
        <v>0.46177987493367628</v>
      </c>
    </row>
    <row r="367" spans="3:8" x14ac:dyDescent="0.15">
      <c r="C367" s="29">
        <v>2040</v>
      </c>
      <c r="D367" s="55">
        <v>0.29333977867986794</v>
      </c>
      <c r="E367" s="55">
        <v>0.21065401626982982</v>
      </c>
      <c r="F367" s="55">
        <v>0.21065401626982982</v>
      </c>
      <c r="G367" s="55">
        <v>0.41585190288712615</v>
      </c>
      <c r="H367" s="55">
        <v>0.46358251902115111</v>
      </c>
    </row>
    <row r="368" spans="3:8" x14ac:dyDescent="0.15">
      <c r="C368" s="29">
        <v>2041</v>
      </c>
      <c r="D368" s="55">
        <v>0.30237988766597823</v>
      </c>
      <c r="E368" s="55">
        <v>0.21068833694423292</v>
      </c>
      <c r="F368" s="55">
        <v>0.21068833694423292</v>
      </c>
      <c r="G368" s="55">
        <v>0.447954129480511</v>
      </c>
      <c r="H368" s="55">
        <v>0.46553098189953857</v>
      </c>
    </row>
    <row r="369" spans="3:8" x14ac:dyDescent="0.15">
      <c r="C369" s="29">
        <v>2042</v>
      </c>
      <c r="D369" s="55">
        <v>0.31139644031412356</v>
      </c>
      <c r="E369" s="55">
        <v>0.21071120786920536</v>
      </c>
      <c r="F369" s="55">
        <v>0.21071120786920536</v>
      </c>
      <c r="G369" s="55">
        <v>0.45481669443556544</v>
      </c>
      <c r="H369" s="55">
        <v>0.46604943554237516</v>
      </c>
    </row>
    <row r="370" spans="3:8" x14ac:dyDescent="0.15">
      <c r="C370" s="29">
        <v>2043</v>
      </c>
      <c r="D370" s="55">
        <v>0.32038582750988209</v>
      </c>
      <c r="E370" s="55">
        <v>0.2107264509225979</v>
      </c>
      <c r="F370" s="55">
        <v>0.2107264509225979</v>
      </c>
      <c r="G370" s="55">
        <v>0.4591028295246482</v>
      </c>
      <c r="H370" s="55">
        <v>0.46639332014880741</v>
      </c>
    </row>
    <row r="371" spans="3:8" x14ac:dyDescent="0.15">
      <c r="C371" s="29">
        <v>2044</v>
      </c>
      <c r="D371" s="55">
        <v>0.32934457622961316</v>
      </c>
      <c r="E371" s="55">
        <v>0.21073661107918826</v>
      </c>
      <c r="F371" s="55">
        <v>0.21073661107918826</v>
      </c>
      <c r="G371" s="55">
        <v>0.46184484784385399</v>
      </c>
      <c r="H371" s="55">
        <v>0.46677068853546472</v>
      </c>
    </row>
    <row r="372" spans="3:8" x14ac:dyDescent="0.15">
      <c r="C372" s="29">
        <v>2045</v>
      </c>
      <c r="D372" s="55">
        <v>0.33826934517940271</v>
      </c>
      <c r="E372" s="55">
        <v>0.21074338368208645</v>
      </c>
      <c r="F372" s="55">
        <v>0.21074338368208645</v>
      </c>
      <c r="G372" s="55">
        <v>0.4636249307991917</v>
      </c>
      <c r="H372" s="55">
        <v>0.46687289405267379</v>
      </c>
    </row>
    <row r="373" spans="3:8" x14ac:dyDescent="0.15">
      <c r="C373" s="29">
        <v>2046</v>
      </c>
      <c r="D373" s="55">
        <v>0.34715692581907259</v>
      </c>
      <c r="E373" s="55">
        <v>0.21074789837973457</v>
      </c>
      <c r="F373" s="55">
        <v>0.21074789837973457</v>
      </c>
      <c r="G373" s="55">
        <v>0.46479126429716439</v>
      </c>
      <c r="H373" s="55">
        <v>0.65798776568681583</v>
      </c>
    </row>
    <row r="374" spans="3:8" x14ac:dyDescent="0.15">
      <c r="C374" s="29">
        <v>2047</v>
      </c>
      <c r="D374" s="55">
        <v>0.35600424423431576</v>
      </c>
      <c r="E374" s="55">
        <v>0.21075090801332463</v>
      </c>
      <c r="F374" s="55">
        <v>0.21075090801332463</v>
      </c>
      <c r="G374" s="55">
        <v>0.46606774806434553</v>
      </c>
      <c r="H374" s="55">
        <v>0.69987755009446417</v>
      </c>
    </row>
    <row r="375" spans="3:8" x14ac:dyDescent="0.15">
      <c r="C375" s="29">
        <v>2048</v>
      </c>
      <c r="D375" s="55">
        <v>0.36480836227232721</v>
      </c>
      <c r="E375" s="55">
        <v>0.21075291436246227</v>
      </c>
      <c r="F375" s="55">
        <v>0.21075291436246227</v>
      </c>
      <c r="G375" s="55">
        <v>0.46640547956710182</v>
      </c>
      <c r="H375" s="55">
        <v>0.71760068533928301</v>
      </c>
    </row>
    <row r="376" spans="3:8" x14ac:dyDescent="0.15">
      <c r="C376" s="29">
        <v>2049</v>
      </c>
      <c r="D376" s="55">
        <v>0.37356647759997413</v>
      </c>
      <c r="E376" s="55">
        <v>0.21075425189599811</v>
      </c>
      <c r="F376" s="55">
        <v>0.21075425189599811</v>
      </c>
      <c r="G376" s="55">
        <v>0.46677875903689148</v>
      </c>
      <c r="H376" s="55">
        <v>0.72700872560052154</v>
      </c>
    </row>
    <row r="377" spans="3:8" x14ac:dyDescent="0.15">
      <c r="C377" s="29">
        <v>2050</v>
      </c>
      <c r="D377" s="55">
        <v>0.38227592268546817</v>
      </c>
      <c r="E377" s="55">
        <v>0.21075514357055336</v>
      </c>
      <c r="F377" s="55">
        <v>0.21075514357055336</v>
      </c>
      <c r="G377" s="55">
        <v>0.46687826799487264</v>
      </c>
      <c r="H377" s="55">
        <v>0.73249116965537275</v>
      </c>
    </row>
    <row r="378" spans="3:8" ht="15" x14ac:dyDescent="0.2">
      <c r="C378"/>
      <c r="D378"/>
      <c r="E378"/>
      <c r="F378"/>
      <c r="G378"/>
      <c r="H378"/>
    </row>
    <row r="379" spans="3:8" ht="15" x14ac:dyDescent="0.2">
      <c r="C379"/>
      <c r="D379"/>
      <c r="E379"/>
      <c r="F379"/>
      <c r="G379"/>
      <c r="H379"/>
    </row>
    <row r="380" spans="3:8" x14ac:dyDescent="0.15">
      <c r="C380" s="69" t="s">
        <v>178</v>
      </c>
    </row>
    <row r="381" spans="3:8" ht="16" x14ac:dyDescent="0.3">
      <c r="C381" s="72" t="s">
        <v>77</v>
      </c>
      <c r="D381" s="72" t="s">
        <v>152</v>
      </c>
      <c r="E381" s="72" t="s">
        <v>153</v>
      </c>
      <c r="F381" s="72" t="s">
        <v>154</v>
      </c>
      <c r="G381" s="72" t="s">
        <v>155</v>
      </c>
      <c r="H381" s="72" t="s">
        <v>156</v>
      </c>
    </row>
    <row r="382" spans="3:8" x14ac:dyDescent="0.15">
      <c r="C382" s="29">
        <v>2030</v>
      </c>
      <c r="D382" s="55">
        <v>0.5307659378264058</v>
      </c>
      <c r="E382" s="55">
        <v>0.5307659378264058</v>
      </c>
      <c r="F382" s="55">
        <v>0.5307659378264058</v>
      </c>
      <c r="G382" s="55">
        <v>0.5307659378264058</v>
      </c>
      <c r="H382" s="55">
        <v>0.5307659378264058</v>
      </c>
    </row>
    <row r="383" spans="3:8" x14ac:dyDescent="0.15">
      <c r="C383" s="29">
        <v>2031</v>
      </c>
      <c r="D383" s="55">
        <v>0.69104898388500102</v>
      </c>
      <c r="E383" s="55">
        <v>0.66204298761042457</v>
      </c>
      <c r="F383" s="55">
        <v>0.66204298761042457</v>
      </c>
      <c r="G383" s="55">
        <v>0.66204298761042457</v>
      </c>
      <c r="H383" s="55">
        <v>0.66204298761042457</v>
      </c>
    </row>
    <row r="384" spans="3:8" x14ac:dyDescent="0.15">
      <c r="C384" s="29">
        <v>2032</v>
      </c>
      <c r="D384" s="55">
        <v>0.80960953403272462</v>
      </c>
      <c r="E384" s="55">
        <v>0.72744093631965945</v>
      </c>
      <c r="F384" s="55">
        <v>0.72744093631965945</v>
      </c>
      <c r="G384" s="55">
        <v>0.72744093631965945</v>
      </c>
      <c r="H384" s="55">
        <v>0.72744093631965945</v>
      </c>
    </row>
    <row r="385" spans="3:8" x14ac:dyDescent="0.15">
      <c r="C385" s="29">
        <v>2033</v>
      </c>
      <c r="D385" s="55">
        <v>0.91249262169460399</v>
      </c>
      <c r="E385" s="55">
        <v>0.76540297536716806</v>
      </c>
      <c r="F385" s="55">
        <v>0.76540297536716806</v>
      </c>
      <c r="G385" s="55">
        <v>0.76540297536716806</v>
      </c>
      <c r="H385" s="55">
        <v>1.7190586272223221</v>
      </c>
    </row>
    <row r="386" spans="3:8" x14ac:dyDescent="0.15">
      <c r="C386" s="29">
        <v>2034</v>
      </c>
      <c r="D386" s="55">
        <v>1.0098976704547036</v>
      </c>
      <c r="E386" s="55">
        <v>0.78881173605784882</v>
      </c>
      <c r="F386" s="55">
        <v>0.78881173605784882</v>
      </c>
      <c r="G386" s="55">
        <v>0.78881173605784882</v>
      </c>
      <c r="H386" s="55">
        <v>2.1943344931951976</v>
      </c>
    </row>
    <row r="387" spans="3:8" x14ac:dyDescent="0.15">
      <c r="C387" s="29">
        <v>2035</v>
      </c>
      <c r="D387" s="55">
        <v>1.1069428721676227</v>
      </c>
      <c r="E387" s="55">
        <v>0.80369789205116171</v>
      </c>
      <c r="F387" s="55">
        <v>0.80369789205116171</v>
      </c>
      <c r="G387" s="55">
        <v>0.80369789205116171</v>
      </c>
      <c r="H387" s="55">
        <v>2.4236215434554578</v>
      </c>
    </row>
    <row r="388" spans="3:8" x14ac:dyDescent="0.15">
      <c r="C388" s="29">
        <v>2036</v>
      </c>
      <c r="D388" s="55">
        <v>1.2066728659480641</v>
      </c>
      <c r="E388" s="55">
        <v>0.81333190748327544</v>
      </c>
      <c r="F388" s="55">
        <v>0.81333190748327544</v>
      </c>
      <c r="G388" s="55">
        <v>0.81333190748327544</v>
      </c>
      <c r="H388" s="55">
        <v>2.5553843813063986</v>
      </c>
    </row>
    <row r="389" spans="3:8" x14ac:dyDescent="0.15">
      <c r="C389" s="29">
        <v>2037</v>
      </c>
      <c r="D389" s="55">
        <v>1.3111309526155597</v>
      </c>
      <c r="E389" s="55">
        <v>0.81963338668040264</v>
      </c>
      <c r="F389" s="55">
        <v>0.81963338668040264</v>
      </c>
      <c r="G389" s="55">
        <v>0.81963338668040264</v>
      </c>
      <c r="H389" s="55">
        <v>2.6362527893654373</v>
      </c>
    </row>
    <row r="390" spans="3:8" x14ac:dyDescent="0.15">
      <c r="C390" s="29">
        <v>2038</v>
      </c>
      <c r="D390" s="55">
        <v>1.4218306765433881</v>
      </c>
      <c r="E390" s="55">
        <v>0.82378261330479852</v>
      </c>
      <c r="F390" s="55">
        <v>0.82378261330479852</v>
      </c>
      <c r="G390" s="55">
        <v>0.82378261330479852</v>
      </c>
      <c r="H390" s="55">
        <v>2.6875471116294616</v>
      </c>
    </row>
    <row r="391" spans="3:8" x14ac:dyDescent="0.15">
      <c r="C391" s="29">
        <v>2039</v>
      </c>
      <c r="D391" s="55">
        <v>1.5399946882154854</v>
      </c>
      <c r="E391" s="55">
        <v>0.82652635123853746</v>
      </c>
      <c r="F391" s="55">
        <v>0.82652635123853746</v>
      </c>
      <c r="G391" s="55">
        <v>1.8540509960576341</v>
      </c>
      <c r="H391" s="55">
        <v>2.7206935628441951</v>
      </c>
    </row>
    <row r="392" spans="3:8" x14ac:dyDescent="0.15">
      <c r="C392" s="29">
        <v>2040</v>
      </c>
      <c r="D392" s="55">
        <v>1.6666883275136144</v>
      </c>
      <c r="E392" s="55">
        <v>0.82834571748813857</v>
      </c>
      <c r="F392" s="55">
        <v>0.82834571748813857</v>
      </c>
      <c r="G392" s="55">
        <v>2.2527561245950043</v>
      </c>
      <c r="H392" s="55">
        <v>2.7423539730421247</v>
      </c>
    </row>
    <row r="393" spans="3:8" x14ac:dyDescent="0.15">
      <c r="C393" s="29">
        <v>2041</v>
      </c>
      <c r="D393" s="55">
        <v>1.8028999599508468</v>
      </c>
      <c r="E393" s="55">
        <v>0.82955432508095472</v>
      </c>
      <c r="F393" s="55">
        <v>0.82955432508095472</v>
      </c>
      <c r="G393" s="55">
        <v>2.5740153025374548</v>
      </c>
      <c r="H393" s="55">
        <v>2.7652188428612714</v>
      </c>
    </row>
    <row r="394" spans="3:8" x14ac:dyDescent="0.15">
      <c r="C394" s="29">
        <v>2042</v>
      </c>
      <c r="D394" s="55">
        <v>1.949592129686516</v>
      </c>
      <c r="E394" s="55">
        <v>0.83035816519918737</v>
      </c>
      <c r="F394" s="55">
        <v>0.83035816519918737</v>
      </c>
      <c r="G394" s="55">
        <v>2.6479625872351478</v>
      </c>
      <c r="H394" s="55">
        <v>2.7717378111893476</v>
      </c>
    </row>
    <row r="395" spans="3:8" x14ac:dyDescent="0.15">
      <c r="C395" s="29">
        <v>2043</v>
      </c>
      <c r="D395" s="55">
        <v>2.1077357992427768</v>
      </c>
      <c r="E395" s="55">
        <v>0.83089321911899994</v>
      </c>
      <c r="F395" s="55">
        <v>0.83089321911899994</v>
      </c>
      <c r="G395" s="55">
        <v>2.6950732690298724</v>
      </c>
      <c r="H395" s="55">
        <v>2.7760669553785315</v>
      </c>
    </row>
    <row r="396" spans="3:8" x14ac:dyDescent="0.15">
      <c r="C396" s="29">
        <v>2044</v>
      </c>
      <c r="D396" s="55">
        <v>2.2783344300626367</v>
      </c>
      <c r="E396" s="55">
        <v>0.83124954985648136</v>
      </c>
      <c r="F396" s="55">
        <v>0.83124954985648136</v>
      </c>
      <c r="G396" s="55">
        <v>2.7255953788925229</v>
      </c>
      <c r="H396" s="55">
        <v>2.7806237396308533</v>
      </c>
    </row>
    <row r="397" spans="3:8" x14ac:dyDescent="0.15">
      <c r="C397" s="29">
        <v>2045</v>
      </c>
      <c r="D397" s="55">
        <v>2.4624418480820576</v>
      </c>
      <c r="E397" s="55">
        <v>0.83148693876675184</v>
      </c>
      <c r="F397" s="55">
        <v>0.83148693876675184</v>
      </c>
      <c r="G397" s="55">
        <v>2.74557287257075</v>
      </c>
      <c r="H397" s="55">
        <v>2.7819789019708452</v>
      </c>
    </row>
    <row r="398" spans="3:8" x14ac:dyDescent="0.15">
      <c r="C398" s="29">
        <v>2046</v>
      </c>
      <c r="D398" s="55">
        <v>2.6611763031472542</v>
      </c>
      <c r="E398" s="55">
        <v>0.83164512485218078</v>
      </c>
      <c r="F398" s="55">
        <v>0.83164512485218078</v>
      </c>
      <c r="G398" s="55">
        <v>2.7587327189196382</v>
      </c>
      <c r="H398" s="55">
        <v>6.1403613985824066</v>
      </c>
    </row>
    <row r="399" spans="3:8" x14ac:dyDescent="0.15">
      <c r="C399" s="29">
        <v>2047</v>
      </c>
      <c r="D399" s="55">
        <v>2.8757322444251439</v>
      </c>
      <c r="E399" s="55">
        <v>0.83175054974617191</v>
      </c>
      <c r="F399" s="55">
        <v>0.83175054974617191</v>
      </c>
      <c r="G399" s="55">
        <v>2.7731394435340957</v>
      </c>
      <c r="H399" s="55">
        <v>7.4483712297981821</v>
      </c>
    </row>
    <row r="400" spans="3:8" x14ac:dyDescent="0.15">
      <c r="C400" s="29">
        <v>2048</v>
      </c>
      <c r="D400" s="55">
        <v>3.1073908000253492</v>
      </c>
      <c r="E400" s="55">
        <v>0.83182081857542745</v>
      </c>
      <c r="F400" s="55">
        <v>0.83182081857542745</v>
      </c>
      <c r="G400" s="55">
        <v>2.7769986465512124</v>
      </c>
      <c r="H400" s="55">
        <v>8.1185486928729578</v>
      </c>
    </row>
    <row r="401" spans="3:8" x14ac:dyDescent="0.15">
      <c r="C401" s="29">
        <v>2049</v>
      </c>
      <c r="D401" s="55">
        <v>3.3575296178186758</v>
      </c>
      <c r="E401" s="55">
        <v>0.83186765804953144</v>
      </c>
      <c r="F401" s="55">
        <v>0.83186765804953144</v>
      </c>
      <c r="G401" s="55">
        <v>2.7812429194914476</v>
      </c>
      <c r="H401" s="55">
        <v>8.5096483547891726</v>
      </c>
    </row>
    <row r="402" spans="3:8" x14ac:dyDescent="0.15">
      <c r="C402" s="29">
        <v>2050</v>
      </c>
      <c r="D402" s="55">
        <v>3.6276325148544077</v>
      </c>
      <c r="E402" s="55">
        <v>0.83189888151661706</v>
      </c>
      <c r="F402" s="55">
        <v>0.83189888151661706</v>
      </c>
      <c r="G402" s="55">
        <v>2.7823913203177812</v>
      </c>
      <c r="H402" s="55">
        <v>8.7502414304369509</v>
      </c>
    </row>
    <row r="403" spans="3:8" ht="15" x14ac:dyDescent="0.2">
      <c r="C403"/>
      <c r="D403"/>
      <c r="E403"/>
      <c r="F403"/>
      <c r="G403"/>
      <c r="H403"/>
    </row>
    <row r="404" spans="3:8" ht="15" x14ac:dyDescent="0.2">
      <c r="C404"/>
      <c r="D404"/>
      <c r="E404"/>
      <c r="F404"/>
      <c r="G404"/>
      <c r="H404"/>
    </row>
    <row r="405" spans="3:8" x14ac:dyDescent="0.15">
      <c r="C405" s="69" t="s">
        <v>179</v>
      </c>
    </row>
    <row r="406" spans="3:8" ht="16" x14ac:dyDescent="0.3">
      <c r="C406" s="72" t="s">
        <v>77</v>
      </c>
      <c r="D406" s="72" t="s">
        <v>152</v>
      </c>
      <c r="E406" s="72" t="s">
        <v>153</v>
      </c>
      <c r="F406" s="72" t="s">
        <v>154</v>
      </c>
      <c r="G406" s="72" t="s">
        <v>155</v>
      </c>
      <c r="H406" s="72" t="s">
        <v>156</v>
      </c>
    </row>
    <row r="407" spans="3:8" x14ac:dyDescent="0.15">
      <c r="C407" s="29">
        <v>2030</v>
      </c>
      <c r="D407" s="55">
        <v>0.36221834070515435</v>
      </c>
      <c r="E407" s="55">
        <v>0.36221834070515435</v>
      </c>
      <c r="F407" s="55">
        <v>0.36221834070515435</v>
      </c>
      <c r="G407" s="55">
        <v>0.36221834070515435</v>
      </c>
      <c r="H407" s="55">
        <v>0.36221834070515435</v>
      </c>
    </row>
    <row r="408" spans="3:8" x14ac:dyDescent="0.15">
      <c r="C408" s="29">
        <v>2031</v>
      </c>
      <c r="D408" s="55">
        <v>0.41943428291555174</v>
      </c>
      <c r="E408" s="55">
        <v>0.41259374932136544</v>
      </c>
      <c r="F408" s="55">
        <v>0.41259374932136544</v>
      </c>
      <c r="G408" s="55">
        <v>0.41259374932136544</v>
      </c>
      <c r="H408" s="55">
        <v>0.41259374932136544</v>
      </c>
    </row>
    <row r="409" spans="3:8" x14ac:dyDescent="0.15">
      <c r="C409" s="29">
        <v>2032</v>
      </c>
      <c r="D409" s="55">
        <v>0.45037168255219018</v>
      </c>
      <c r="E409" s="55">
        <v>0.43483194169349348</v>
      </c>
      <c r="F409" s="55">
        <v>0.43483194169349348</v>
      </c>
      <c r="G409" s="55">
        <v>0.43483194169349348</v>
      </c>
      <c r="H409" s="55">
        <v>0.43483194169349348</v>
      </c>
    </row>
    <row r="410" spans="3:8" x14ac:dyDescent="0.15">
      <c r="C410" s="29">
        <v>2033</v>
      </c>
      <c r="D410" s="55">
        <v>0.47132155516793101</v>
      </c>
      <c r="E410" s="55">
        <v>0.44698493576748038</v>
      </c>
      <c r="F410" s="55">
        <v>0.44698493576748038</v>
      </c>
      <c r="G410" s="55">
        <v>0.44698493576748038</v>
      </c>
      <c r="H410" s="55">
        <v>0.6409439538946986</v>
      </c>
    </row>
    <row r="411" spans="3:8" x14ac:dyDescent="0.15">
      <c r="C411" s="29">
        <v>2034</v>
      </c>
      <c r="D411" s="55">
        <v>0.48734972083703842</v>
      </c>
      <c r="E411" s="55">
        <v>0.45422180538098678</v>
      </c>
      <c r="F411" s="55">
        <v>0.45422180538098678</v>
      </c>
      <c r="G411" s="55">
        <v>0.45422180538098678</v>
      </c>
      <c r="H411" s="55">
        <v>0.69436687300634015</v>
      </c>
    </row>
    <row r="412" spans="3:8" x14ac:dyDescent="0.15">
      <c r="C412" s="29">
        <v>2035</v>
      </c>
      <c r="D412" s="55">
        <v>0.50061669335551173</v>
      </c>
      <c r="E412" s="55">
        <v>0.45872618462246167</v>
      </c>
      <c r="F412" s="55">
        <v>0.45872618462246167</v>
      </c>
      <c r="G412" s="55">
        <v>0.45872618462246167</v>
      </c>
      <c r="H412" s="55">
        <v>0.71483575873471605</v>
      </c>
    </row>
    <row r="413" spans="3:8" x14ac:dyDescent="0.15">
      <c r="C413" s="29">
        <v>2036</v>
      </c>
      <c r="D413" s="55">
        <v>0.51221103488614517</v>
      </c>
      <c r="E413" s="55">
        <v>0.46160190763203673</v>
      </c>
      <c r="F413" s="55">
        <v>0.46160190763203673</v>
      </c>
      <c r="G413" s="55">
        <v>0.46160190763203673</v>
      </c>
      <c r="H413" s="55">
        <v>0.72540396899076665</v>
      </c>
    </row>
    <row r="414" spans="3:8" x14ac:dyDescent="0.15">
      <c r="C414" s="29">
        <v>2037</v>
      </c>
      <c r="D414" s="55">
        <v>0.52273556048774095</v>
      </c>
      <c r="E414" s="55">
        <v>0.46346640649409543</v>
      </c>
      <c r="F414" s="55">
        <v>0.46346640649409543</v>
      </c>
      <c r="G414" s="55">
        <v>0.46346640649409543</v>
      </c>
      <c r="H414" s="55">
        <v>0.73151084471513628</v>
      </c>
    </row>
    <row r="415" spans="3:8" x14ac:dyDescent="0.15">
      <c r="C415" s="29">
        <v>2038</v>
      </c>
      <c r="D415" s="55">
        <v>0.53254384497369323</v>
      </c>
      <c r="E415" s="55">
        <v>0.46468705606867572</v>
      </c>
      <c r="F415" s="55">
        <v>0.46468705606867572</v>
      </c>
      <c r="G415" s="55">
        <v>0.46468705606867572</v>
      </c>
      <c r="H415" s="55">
        <v>0.73524556832372279</v>
      </c>
    </row>
    <row r="416" spans="3:8" x14ac:dyDescent="0.15">
      <c r="C416" s="29">
        <v>2039</v>
      </c>
      <c r="D416" s="55">
        <v>0.54185098842422241</v>
      </c>
      <c r="E416" s="55">
        <v>0.46549118267199008</v>
      </c>
      <c r="F416" s="55">
        <v>0.46549118267199008</v>
      </c>
      <c r="G416" s="55">
        <v>0.65792677104665154</v>
      </c>
      <c r="H416" s="55">
        <v>0.73760417961627278</v>
      </c>
    </row>
    <row r="417" spans="3:12" x14ac:dyDescent="0.15">
      <c r="C417" s="29">
        <v>2040</v>
      </c>
      <c r="D417" s="55">
        <v>0.55079103784067085</v>
      </c>
      <c r="E417" s="55">
        <v>0.46602306638143265</v>
      </c>
      <c r="F417" s="55">
        <v>0.46602306638143265</v>
      </c>
      <c r="G417" s="55">
        <v>0.69985624423641257</v>
      </c>
      <c r="H417" s="55">
        <v>0.73912290316425222</v>
      </c>
    </row>
    <row r="418" spans="3:12" x14ac:dyDescent="0.15">
      <c r="C418" s="29">
        <v>2041</v>
      </c>
      <c r="D418" s="55">
        <v>0.55944893328636724</v>
      </c>
      <c r="E418" s="55">
        <v>0.46637581271288225</v>
      </c>
      <c r="F418" s="55">
        <v>0.46637581271288225</v>
      </c>
      <c r="G418" s="55">
        <v>0.72683540578972539</v>
      </c>
      <c r="H418" s="55">
        <v>0.74070711940954581</v>
      </c>
    </row>
    <row r="419" spans="3:12" x14ac:dyDescent="0.15">
      <c r="C419" s="29">
        <v>2042</v>
      </c>
      <c r="D419" s="55">
        <v>0.56787917579137137</v>
      </c>
      <c r="E419" s="55">
        <v>0.46661016494948621</v>
      </c>
      <c r="F419" s="55">
        <v>0.46661016494948621</v>
      </c>
      <c r="G419" s="55">
        <v>0.73237268297784119</v>
      </c>
      <c r="H419" s="55">
        <v>0.74115527412254056</v>
      </c>
    </row>
    <row r="420" spans="3:12" x14ac:dyDescent="0.15">
      <c r="C420" s="29">
        <v>2043</v>
      </c>
      <c r="D420" s="55">
        <v>0.57611711215473149</v>
      </c>
      <c r="E420" s="55">
        <v>0.4667660409552804</v>
      </c>
      <c r="F420" s="55">
        <v>0.4667660409552804</v>
      </c>
      <c r="G420" s="55">
        <v>0.73578482245487975</v>
      </c>
      <c r="H420" s="55">
        <v>0.74145203160967599</v>
      </c>
    </row>
    <row r="421" spans="3:12" x14ac:dyDescent="0.15">
      <c r="C421" s="29">
        <v>2044</v>
      </c>
      <c r="D421" s="55">
        <v>0.58418591642360096</v>
      </c>
      <c r="E421" s="55">
        <v>0.46686979942440404</v>
      </c>
      <c r="F421" s="55">
        <v>0.46686979942440404</v>
      </c>
      <c r="G421" s="55">
        <v>0.73794941733335229</v>
      </c>
      <c r="H421" s="55">
        <v>0.74176365937058764</v>
      </c>
    </row>
    <row r="422" spans="3:12" x14ac:dyDescent="0.15">
      <c r="C422" s="29">
        <v>2045</v>
      </c>
      <c r="D422" s="55">
        <v>0.59210097723479049</v>
      </c>
      <c r="E422" s="55">
        <v>0.46693890130805282</v>
      </c>
      <c r="F422" s="55">
        <v>0.46693890130805282</v>
      </c>
      <c r="G422" s="55">
        <v>0.73934709775146301</v>
      </c>
      <c r="H422" s="55">
        <v>0.74185619086605847</v>
      </c>
    </row>
    <row r="423" spans="3:12" x14ac:dyDescent="0.15">
      <c r="C423" s="29">
        <v>2046</v>
      </c>
      <c r="D423" s="55">
        <v>0.59987268400817206</v>
      </c>
      <c r="E423" s="55">
        <v>0.46698493798150692</v>
      </c>
      <c r="F423" s="55">
        <v>0.46698493798150692</v>
      </c>
      <c r="G423" s="55">
        <v>0.74025967983709962</v>
      </c>
      <c r="H423" s="55">
        <v>0.8632710047403509</v>
      </c>
    </row>
    <row r="424" spans="3:12" x14ac:dyDescent="0.15">
      <c r="C424" s="29">
        <v>2047</v>
      </c>
      <c r="D424" s="55">
        <v>0.60750820866820632</v>
      </c>
      <c r="E424" s="55">
        <v>0.46701561522433166</v>
      </c>
      <c r="F424" s="55">
        <v>0.46701561522433166</v>
      </c>
      <c r="G424" s="55">
        <v>0.74125142883547568</v>
      </c>
      <c r="H424" s="55">
        <v>0.88443992181883824</v>
      </c>
    </row>
    <row r="425" spans="3:12" x14ac:dyDescent="0.15">
      <c r="C425" s="29">
        <v>2048</v>
      </c>
      <c r="D425" s="55">
        <v>0.61501265019157547</v>
      </c>
      <c r="E425" s="55">
        <v>0.46703606055847674</v>
      </c>
      <c r="F425" s="55">
        <v>0.46703606055847674</v>
      </c>
      <c r="G425" s="55">
        <v>0.74151580893193791</v>
      </c>
      <c r="H425" s="55">
        <v>0.89293313303442401</v>
      </c>
    </row>
    <row r="426" spans="3:12" x14ac:dyDescent="0.15">
      <c r="C426" s="29">
        <v>2049</v>
      </c>
      <c r="D426" s="55">
        <v>0.62238977195013234</v>
      </c>
      <c r="E426" s="55">
        <v>0.46704968804435443</v>
      </c>
      <c r="F426" s="55">
        <v>0.46704968804435443</v>
      </c>
      <c r="G426" s="55">
        <v>0.74180594566236946</v>
      </c>
      <c r="H426" s="55">
        <v>0.89733643102299554</v>
      </c>
    </row>
    <row r="427" spans="3:12" x14ac:dyDescent="0.15">
      <c r="C427" s="29">
        <v>2050</v>
      </c>
      <c r="D427" s="55">
        <v>0.62964247753173419</v>
      </c>
      <c r="E427" s="55">
        <v>0.46705877181895106</v>
      </c>
      <c r="F427" s="55">
        <v>0.46705877181895106</v>
      </c>
      <c r="G427" s="55">
        <v>0.74188433793864261</v>
      </c>
      <c r="H427" s="55">
        <v>0.89986971637735091</v>
      </c>
    </row>
    <row r="431" spans="3:12" x14ac:dyDescent="0.15">
      <c r="C431" s="69" t="s">
        <v>229</v>
      </c>
    </row>
    <row r="432" spans="3:12" ht="16" x14ac:dyDescent="0.3">
      <c r="C432" s="72" t="s">
        <v>77</v>
      </c>
      <c r="D432" s="72" t="s">
        <v>162</v>
      </c>
      <c r="E432" s="72" t="s">
        <v>163</v>
      </c>
      <c r="F432" s="72" t="s">
        <v>164</v>
      </c>
      <c r="G432" s="72" t="s">
        <v>165</v>
      </c>
      <c r="H432" s="72" t="s">
        <v>166</v>
      </c>
      <c r="I432" s="72" t="s">
        <v>167</v>
      </c>
      <c r="J432" s="72" t="s">
        <v>168</v>
      </c>
      <c r="K432" s="72" t="s">
        <v>169</v>
      </c>
      <c r="L432" s="72" t="s">
        <v>170</v>
      </c>
    </row>
    <row r="433" spans="3:12" x14ac:dyDescent="0.15">
      <c r="C433" s="29">
        <f t="shared" ref="C433:C460" si="10">C241</f>
        <v>2023</v>
      </c>
      <c r="D433" s="85">
        <f>'Scenario Calculations'!K73</f>
        <v>0</v>
      </c>
      <c r="E433" s="85">
        <f>0</f>
        <v>0</v>
      </c>
      <c r="F433" s="73">
        <f>'Scenario Calculations'!K73</f>
        <v>0</v>
      </c>
      <c r="G433" s="85">
        <f>'Scenario Calculations'!K89</f>
        <v>0</v>
      </c>
      <c r="H433" s="85">
        <f>0</f>
        <v>0</v>
      </c>
      <c r="I433" s="73">
        <f>'Scenario Calculations'!K89</f>
        <v>0</v>
      </c>
      <c r="J433" s="85">
        <f>'Scenario Calculations'!K121</f>
        <v>0</v>
      </c>
      <c r="K433" s="85">
        <f>0</f>
        <v>0</v>
      </c>
      <c r="L433" s="73">
        <f>'Scenario Calculations'!K121</f>
        <v>0</v>
      </c>
    </row>
    <row r="434" spans="3:12" x14ac:dyDescent="0.15">
      <c r="C434" s="29">
        <f t="shared" si="10"/>
        <v>2024</v>
      </c>
      <c r="D434" s="85">
        <f>'Scenario Calculations'!K74</f>
        <v>2.8556198896366958E-2</v>
      </c>
      <c r="E434" s="85">
        <f>0</f>
        <v>0</v>
      </c>
      <c r="F434" s="73">
        <f>'Scenario Calculations'!K74</f>
        <v>2.8556198896366958E-2</v>
      </c>
      <c r="G434" s="85">
        <f>'Scenario Calculations'!K90</f>
        <v>2.8556198896366958E-2</v>
      </c>
      <c r="H434" s="85">
        <f>0</f>
        <v>0</v>
      </c>
      <c r="I434" s="73">
        <f>'Scenario Calculations'!K90</f>
        <v>2.8556198896366958E-2</v>
      </c>
      <c r="J434" s="85">
        <f>'Scenario Calculations'!K122</f>
        <v>2.8556198896366958E-2</v>
      </c>
      <c r="K434" s="85">
        <f>0</f>
        <v>0</v>
      </c>
      <c r="L434" s="73">
        <f>'Scenario Calculations'!K122</f>
        <v>2.8556198896366958E-2</v>
      </c>
    </row>
    <row r="435" spans="3:12" x14ac:dyDescent="0.15">
      <c r="C435" s="29">
        <f t="shared" si="10"/>
        <v>2025</v>
      </c>
      <c r="D435" s="85">
        <f>'Scenario Calculations'!K75</f>
        <v>3.1211253026277364E-2</v>
      </c>
      <c r="E435" s="85">
        <f>0</f>
        <v>0</v>
      </c>
      <c r="F435" s="73">
        <f>'Scenario Calculations'!K75</f>
        <v>3.1211253026277364E-2</v>
      </c>
      <c r="G435" s="85">
        <f>'Scenario Calculations'!K91</f>
        <v>3.1211253026277364E-2</v>
      </c>
      <c r="H435" s="85">
        <f>0</f>
        <v>0</v>
      </c>
      <c r="I435" s="73">
        <f>'Scenario Calculations'!K91</f>
        <v>3.1211253026277364E-2</v>
      </c>
      <c r="J435" s="85">
        <f>'Scenario Calculations'!K123</f>
        <v>3.1211253026277364E-2</v>
      </c>
      <c r="K435" s="85">
        <f>0</f>
        <v>0</v>
      </c>
      <c r="L435" s="73">
        <f>'Scenario Calculations'!K123</f>
        <v>3.1211253026277364E-2</v>
      </c>
    </row>
    <row r="436" spans="3:12" x14ac:dyDescent="0.15">
      <c r="C436" s="29">
        <f t="shared" si="10"/>
        <v>2026</v>
      </c>
      <c r="D436" s="85">
        <f>'Scenario Calculations'!K76</f>
        <v>3.6886136330610331E-2</v>
      </c>
      <c r="E436" s="85">
        <f>0</f>
        <v>0</v>
      </c>
      <c r="F436" s="73">
        <f>'Scenario Calculations'!K76</f>
        <v>3.6886136330610331E-2</v>
      </c>
      <c r="G436" s="85">
        <f>'Scenario Calculations'!K92</f>
        <v>3.6886136330610331E-2</v>
      </c>
      <c r="H436" s="85">
        <f>0</f>
        <v>0</v>
      </c>
      <c r="I436" s="73">
        <f>'Scenario Calculations'!K92</f>
        <v>3.6886136330610331E-2</v>
      </c>
      <c r="J436" s="85">
        <f>'Scenario Calculations'!K124</f>
        <v>3.6886136330610331E-2</v>
      </c>
      <c r="K436" s="85">
        <f>0</f>
        <v>0</v>
      </c>
      <c r="L436" s="73">
        <f>'Scenario Calculations'!K124</f>
        <v>3.6886136330610331E-2</v>
      </c>
    </row>
    <row r="437" spans="3:12" x14ac:dyDescent="0.15">
      <c r="C437" s="29">
        <f t="shared" si="10"/>
        <v>2027</v>
      </c>
      <c r="D437" s="85">
        <f>'Scenario Calculations'!K77</f>
        <v>4.654661873964705E-2</v>
      </c>
      <c r="E437" s="85">
        <f>0</f>
        <v>0</v>
      </c>
      <c r="F437" s="73">
        <f>'Scenario Calculations'!K77</f>
        <v>4.654661873964705E-2</v>
      </c>
      <c r="G437" s="85">
        <f>'Scenario Calculations'!K93</f>
        <v>4.654661873964705E-2</v>
      </c>
      <c r="H437" s="85">
        <f>0</f>
        <v>0</v>
      </c>
      <c r="I437" s="73">
        <f>'Scenario Calculations'!K93</f>
        <v>4.654661873964705E-2</v>
      </c>
      <c r="J437" s="85">
        <f>'Scenario Calculations'!K125</f>
        <v>4.654661873964705E-2</v>
      </c>
      <c r="K437" s="85">
        <f>0</f>
        <v>0</v>
      </c>
      <c r="L437" s="73">
        <f>'Scenario Calculations'!K125</f>
        <v>4.654661873964705E-2</v>
      </c>
    </row>
    <row r="438" spans="3:12" x14ac:dyDescent="0.15">
      <c r="C438" s="29">
        <f t="shared" si="10"/>
        <v>2028</v>
      </c>
      <c r="D438" s="85">
        <f>'Scenario Calculations'!K78</f>
        <v>5.4098641562847272E-2</v>
      </c>
      <c r="E438" s="85">
        <f>0</f>
        <v>0</v>
      </c>
      <c r="F438" s="73">
        <f>'Scenario Calculations'!K78</f>
        <v>5.4098641562847272E-2</v>
      </c>
      <c r="G438" s="85">
        <f>'Scenario Calculations'!K94</f>
        <v>5.4098641562847272E-2</v>
      </c>
      <c r="H438" s="85">
        <f>0</f>
        <v>0</v>
      </c>
      <c r="I438" s="73">
        <f>'Scenario Calculations'!K94</f>
        <v>5.4098641562847272E-2</v>
      </c>
      <c r="J438" s="85">
        <f>'Scenario Calculations'!K126</f>
        <v>5.4098641562847272E-2</v>
      </c>
      <c r="K438" s="85">
        <f>0</f>
        <v>0</v>
      </c>
      <c r="L438" s="73">
        <f>'Scenario Calculations'!K126</f>
        <v>5.4098641562847272E-2</v>
      </c>
    </row>
    <row r="439" spans="3:12" x14ac:dyDescent="0.15">
      <c r="C439" s="29">
        <f t="shared" si="10"/>
        <v>2029</v>
      </c>
      <c r="D439" s="85">
        <f>'Scenario Calculations'!K79</f>
        <v>6.2156431646994692E-2</v>
      </c>
      <c r="E439" s="85">
        <f>0</f>
        <v>0</v>
      </c>
      <c r="F439" s="73">
        <f>'Scenario Calculations'!K79</f>
        <v>6.2156431646994692E-2</v>
      </c>
      <c r="G439" s="85">
        <f>'Scenario Calculations'!K95</f>
        <v>0.16592260587734264</v>
      </c>
      <c r="H439" s="85">
        <f>0</f>
        <v>0</v>
      </c>
      <c r="I439" s="73">
        <f>'Scenario Calculations'!K95</f>
        <v>0.16592260587734264</v>
      </c>
      <c r="J439" s="85">
        <f>'Scenario Calculations'!K127</f>
        <v>0.16592260587734264</v>
      </c>
      <c r="K439" s="85">
        <f>0</f>
        <v>0</v>
      </c>
      <c r="L439" s="73">
        <f>'Scenario Calculations'!K127</f>
        <v>0.16592260587734264</v>
      </c>
    </row>
    <row r="440" spans="3:12" x14ac:dyDescent="0.15">
      <c r="C440" s="29">
        <f t="shared" si="10"/>
        <v>2030</v>
      </c>
      <c r="D440" s="73">
        <f t="shared" ref="D440:D460" si="11">E282</f>
        <v>6.6785845421514667E-2</v>
      </c>
      <c r="E440" s="73">
        <f t="shared" ref="E440:E460" si="12">H282-E282</f>
        <v>0</v>
      </c>
      <c r="F440" s="73">
        <f t="shared" ref="F440:F460" si="13">D282</f>
        <v>6.6785845421514667E-2</v>
      </c>
      <c r="G440" s="73">
        <f t="shared" ref="G440:G460" si="14">E332</f>
        <v>0.2273543336120416</v>
      </c>
      <c r="H440" s="73">
        <f t="shared" ref="H440:H460" si="15">H332-E332</f>
        <v>0</v>
      </c>
      <c r="I440" s="73">
        <f t="shared" ref="I440:I460" si="16">D332</f>
        <v>0.2273543336120416</v>
      </c>
      <c r="J440" s="73">
        <f t="shared" ref="J440:J460" si="17">E382</f>
        <v>0.5307659378264058</v>
      </c>
      <c r="K440" s="73">
        <f t="shared" ref="K440:K460" si="18">H382-E382</f>
        <v>0</v>
      </c>
      <c r="L440" s="73">
        <f t="shared" ref="L440:L460" si="19">D382</f>
        <v>0.5307659378264058</v>
      </c>
    </row>
    <row r="441" spans="3:12" x14ac:dyDescent="0.15">
      <c r="C441" s="29">
        <f t="shared" si="10"/>
        <v>2031</v>
      </c>
      <c r="D441" s="73">
        <f t="shared" si="11"/>
        <v>6.3407150959936986E-2</v>
      </c>
      <c r="E441" s="73">
        <f t="shared" si="12"/>
        <v>0</v>
      </c>
      <c r="F441" s="73">
        <f t="shared" si="13"/>
        <v>6.7091870355933336E-2</v>
      </c>
      <c r="G441" s="73">
        <f t="shared" si="14"/>
        <v>0.23065151951138918</v>
      </c>
      <c r="H441" s="73">
        <f t="shared" si="15"/>
        <v>0</v>
      </c>
      <c r="I441" s="73">
        <f t="shared" si="16"/>
        <v>0.24141039100988843</v>
      </c>
      <c r="J441" s="73">
        <f t="shared" si="17"/>
        <v>0.66204298761042457</v>
      </c>
      <c r="K441" s="73">
        <f t="shared" si="18"/>
        <v>0</v>
      </c>
      <c r="L441" s="73">
        <f t="shared" si="19"/>
        <v>0.69104898388500102</v>
      </c>
    </row>
    <row r="442" spans="3:12" x14ac:dyDescent="0.15">
      <c r="C442" s="29">
        <f t="shared" si="10"/>
        <v>2032</v>
      </c>
      <c r="D442" s="73">
        <f t="shared" si="11"/>
        <v>6.1000309726733093E-2</v>
      </c>
      <c r="E442" s="73">
        <f t="shared" si="12"/>
        <v>0</v>
      </c>
      <c r="F442" s="73">
        <f t="shared" si="13"/>
        <v>6.9520318445604121E-2</v>
      </c>
      <c r="G442" s="73">
        <f t="shared" si="14"/>
        <v>0.23280302266985498</v>
      </c>
      <c r="H442" s="73">
        <f t="shared" si="15"/>
        <v>0</v>
      </c>
      <c r="I442" s="73">
        <f t="shared" si="16"/>
        <v>0.25942852591616478</v>
      </c>
      <c r="J442" s="73">
        <f t="shared" si="17"/>
        <v>0.72744093631965945</v>
      </c>
      <c r="K442" s="73">
        <f t="shared" si="18"/>
        <v>0</v>
      </c>
      <c r="L442" s="73">
        <f t="shared" si="19"/>
        <v>0.80960953403272462</v>
      </c>
    </row>
    <row r="443" spans="3:12" x14ac:dyDescent="0.15">
      <c r="C443" s="29">
        <f t="shared" si="10"/>
        <v>2033</v>
      </c>
      <c r="D443" s="73">
        <f t="shared" si="11"/>
        <v>5.9316474411219344E-2</v>
      </c>
      <c r="E443" s="73">
        <f t="shared" si="12"/>
        <v>0.10033402117798884</v>
      </c>
      <c r="F443" s="73">
        <f t="shared" si="13"/>
        <v>7.3649261570344252E-2</v>
      </c>
      <c r="G443" s="73">
        <f t="shared" si="14"/>
        <v>0.23421754627973312</v>
      </c>
      <c r="H443" s="73">
        <f t="shared" si="15"/>
        <v>0.31170595316077532</v>
      </c>
      <c r="I443" s="73">
        <f t="shared" si="16"/>
        <v>0.28019815456273689</v>
      </c>
      <c r="J443" s="73">
        <f t="shared" si="17"/>
        <v>0.76540297536716806</v>
      </c>
      <c r="K443" s="73">
        <f t="shared" si="18"/>
        <v>0.953655651855154</v>
      </c>
      <c r="L443" s="73">
        <f t="shared" si="19"/>
        <v>0.91249262169460399</v>
      </c>
    </row>
    <row r="444" spans="3:12" x14ac:dyDescent="0.15">
      <c r="C444" s="29">
        <f t="shared" si="10"/>
        <v>2034</v>
      </c>
      <c r="D444" s="73">
        <f t="shared" si="11"/>
        <v>5.8154817892782429E-2</v>
      </c>
      <c r="E444" s="73">
        <f t="shared" si="12"/>
        <v>0.1336987200401325</v>
      </c>
      <c r="F444" s="73">
        <f t="shared" si="13"/>
        <v>7.916440261966888E-2</v>
      </c>
      <c r="G444" s="73">
        <f t="shared" si="14"/>
        <v>0.23515201002678854</v>
      </c>
      <c r="H444" s="73">
        <f t="shared" si="15"/>
        <v>0.43361353329868213</v>
      </c>
      <c r="I444" s="73">
        <f t="shared" si="16"/>
        <v>0.30333369902915391</v>
      </c>
      <c r="J444" s="73">
        <f t="shared" si="17"/>
        <v>0.78881173605784882</v>
      </c>
      <c r="K444" s="73">
        <f t="shared" si="18"/>
        <v>1.4055227571373488</v>
      </c>
      <c r="L444" s="73">
        <f t="shared" si="19"/>
        <v>1.0098976704547036</v>
      </c>
    </row>
    <row r="445" spans="3:12" x14ac:dyDescent="0.15">
      <c r="C445" s="29">
        <f t="shared" si="10"/>
        <v>2035</v>
      </c>
      <c r="D445" s="73">
        <f t="shared" si="11"/>
        <v>5.7361678561006268E-2</v>
      </c>
      <c r="E445" s="73">
        <f t="shared" si="12"/>
        <v>0.15153067817750587</v>
      </c>
      <c r="F445" s="73">
        <f t="shared" si="13"/>
        <v>8.5850488999947322E-2</v>
      </c>
      <c r="G445" s="73">
        <f t="shared" si="14"/>
        <v>0.23577125708746038</v>
      </c>
      <c r="H445" s="73">
        <f t="shared" si="15"/>
        <v>0.49542291603221811</v>
      </c>
      <c r="I445" s="73">
        <f t="shared" si="16"/>
        <v>0.32873192099361465</v>
      </c>
      <c r="J445" s="73">
        <f t="shared" si="17"/>
        <v>0.80369789205116171</v>
      </c>
      <c r="K445" s="73">
        <f t="shared" si="18"/>
        <v>1.6199236514042961</v>
      </c>
      <c r="L445" s="73">
        <f t="shared" si="19"/>
        <v>1.1069428721676227</v>
      </c>
    </row>
    <row r="446" spans="3:12" x14ac:dyDescent="0.15">
      <c r="C446" s="29">
        <f t="shared" si="10"/>
        <v>2036</v>
      </c>
      <c r="D446" s="73">
        <f t="shared" si="11"/>
        <v>5.6824172915001636E-2</v>
      </c>
      <c r="E446" s="73">
        <f t="shared" si="12"/>
        <v>0.16217048286353708</v>
      </c>
      <c r="F446" s="73">
        <f t="shared" si="13"/>
        <v>9.3570155856501941E-2</v>
      </c>
      <c r="G446" s="73">
        <f t="shared" si="14"/>
        <v>0.23618245204585486</v>
      </c>
      <c r="H446" s="73">
        <f t="shared" si="15"/>
        <v>0.53149252640943478</v>
      </c>
      <c r="I446" s="73">
        <f t="shared" si="16"/>
        <v>0.35641420825730885</v>
      </c>
      <c r="J446" s="73">
        <f t="shared" si="17"/>
        <v>0.81333190748327544</v>
      </c>
      <c r="K446" s="73">
        <f t="shared" si="18"/>
        <v>1.7420524738231231</v>
      </c>
      <c r="L446" s="73">
        <f t="shared" si="19"/>
        <v>1.2066728659480641</v>
      </c>
    </row>
    <row r="447" spans="3:12" x14ac:dyDescent="0.15">
      <c r="C447" s="29">
        <f t="shared" si="10"/>
        <v>2037</v>
      </c>
      <c r="D447" s="73">
        <f t="shared" si="11"/>
        <v>5.6461810643389843E-2</v>
      </c>
      <c r="E447" s="73">
        <f t="shared" si="12"/>
        <v>0.16882664072395648</v>
      </c>
      <c r="F447" s="73">
        <f t="shared" si="13"/>
        <v>0.10224529838641334</v>
      </c>
      <c r="G447" s="73">
        <f t="shared" si="14"/>
        <v>0.23645586078452152</v>
      </c>
      <c r="H447" s="73">
        <f t="shared" si="15"/>
        <v>0.55378612371122471</v>
      </c>
      <c r="I447" s="73">
        <f t="shared" si="16"/>
        <v>0.38646953188932515</v>
      </c>
      <c r="J447" s="73">
        <f t="shared" si="17"/>
        <v>0.81963338668040264</v>
      </c>
      <c r="K447" s="73">
        <f t="shared" si="18"/>
        <v>1.8166194026850346</v>
      </c>
      <c r="L447" s="73">
        <f t="shared" si="19"/>
        <v>1.3111309526155597</v>
      </c>
    </row>
    <row r="448" spans="3:12" x14ac:dyDescent="0.15">
      <c r="C448" s="29">
        <f t="shared" si="10"/>
        <v>2038</v>
      </c>
      <c r="D448" s="73">
        <f t="shared" si="11"/>
        <v>5.621840392352806E-2</v>
      </c>
      <c r="E448" s="73">
        <f t="shared" si="12"/>
        <v>0.17309532250037774</v>
      </c>
      <c r="F448" s="73">
        <f t="shared" si="13"/>
        <v>0.11184193394503066</v>
      </c>
      <c r="G448" s="73">
        <f t="shared" si="14"/>
        <v>0.23663781450445587</v>
      </c>
      <c r="H448" s="73">
        <f t="shared" si="15"/>
        <v>0.56798017152535962</v>
      </c>
      <c r="I448" s="73">
        <f t="shared" si="16"/>
        <v>0.41903004973240898</v>
      </c>
      <c r="J448" s="73">
        <f t="shared" si="17"/>
        <v>0.82378261330479852</v>
      </c>
      <c r="K448" s="73">
        <f t="shared" si="18"/>
        <v>1.8637644983246631</v>
      </c>
      <c r="L448" s="73">
        <f t="shared" si="19"/>
        <v>1.4218306765433881</v>
      </c>
    </row>
    <row r="449" spans="3:12" x14ac:dyDescent="0.15">
      <c r="C449" s="29">
        <f t="shared" si="10"/>
        <v>2039</v>
      </c>
      <c r="D449" s="73">
        <f t="shared" si="11"/>
        <v>5.6055305478244444E-2</v>
      </c>
      <c r="E449" s="73">
        <f t="shared" si="12"/>
        <v>0.17587237420978252</v>
      </c>
      <c r="F449" s="73">
        <f t="shared" si="13"/>
        <v>0.12235866283430605</v>
      </c>
      <c r="G449" s="73">
        <f t="shared" si="14"/>
        <v>0.2367589758299089</v>
      </c>
      <c r="H449" s="73">
        <f t="shared" si="15"/>
        <v>0.57717252607862535</v>
      </c>
      <c r="I449" s="73">
        <f t="shared" si="16"/>
        <v>0.45425958682309381</v>
      </c>
      <c r="J449" s="73">
        <f t="shared" si="17"/>
        <v>0.82652635123853746</v>
      </c>
      <c r="K449" s="73">
        <f t="shared" si="18"/>
        <v>1.8941672116056576</v>
      </c>
      <c r="L449" s="73">
        <f t="shared" si="19"/>
        <v>1.5399946882154854</v>
      </c>
    </row>
    <row r="450" spans="3:12" x14ac:dyDescent="0.15">
      <c r="C450" s="29">
        <f t="shared" si="10"/>
        <v>2040</v>
      </c>
      <c r="D450" s="73">
        <f t="shared" si="11"/>
        <v>5.5946201515369109E-2</v>
      </c>
      <c r="E450" s="73">
        <f t="shared" si="12"/>
        <v>0.17769484585646533</v>
      </c>
      <c r="F450" s="73">
        <f t="shared" si="13"/>
        <v>0.13381831164075852</v>
      </c>
      <c r="G450" s="73">
        <f t="shared" si="14"/>
        <v>0.23683968746548012</v>
      </c>
      <c r="H450" s="73">
        <f t="shared" si="15"/>
        <v>0.5831875756979501</v>
      </c>
      <c r="I450" s="73">
        <f t="shared" si="16"/>
        <v>0.49234796444110568</v>
      </c>
      <c r="J450" s="73">
        <f t="shared" si="17"/>
        <v>0.82834571748813857</v>
      </c>
      <c r="K450" s="73">
        <f t="shared" si="18"/>
        <v>1.9140082555539861</v>
      </c>
      <c r="L450" s="73">
        <f t="shared" si="19"/>
        <v>1.6666883275136144</v>
      </c>
    </row>
    <row r="451" spans="3:12" x14ac:dyDescent="0.15">
      <c r="C451" s="29">
        <f t="shared" si="10"/>
        <v>2041</v>
      </c>
      <c r="D451" s="73">
        <f t="shared" si="11"/>
        <v>5.5873299159133527E-2</v>
      </c>
      <c r="E451" s="73">
        <f t="shared" si="12"/>
        <v>0.17969449060751508</v>
      </c>
      <c r="F451" s="73">
        <f t="shared" si="13"/>
        <v>0.14626212337816838</v>
      </c>
      <c r="G451" s="73">
        <f t="shared" si="14"/>
        <v>0.23689346745403106</v>
      </c>
      <c r="H451" s="73">
        <f t="shared" si="15"/>
        <v>0.58976889604230642</v>
      </c>
      <c r="I451" s="73">
        <f t="shared" si="16"/>
        <v>0.53350829781595765</v>
      </c>
      <c r="J451" s="73">
        <f t="shared" si="17"/>
        <v>0.82955432508095472</v>
      </c>
      <c r="K451" s="73">
        <f t="shared" si="18"/>
        <v>1.9356645177803167</v>
      </c>
      <c r="L451" s="73">
        <f t="shared" si="19"/>
        <v>1.8028999599508468</v>
      </c>
    </row>
    <row r="452" spans="3:12" x14ac:dyDescent="0.15">
      <c r="C452" s="29">
        <f t="shared" si="10"/>
        <v>2042</v>
      </c>
      <c r="D452" s="73">
        <f t="shared" si="11"/>
        <v>5.5824623283289077E-2</v>
      </c>
      <c r="E452" s="73">
        <f t="shared" si="12"/>
        <v>0.18022264847683367</v>
      </c>
      <c r="F452" s="73">
        <f t="shared" si="13"/>
        <v>0.15974586229030194</v>
      </c>
      <c r="G452" s="73">
        <f t="shared" si="14"/>
        <v>0.23692930845161664</v>
      </c>
      <c r="H452" s="73">
        <f t="shared" si="15"/>
        <v>0.59150670193195509</v>
      </c>
      <c r="I452" s="73">
        <f t="shared" si="16"/>
        <v>0.57797594786919992</v>
      </c>
      <c r="J452" s="73">
        <f t="shared" si="17"/>
        <v>0.83035816519918737</v>
      </c>
      <c r="K452" s="73">
        <f t="shared" si="18"/>
        <v>1.9413796459901602</v>
      </c>
      <c r="L452" s="73">
        <f t="shared" si="19"/>
        <v>1.949592129686516</v>
      </c>
    </row>
    <row r="453" spans="3:12" x14ac:dyDescent="0.15">
      <c r="C453" s="29">
        <f t="shared" si="10"/>
        <v>2043</v>
      </c>
      <c r="D453" s="73">
        <f t="shared" si="11"/>
        <v>5.5792139568186183E-2</v>
      </c>
      <c r="E453" s="73">
        <f t="shared" si="12"/>
        <v>0.180573806041463</v>
      </c>
      <c r="F453" s="73">
        <f t="shared" si="13"/>
        <v>0.1743373044669386</v>
      </c>
      <c r="G453" s="73">
        <f t="shared" si="14"/>
        <v>0.23695319697482087</v>
      </c>
      <c r="H453" s="73">
        <f t="shared" si="15"/>
        <v>0.59266115510041173</v>
      </c>
      <c r="I453" s="73">
        <f t="shared" si="16"/>
        <v>0.62600847321320419</v>
      </c>
      <c r="J453" s="73">
        <f t="shared" si="17"/>
        <v>0.83089321911899994</v>
      </c>
      <c r="K453" s="73">
        <f t="shared" si="18"/>
        <v>1.9451737362595316</v>
      </c>
      <c r="L453" s="73">
        <f t="shared" si="19"/>
        <v>2.1077357992427768</v>
      </c>
    </row>
    <row r="454" spans="3:12" x14ac:dyDescent="0.15">
      <c r="C454" s="29">
        <f t="shared" si="10"/>
        <v>2044</v>
      </c>
      <c r="D454" s="73">
        <f t="shared" si="11"/>
        <v>5.5770469001366507E-2</v>
      </c>
      <c r="E454" s="73">
        <f t="shared" si="12"/>
        <v>0.18096314245891088</v>
      </c>
      <c r="F454" s="73">
        <f t="shared" si="13"/>
        <v>0.19011471018132522</v>
      </c>
      <c r="G454" s="73">
        <f t="shared" si="14"/>
        <v>0.23696912022471772</v>
      </c>
      <c r="H454" s="73">
        <f t="shared" si="15"/>
        <v>0.59394005679993711</v>
      </c>
      <c r="I454" s="73">
        <f t="shared" si="16"/>
        <v>0.67788623462519393</v>
      </c>
      <c r="J454" s="73">
        <f t="shared" si="17"/>
        <v>0.83124954985648136</v>
      </c>
      <c r="K454" s="73">
        <f t="shared" si="18"/>
        <v>1.9493741897743719</v>
      </c>
      <c r="L454" s="73">
        <f t="shared" si="19"/>
        <v>2.2783344300626367</v>
      </c>
    </row>
    <row r="455" spans="3:12" x14ac:dyDescent="0.15">
      <c r="C455" s="29">
        <f t="shared" si="10"/>
        <v>2045</v>
      </c>
      <c r="D455" s="73">
        <f t="shared" si="11"/>
        <v>5.5756015388822577E-2</v>
      </c>
      <c r="E455" s="73">
        <f t="shared" si="12"/>
        <v>0.18106677352138356</v>
      </c>
      <c r="F455" s="73">
        <f t="shared" si="13"/>
        <v>0.20716598516209023</v>
      </c>
      <c r="G455" s="73">
        <f t="shared" si="14"/>
        <v>0.23697973464400213</v>
      </c>
      <c r="H455" s="73">
        <f t="shared" si="15"/>
        <v>0.5942804450164465</v>
      </c>
      <c r="I455" s="73">
        <f t="shared" si="16"/>
        <v>0.73391345770505056</v>
      </c>
      <c r="J455" s="73">
        <f t="shared" si="17"/>
        <v>0.83148693876675184</v>
      </c>
      <c r="K455" s="73">
        <f t="shared" si="18"/>
        <v>1.9504919632040933</v>
      </c>
      <c r="L455" s="73">
        <f t="shared" si="19"/>
        <v>2.4624418480820576</v>
      </c>
    </row>
    <row r="456" spans="3:12" x14ac:dyDescent="0.15">
      <c r="C456" s="29">
        <f t="shared" si="10"/>
        <v>2046</v>
      </c>
      <c r="D456" s="73">
        <f t="shared" si="11"/>
        <v>5.5746376725213764E-2</v>
      </c>
      <c r="E456" s="73">
        <f t="shared" si="12"/>
        <v>0.49287501583074778</v>
      </c>
      <c r="F456" s="73">
        <f t="shared" si="13"/>
        <v>0.22558832565156556</v>
      </c>
      <c r="G456" s="73">
        <f t="shared" si="14"/>
        <v>0.23698681044334102</v>
      </c>
      <c r="H456" s="73">
        <f t="shared" si="15"/>
        <v>1.6175731785567968</v>
      </c>
      <c r="I456" s="73">
        <f t="shared" si="16"/>
        <v>0.79441964200902648</v>
      </c>
      <c r="J456" s="73">
        <f t="shared" si="17"/>
        <v>0.83164512485218078</v>
      </c>
      <c r="K456" s="73">
        <f t="shared" si="18"/>
        <v>5.3087162737302256</v>
      </c>
      <c r="L456" s="73">
        <f t="shared" si="19"/>
        <v>2.6611763031472542</v>
      </c>
    </row>
    <row r="457" spans="3:12" x14ac:dyDescent="0.15">
      <c r="C457" s="29">
        <f t="shared" si="10"/>
        <v>2047</v>
      </c>
      <c r="D457" s="73">
        <f t="shared" si="11"/>
        <v>5.5739949650015053E-2</v>
      </c>
      <c r="E457" s="73">
        <f t="shared" si="12"/>
        <v>0.61424628087100941</v>
      </c>
      <c r="F457" s="73">
        <f t="shared" si="13"/>
        <v>0.24548820676545438</v>
      </c>
      <c r="G457" s="73">
        <f t="shared" si="14"/>
        <v>0.23699152742951535</v>
      </c>
      <c r="H457" s="73">
        <f t="shared" si="15"/>
        <v>2.0159955121146651</v>
      </c>
      <c r="I457" s="73">
        <f t="shared" si="16"/>
        <v>0.85976125216231114</v>
      </c>
      <c r="J457" s="73">
        <f t="shared" si="17"/>
        <v>0.83175054974617191</v>
      </c>
      <c r="K457" s="73">
        <f t="shared" si="18"/>
        <v>6.6166206800520104</v>
      </c>
      <c r="L457" s="73">
        <f t="shared" si="19"/>
        <v>2.8757322444251439</v>
      </c>
    </row>
    <row r="458" spans="3:12" x14ac:dyDescent="0.15">
      <c r="C458" s="29">
        <f t="shared" si="10"/>
        <v>2048</v>
      </c>
      <c r="D458" s="73">
        <f t="shared" si="11"/>
        <v>5.5735664355431647E-2</v>
      </c>
      <c r="E458" s="73">
        <f t="shared" si="12"/>
        <v>0.67644236416454984</v>
      </c>
      <c r="F458" s="73">
        <f t="shared" si="13"/>
        <v>0.26698161964706973</v>
      </c>
      <c r="G458" s="73">
        <f t="shared" si="14"/>
        <v>0.23699467199213653</v>
      </c>
      <c r="H458" s="73">
        <f t="shared" si="15"/>
        <v>2.2201470034113804</v>
      </c>
      <c r="I458" s="73">
        <f t="shared" si="16"/>
        <v>0.93032365486545365</v>
      </c>
      <c r="J458" s="73">
        <f t="shared" si="17"/>
        <v>0.83182081857542745</v>
      </c>
      <c r="K458" s="73">
        <f t="shared" si="18"/>
        <v>7.2867278742975303</v>
      </c>
      <c r="L458" s="73">
        <f t="shared" si="19"/>
        <v>3.1073908000253492</v>
      </c>
    </row>
    <row r="459" spans="3:12" x14ac:dyDescent="0.15">
      <c r="C459" s="29">
        <f t="shared" si="10"/>
        <v>2049</v>
      </c>
      <c r="D459" s="73">
        <f t="shared" si="11"/>
        <v>5.5732807235510107E-2</v>
      </c>
      <c r="E459" s="73">
        <f t="shared" si="12"/>
        <v>0.71274061761722729</v>
      </c>
      <c r="F459" s="73">
        <f t="shared" si="13"/>
        <v>0.29019449490051352</v>
      </c>
      <c r="G459" s="73">
        <f t="shared" si="14"/>
        <v>0.23699676832507399</v>
      </c>
      <c r="H459" s="73">
        <f t="shared" si="15"/>
        <v>2.3392876457705469</v>
      </c>
      <c r="I459" s="73">
        <f t="shared" si="16"/>
        <v>1.0065232835794824</v>
      </c>
      <c r="J459" s="73">
        <f t="shared" si="17"/>
        <v>0.83186765804953144</v>
      </c>
      <c r="K459" s="73">
        <f t="shared" si="18"/>
        <v>7.6777806967396414</v>
      </c>
      <c r="L459" s="73">
        <f t="shared" si="19"/>
        <v>3.3575296178186758</v>
      </c>
    </row>
    <row r="460" spans="3:12" x14ac:dyDescent="0.15">
      <c r="C460" s="29">
        <f t="shared" si="10"/>
        <v>2050</v>
      </c>
      <c r="D460" s="73">
        <f t="shared" si="11"/>
        <v>5.5730902374711233E-2</v>
      </c>
      <c r="E460" s="73">
        <f t="shared" si="12"/>
        <v>0.73507087577275465</v>
      </c>
      <c r="F460" s="73">
        <f t="shared" si="13"/>
        <v>0.31526327177630031</v>
      </c>
      <c r="G460" s="73">
        <f t="shared" si="14"/>
        <v>0.23699816586163602</v>
      </c>
      <c r="H460" s="73">
        <f t="shared" si="15"/>
        <v>2.4125801996869383</v>
      </c>
      <c r="I460" s="73">
        <f t="shared" si="16"/>
        <v>1.0888100243595022</v>
      </c>
      <c r="J460" s="73">
        <f t="shared" si="17"/>
        <v>0.83189888151661706</v>
      </c>
      <c r="K460" s="73">
        <f t="shared" si="18"/>
        <v>7.9183425489203341</v>
      </c>
      <c r="L460" s="73">
        <f t="shared" si="19"/>
        <v>3.6276325148544077</v>
      </c>
    </row>
  </sheetData>
  <dataValidations count="2">
    <dataValidation type="list" allowBlank="1" showInputMessage="1" showErrorMessage="1" sqref="D9 D11" xr:uid="{2781A634-F31C-4523-8147-D02D3512C07D}">
      <formula1>"1, 2, 3, 4"</formula1>
    </dataValidation>
    <dataValidation type="list" allowBlank="1" showInputMessage="1" showErrorMessage="1" sqref="D8" xr:uid="{D8738A2B-6577-4EB2-B710-34D7976ABEBD}">
      <formula1>"True, False"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M40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13" width="20.6640625" style="29" customWidth="1"/>
    <col min="14" max="21" width="13" style="29" customWidth="1"/>
    <col min="22" max="16384" width="8.6640625" style="29"/>
  </cols>
  <sheetData>
    <row r="2" spans="1:13" ht="15.75" customHeight="1" x14ac:dyDescent="0.2">
      <c r="B2" s="30"/>
      <c r="C2" s="1" t="s">
        <v>180</v>
      </c>
    </row>
    <row r="3" spans="1:13" ht="15.75" customHeight="1" x14ac:dyDescent="0.15">
      <c r="C3" s="2" t="s">
        <v>23</v>
      </c>
    </row>
    <row r="5" spans="1:13" ht="15" customHeight="1" x14ac:dyDescent="0.15">
      <c r="A5" s="29" t="s">
        <v>2</v>
      </c>
      <c r="C5" s="20" t="s">
        <v>181</v>
      </c>
      <c r="D5" s="20"/>
      <c r="E5" s="20"/>
      <c r="F5" s="20"/>
      <c r="G5" s="20"/>
      <c r="H5" s="20"/>
      <c r="I5" s="30"/>
      <c r="J5" s="30"/>
      <c r="K5" s="30"/>
      <c r="L5" s="30"/>
      <c r="M5" s="30"/>
    </row>
    <row r="6" spans="1:13" ht="23.25" customHeight="1" x14ac:dyDescent="0.15">
      <c r="C6" s="22"/>
      <c r="D6" s="22"/>
      <c r="E6" s="22"/>
      <c r="F6" s="22"/>
      <c r="G6" s="22"/>
      <c r="H6" s="22"/>
    </row>
    <row r="7" spans="1:13" ht="15" customHeight="1" x14ac:dyDescent="0.3">
      <c r="C7" s="72" t="s">
        <v>114</v>
      </c>
      <c r="D7" s="72" t="s">
        <v>182</v>
      </c>
      <c r="E7" s="72" t="s">
        <v>183</v>
      </c>
      <c r="F7" s="72" t="s">
        <v>184</v>
      </c>
      <c r="G7" s="22"/>
      <c r="H7" s="22"/>
    </row>
    <row r="8" spans="1:13" ht="15" customHeight="1" x14ac:dyDescent="0.15">
      <c r="C8" s="39" t="s">
        <v>185</v>
      </c>
      <c r="D8" s="74">
        <v>0</v>
      </c>
      <c r="E8" s="75">
        <f>D8*(1-alpha)*xi</f>
        <v>0</v>
      </c>
      <c r="F8" s="74">
        <v>0</v>
      </c>
      <c r="G8" s="22"/>
      <c r="H8" s="22"/>
    </row>
    <row r="9" spans="1:13" ht="15" customHeight="1" x14ac:dyDescent="0.15">
      <c r="C9" s="39" t="s">
        <v>117</v>
      </c>
      <c r="D9" s="116">
        <f>'Model 1 - Inv &amp; GDP Paths'!I85</f>
        <v>7.5239759530153882E-2</v>
      </c>
      <c r="E9" s="75">
        <f>D9*(1-alpha)*xi</f>
        <v>5.9614257664316869E-2</v>
      </c>
      <c r="F9" s="116">
        <f>p_star</f>
        <v>3.5000000000000003E-2</v>
      </c>
      <c r="G9" s="22"/>
      <c r="H9" s="22"/>
    </row>
    <row r="10" spans="1:13" ht="15" customHeight="1" x14ac:dyDescent="0.15">
      <c r="C10" s="39" t="s">
        <v>173</v>
      </c>
      <c r="D10" s="76">
        <f>'Model 1 - Inv &amp; GDP Paths'!I86</f>
        <v>0.21075692688494049</v>
      </c>
      <c r="E10" s="75">
        <f>D10*(1-alpha)*xi</f>
        <v>0.16698774454247303</v>
      </c>
      <c r="F10" s="116">
        <f>p_star</f>
        <v>3.5000000000000003E-2</v>
      </c>
      <c r="G10" s="22"/>
      <c r="H10" s="22"/>
    </row>
    <row r="11" spans="1:13" x14ac:dyDescent="0.15">
      <c r="C11" s="39" t="s">
        <v>120</v>
      </c>
      <c r="D11" s="76">
        <f>'Model 1 - Inv &amp; GDP Paths'!I88</f>
        <v>0.46707693645069254</v>
      </c>
      <c r="E11" s="75">
        <f>D11*(1-alpha)*xi</f>
        <v>0.370076207214247</v>
      </c>
      <c r="F11" s="116">
        <f>p_star</f>
        <v>3.5000000000000003E-2</v>
      </c>
    </row>
    <row r="12" spans="1:13" x14ac:dyDescent="0.15">
      <c r="C12" s="39" t="s">
        <v>186</v>
      </c>
      <c r="D12" s="74">
        <v>1</v>
      </c>
      <c r="E12" s="75">
        <f>D12*(1-alpha)*xi</f>
        <v>0.79232387286438943</v>
      </c>
      <c r="F12" s="116">
        <f>p_star</f>
        <v>3.5000000000000003E-2</v>
      </c>
    </row>
    <row r="14" spans="1:13" ht="15" customHeight="1" x14ac:dyDescent="0.15">
      <c r="A14" s="29" t="s">
        <v>2</v>
      </c>
      <c r="C14" s="20" t="s">
        <v>187</v>
      </c>
      <c r="D14" s="20"/>
      <c r="E14" s="20"/>
      <c r="F14" s="20"/>
      <c r="G14" s="20"/>
      <c r="H14" s="20"/>
      <c r="I14" s="30"/>
      <c r="J14" s="30"/>
      <c r="K14" s="30"/>
      <c r="L14" s="30"/>
      <c r="M14" s="30"/>
    </row>
    <row r="16" spans="1:13" x14ac:dyDescent="0.15">
      <c r="A16" s="29" t="s">
        <v>2</v>
      </c>
      <c r="C16" s="29" t="s">
        <v>112</v>
      </c>
    </row>
    <row r="17" spans="1:13" x14ac:dyDescent="0.15">
      <c r="C17" s="29" t="s">
        <v>114</v>
      </c>
      <c r="D17" s="92">
        <v>3</v>
      </c>
    </row>
    <row r="18" spans="1:13" x14ac:dyDescent="0.15">
      <c r="C18" s="43" t="s">
        <v>115</v>
      </c>
      <c r="D18" s="42" t="str">
        <f>INDEX(C8:C12,D17,1)</f>
        <v>Transformative</v>
      </c>
    </row>
    <row r="19" spans="1:13" x14ac:dyDescent="0.15">
      <c r="C19" s="43"/>
      <c r="D19" s="42"/>
    </row>
    <row r="20" spans="1:13" x14ac:dyDescent="0.15">
      <c r="C20" s="13" t="s">
        <v>183</v>
      </c>
      <c r="D20" s="117">
        <f>INDEX(E8:E12,D17,1)</f>
        <v>0.16698774454247303</v>
      </c>
    </row>
    <row r="21" spans="1:13" x14ac:dyDescent="0.15">
      <c r="C21" s="13" t="s">
        <v>184</v>
      </c>
      <c r="D21" s="118">
        <f>INDEX(F8:F12,D17,1)</f>
        <v>3.5000000000000003E-2</v>
      </c>
    </row>
    <row r="23" spans="1:13" ht="16" x14ac:dyDescent="0.3">
      <c r="C23" s="72" t="s">
        <v>188</v>
      </c>
      <c r="D23" s="72" t="s">
        <v>189</v>
      </c>
      <c r="E23" s="72" t="s">
        <v>190</v>
      </c>
      <c r="F23" s="72" t="s">
        <v>191</v>
      </c>
      <c r="G23" s="72" t="s">
        <v>192</v>
      </c>
      <c r="H23" s="72" t="s">
        <v>193</v>
      </c>
      <c r="I23" s="72" t="s">
        <v>194</v>
      </c>
      <c r="J23" s="72" t="s">
        <v>195</v>
      </c>
      <c r="K23" s="72" t="s">
        <v>196</v>
      </c>
    </row>
    <row r="24" spans="1:13" x14ac:dyDescent="0.15">
      <c r="C24" s="77">
        <v>1</v>
      </c>
      <c r="D24" s="78">
        <f t="shared" ref="D24:D29" si="0">(1-p_d) + p_d * EXP(xi_d)</f>
        <v>0.99498548715130208</v>
      </c>
      <c r="E24" s="78">
        <f t="shared" ref="E24:E29" si="1">(1-p_d) + p_d * EXP(-C24*xi_d)</f>
        <v>1.0058260327382182</v>
      </c>
      <c r="F24" s="78">
        <f t="shared" ref="F24:F29" si="2">(1-p_d) + p_d * EXP((1-C24)*xi_d)</f>
        <v>1</v>
      </c>
      <c r="G24" s="78">
        <f>(1-$D$21)+$D$21*EXP($D$20)</f>
        <v>1.0063608923860266</v>
      </c>
      <c r="H24" s="78">
        <f>(1-$D$21)+$D$21*EXP(-C24*$D$20)</f>
        <v>0.99461734936874457</v>
      </c>
      <c r="I24" s="78">
        <f>(1-$D$21)+$D$21*EXP((1-C24)*$D$20)</f>
        <v>1</v>
      </c>
      <c r="J24" s="94">
        <f t="shared" ref="J24:J29" si="3">rho + mu_c + sigma_c^2 * (1 - 2 *C24)/2 + LN(F24/E24) + LN(I24/H24)</f>
        <v>4.4388062249839835E-2</v>
      </c>
      <c r="K24" s="94">
        <f t="shared" ref="K24:K29" si="4">C24*sigma_c^2+LN(D24*E24/F24)+LN(G24*H24/I24)</f>
        <v>2.1255573347629458E-3</v>
      </c>
    </row>
    <row r="25" spans="1:13" x14ac:dyDescent="0.15">
      <c r="C25" s="77">
        <v>2</v>
      </c>
      <c r="D25" s="78">
        <f t="shared" si="0"/>
        <v>0.99498548715130208</v>
      </c>
      <c r="E25" s="78">
        <f t="shared" si="1"/>
        <v>1.012594917072736</v>
      </c>
      <c r="F25" s="78">
        <f t="shared" si="2"/>
        <v>1.0058260327382182</v>
      </c>
      <c r="G25" s="78">
        <f t="shared" ref="G25:G29" si="5">(1-$D$21)+$D$21*EXP($D$20)</f>
        <v>1.0063608923860266</v>
      </c>
      <c r="H25" s="78">
        <f t="shared" ref="H25:H29" si="6">(1-$D$21)+$D$21*EXP(-C25*$D$20)</f>
        <v>0.99006249667515078</v>
      </c>
      <c r="I25" s="78">
        <f t="shared" ref="I25:I29" si="7">(1-$D$21)+$D$21*EXP((1-C25)*$D$20)</f>
        <v>0.99461734936874457</v>
      </c>
      <c r="J25" s="94">
        <f t="shared" si="3"/>
        <v>4.2282886779681013E-2</v>
      </c>
      <c r="K25" s="94">
        <f t="shared" si="4"/>
        <v>4.2307328049217925E-3</v>
      </c>
    </row>
    <row r="26" spans="1:13" x14ac:dyDescent="0.15">
      <c r="C26" s="77">
        <v>3</v>
      </c>
      <c r="D26" s="78">
        <f t="shared" si="0"/>
        <v>0.99498548715130208</v>
      </c>
      <c r="E26" s="78">
        <f t="shared" si="1"/>
        <v>1.0204592386776461</v>
      </c>
      <c r="F26" s="78">
        <f t="shared" si="2"/>
        <v>1.012594917072736</v>
      </c>
      <c r="G26" s="78">
        <f t="shared" si="5"/>
        <v>1.0063608923860266</v>
      </c>
      <c r="H26" s="78">
        <f t="shared" si="6"/>
        <v>0.98620813485945547</v>
      </c>
      <c r="I26" s="78">
        <f t="shared" si="7"/>
        <v>0.99006249667515078</v>
      </c>
      <c r="J26" s="94">
        <f t="shared" si="3"/>
        <v>4.0164147536256169E-2</v>
      </c>
      <c r="K26" s="94">
        <f t="shared" si="4"/>
        <v>6.3494720483466237E-3</v>
      </c>
    </row>
    <row r="27" spans="1:13" x14ac:dyDescent="0.15">
      <c r="C27" s="77">
        <v>4</v>
      </c>
      <c r="D27" s="78">
        <f t="shared" si="0"/>
        <v>0.99498548715130208</v>
      </c>
      <c r="E27" s="78">
        <f t="shared" si="1"/>
        <v>1.0295962768140583</v>
      </c>
      <c r="F27" s="78">
        <f t="shared" si="2"/>
        <v>1.0204592386776461</v>
      </c>
      <c r="G27" s="78">
        <f t="shared" si="5"/>
        <v>1.0063608923860266</v>
      </c>
      <c r="H27" s="78">
        <f t="shared" si="6"/>
        <v>0.98294653541691268</v>
      </c>
      <c r="I27" s="78">
        <f t="shared" si="7"/>
        <v>0.98620813485945547</v>
      </c>
      <c r="J27" s="94">
        <f t="shared" si="3"/>
        <v>3.799869180253853E-2</v>
      </c>
      <c r="K27" s="94">
        <f t="shared" si="4"/>
        <v>8.5149277820643736E-3</v>
      </c>
    </row>
    <row r="28" spans="1:13" x14ac:dyDescent="0.15">
      <c r="C28" s="77">
        <v>5</v>
      </c>
      <c r="D28" s="78">
        <f t="shared" si="0"/>
        <v>0.99498548715130208</v>
      </c>
      <c r="E28" s="78">
        <f t="shared" si="1"/>
        <v>1.0402120005980562</v>
      </c>
      <c r="F28" s="78">
        <f t="shared" si="2"/>
        <v>1.0295962768140583</v>
      </c>
      <c r="G28" s="78">
        <f t="shared" si="5"/>
        <v>1.0063608923860266</v>
      </c>
      <c r="H28" s="78">
        <f t="shared" si="6"/>
        <v>0.98018653741146433</v>
      </c>
      <c r="I28" s="78">
        <f t="shared" si="7"/>
        <v>0.98294653541691268</v>
      </c>
      <c r="J28" s="94">
        <f t="shared" si="3"/>
        <v>3.5754053656708619E-2</v>
      </c>
      <c r="K28" s="94">
        <f t="shared" si="4"/>
        <v>1.075956592789442E-2</v>
      </c>
    </row>
    <row r="29" spans="1:13" x14ac:dyDescent="0.15">
      <c r="C29" s="77">
        <v>6</v>
      </c>
      <c r="D29" s="78">
        <f t="shared" si="0"/>
        <v>0.99498548715130208</v>
      </c>
      <c r="E29" s="78">
        <f t="shared" si="1"/>
        <v>1.0525457120016501</v>
      </c>
      <c r="F29" s="78">
        <f t="shared" si="2"/>
        <v>1.0402120005980562</v>
      </c>
      <c r="G29" s="78">
        <f t="shared" si="5"/>
        <v>1.0063608923860266</v>
      </c>
      <c r="H29" s="78">
        <f t="shared" si="6"/>
        <v>0.97785099954905286</v>
      </c>
      <c r="I29" s="78">
        <f t="shared" si="7"/>
        <v>0.98018653741146433</v>
      </c>
      <c r="J29" s="94">
        <f t="shared" si="3"/>
        <v>3.3398413266592132E-2</v>
      </c>
      <c r="K29" s="94">
        <f t="shared" si="4"/>
        <v>1.3115206318010879E-2</v>
      </c>
    </row>
    <row r="31" spans="1:13" ht="15" customHeight="1" x14ac:dyDescent="0.15">
      <c r="A31" s="29" t="s">
        <v>2</v>
      </c>
      <c r="C31" s="20" t="s">
        <v>132</v>
      </c>
      <c r="D31" s="20"/>
      <c r="E31" s="20"/>
      <c r="F31" s="20"/>
      <c r="G31" s="20"/>
      <c r="H31" s="20"/>
      <c r="I31" s="30"/>
      <c r="J31" s="30"/>
      <c r="K31" s="30"/>
      <c r="L31" s="30"/>
      <c r="M31" s="30"/>
    </row>
    <row r="32" spans="1:13" ht="15" customHeight="1" x14ac:dyDescent="0.15">
      <c r="C32" s="56"/>
      <c r="D32" s="22"/>
      <c r="E32" s="22"/>
      <c r="F32" s="22"/>
      <c r="G32" s="22"/>
      <c r="H32" s="22"/>
    </row>
    <row r="33" spans="3:13" ht="16" x14ac:dyDescent="0.3">
      <c r="C33" s="72" t="s">
        <v>188</v>
      </c>
      <c r="D33" s="80" t="s">
        <v>185</v>
      </c>
      <c r="E33" s="80"/>
      <c r="F33" s="80" t="s">
        <v>117</v>
      </c>
      <c r="G33" s="80"/>
      <c r="H33" s="80" t="s">
        <v>173</v>
      </c>
      <c r="I33" s="80"/>
      <c r="J33" s="80" t="s">
        <v>120</v>
      </c>
      <c r="K33" s="80"/>
      <c r="L33" s="80" t="s">
        <v>197</v>
      </c>
      <c r="M33" s="80"/>
    </row>
    <row r="34" spans="3:13" ht="16" x14ac:dyDescent="0.3">
      <c r="C34" s="72"/>
      <c r="D34" s="79" t="s">
        <v>195</v>
      </c>
      <c r="E34" s="79" t="s">
        <v>196</v>
      </c>
      <c r="F34" s="79" t="s">
        <v>195</v>
      </c>
      <c r="G34" s="79" t="s">
        <v>196</v>
      </c>
      <c r="H34" s="79" t="s">
        <v>195</v>
      </c>
      <c r="I34" s="79" t="s">
        <v>196</v>
      </c>
      <c r="J34" s="79" t="s">
        <v>195</v>
      </c>
      <c r="K34" s="79" t="s">
        <v>196</v>
      </c>
      <c r="L34" s="79" t="s">
        <v>195</v>
      </c>
      <c r="M34" s="79" t="s">
        <v>196</v>
      </c>
    </row>
    <row r="35" spans="3:13" x14ac:dyDescent="0.15">
      <c r="C35" s="77">
        <v>1</v>
      </c>
      <c r="D35" s="81">
        <f t="shared" ref="D35:D40" si="8">rho+mu_c+sigma_c^2*(1-2*$C35)/2+LN($F24/$E24)+LN((1-$F$8+$F$8*EXP((1-$C35)*$E$8))/(1-$F$8+$F$8*EXP(-$C35*$E$8)))</f>
        <v>3.8990872960193934E-2</v>
      </c>
      <c r="E35" s="81">
        <f t="shared" ref="E35:E40" si="9">$C35*sigma_c^2+LN($D24*$E24/$F24)+LN((1-$F$8+$F$8*EXP($E$8))*(1-$F$8+$F$8*EXP(-$C35*$E$8))/(1-$F$8+$F$8*EXP((1-$C35)*$E$8)))</f>
        <v>1.1819993323024418E-3</v>
      </c>
      <c r="F35" s="81">
        <f t="shared" ref="F35:F40" si="10">rho+mu_c+sigma_c^2*(1-2*$C35)/2+LN($F24/$E24)+LN((1-$F$9+$F$9*EXP((1-$C35)*$E$9))/(1-$F$9+$F$9*EXP(-$C35*$E$9)))</f>
        <v>4.1018451234621722E-2</v>
      </c>
      <c r="G35" s="81">
        <f t="shared" ref="G35:G40" si="11">$C35*sigma_c^2+LN($D24*$E24/$F24)+LN((1-$F$9+$F$9*EXP($E$9))*(1-$F$9+$F$9*EXP(-$C35*$E$9))/(1-$F$9+$F$9*EXP((1-$C35)*$E$9)))</f>
        <v>1.3020592889251381E-3</v>
      </c>
      <c r="H35" s="81">
        <f t="shared" ref="H35:H40" si="12">rho+mu_c+sigma_c^2*(1-2*$C35)/2+LN($F24/$E24)+LN((1-$F$10+$F$10*EXP((1-$C35)*$E$10))/(1-$F$10+$F$10*EXP(-$C35*$E$10)))</f>
        <v>4.4388062249839835E-2</v>
      </c>
      <c r="I35" s="81">
        <f t="shared" ref="I35:I40" si="13">$C35*sigma_c^2+LN($D24*$E24/$F24)+LN((1-$F$10+$F$10*EXP($E$10))*(1-$F$10+$F$10*EXP(-$C35*$E$10))/(1-$F$10+$F$10*EXP((1-$C35)*$E$10)))</f>
        <v>2.1255573347629458E-3</v>
      </c>
      <c r="J35" s="81">
        <f t="shared" ref="J35:J40" si="14">rho+mu_c+sigma_c^2*(1-2*$C35)/2+LN($F24/$E24)+LN((1-$F$11+$F$11*EXP((1-$C35)*$E$11))/(1-$F$11+$F$11*EXP(-$C35*$E$11)))</f>
        <v>4.9876042766731896E-2</v>
      </c>
      <c r="K35" s="81">
        <f t="shared" ref="K35:K40" si="15">$C35*sigma_c^2+LN($D24*$E24/$F24)+LN((1-$F$11+$F$11*EXP($E$11))*(1-$F$11+$F$11*EXP(-$C35*$E$11))/(1-$F$11+$F$11*EXP((1-$C35)*$E$11)))</f>
        <v>5.8498253410601032E-3</v>
      </c>
      <c r="L35" s="81">
        <f t="shared" ref="L35:L40" si="16">rho+mu_c+sigma_c^2*(1-2*$C35)/2+LN($F24/$E24)+LN((1-$F$12+$F$12*EXP((1-$C35)*$E$12))/(1-$F$12+$F$12*EXP(-$C35*$E$12)))</f>
        <v>5.8328957256730082E-2</v>
      </c>
      <c r="M35" s="81">
        <f t="shared" ref="M35:M40" si="17">$C35*sigma_c^2+LN($D24*$E24/$F24)+LN((1-$F$12+$F$12*EXP($E$12))*(1-$F$12+$F$12*EXP(-$C35*$E$12))/(1-$F$12+$F$12*EXP((1-$C35)*$E$12)))</f>
        <v>2.3272091656368725E-2</v>
      </c>
    </row>
    <row r="36" spans="3:13" x14ac:dyDescent="0.15">
      <c r="C36" s="77">
        <v>2</v>
      </c>
      <c r="D36" s="81">
        <f t="shared" si="8"/>
        <v>3.7692866178037729E-2</v>
      </c>
      <c r="E36" s="81">
        <f t="shared" si="9"/>
        <v>2.4800061144585341E-3</v>
      </c>
      <c r="F36" s="81">
        <f t="shared" si="10"/>
        <v>3.9606872633895479E-2</v>
      </c>
      <c r="G36" s="81">
        <f t="shared" si="11"/>
        <v>2.7136378896513717E-3</v>
      </c>
      <c r="H36" s="81">
        <f t="shared" si="12"/>
        <v>4.2282886779681013E-2</v>
      </c>
      <c r="I36" s="81">
        <f t="shared" si="13"/>
        <v>4.2307328049217925E-3</v>
      </c>
      <c r="J36" s="81">
        <f t="shared" si="14"/>
        <v>4.5280836914942876E-2</v>
      </c>
      <c r="K36" s="81">
        <f t="shared" si="15"/>
        <v>1.0445031192849194E-2</v>
      </c>
      <c r="L36" s="81">
        <f t="shared" si="16"/>
        <v>4.6573511437199941E-2</v>
      </c>
      <c r="M36" s="81">
        <f t="shared" si="17"/>
        <v>3.502753747589888E-2</v>
      </c>
    </row>
    <row r="37" spans="3:13" x14ac:dyDescent="0.15">
      <c r="C37" s="77">
        <v>3</v>
      </c>
      <c r="D37" s="81">
        <f t="shared" si="8"/>
        <v>3.6263500892810566E-2</v>
      </c>
      <c r="E37" s="81">
        <f t="shared" si="9"/>
        <v>3.9093713996859059E-3</v>
      </c>
      <c r="F37" s="81">
        <f t="shared" si="10"/>
        <v>3.8070097461641729E-2</v>
      </c>
      <c r="G37" s="81">
        <f t="shared" si="11"/>
        <v>4.2504130619052914E-3</v>
      </c>
      <c r="H37" s="81">
        <f t="shared" si="12"/>
        <v>4.0164147536256169E-2</v>
      </c>
      <c r="I37" s="81">
        <f t="shared" si="13"/>
        <v>6.3494720483466237E-3</v>
      </c>
      <c r="J37" s="81">
        <f t="shared" si="14"/>
        <v>4.1538194323272881E-2</v>
      </c>
      <c r="K37" s="81">
        <f t="shared" si="15"/>
        <v>1.4187673784519128E-2</v>
      </c>
      <c r="L37" s="81">
        <f t="shared" si="16"/>
        <v>4.0310666779069269E-2</v>
      </c>
      <c r="M37" s="81">
        <f t="shared" si="17"/>
        <v>4.1290382134029524E-2</v>
      </c>
    </row>
    <row r="38" spans="3:13" x14ac:dyDescent="0.15">
      <c r="C38" s="77">
        <v>4</v>
      </c>
      <c r="D38" s="81">
        <f t="shared" si="8"/>
        <v>3.4685998823678205E-2</v>
      </c>
      <c r="E38" s="81">
        <f t="shared" si="9"/>
        <v>5.4868734688181342E-3</v>
      </c>
      <c r="F38" s="81">
        <f t="shared" si="10"/>
        <v>3.639103495181676E-2</v>
      </c>
      <c r="G38" s="81">
        <f t="shared" si="11"/>
        <v>5.9294755717301138E-3</v>
      </c>
      <c r="H38" s="81">
        <f t="shared" si="12"/>
        <v>3.799869180253853E-2</v>
      </c>
      <c r="I38" s="81">
        <f t="shared" si="13"/>
        <v>8.5149277820643736E-3</v>
      </c>
      <c r="J38" s="81">
        <f t="shared" si="14"/>
        <v>3.8345445755523157E-2</v>
      </c>
      <c r="K38" s="81">
        <f t="shared" si="15"/>
        <v>1.7380422352268752E-2</v>
      </c>
      <c r="L38" s="81">
        <f t="shared" si="16"/>
        <v>3.6523921710734687E-2</v>
      </c>
      <c r="M38" s="81">
        <f t="shared" si="17"/>
        <v>4.5077127202364169E-2</v>
      </c>
    </row>
    <row r="39" spans="3:13" x14ac:dyDescent="0.15">
      <c r="C39" s="77">
        <v>5</v>
      </c>
      <c r="D39" s="81">
        <f t="shared" si="8"/>
        <v>3.2942222037019429E-2</v>
      </c>
      <c r="E39" s="81">
        <f t="shared" si="9"/>
        <v>7.2306502554769841E-3</v>
      </c>
      <c r="F39" s="81">
        <f t="shared" si="10"/>
        <v>3.4551248133168025E-2</v>
      </c>
      <c r="G39" s="81">
        <f t="shared" si="11"/>
        <v>7.7692623903789244E-3</v>
      </c>
      <c r="H39" s="81">
        <f t="shared" si="12"/>
        <v>3.5754053656708619E-2</v>
      </c>
      <c r="I39" s="81">
        <f t="shared" si="13"/>
        <v>1.075956592789442E-2</v>
      </c>
      <c r="J39" s="81">
        <f t="shared" si="14"/>
        <v>3.5477576635136336E-2</v>
      </c>
      <c r="K39" s="81">
        <f t="shared" si="15"/>
        <v>2.0248291472655673E-2</v>
      </c>
      <c r="L39" s="81">
        <f t="shared" si="16"/>
        <v>3.3775529936890668E-2</v>
      </c>
      <c r="M39" s="81">
        <f t="shared" si="17"/>
        <v>4.7825518976208348E-2</v>
      </c>
    </row>
    <row r="40" spans="3:13" x14ac:dyDescent="0.15">
      <c r="C40" s="77">
        <v>6</v>
      </c>
      <c r="D40" s="81">
        <f t="shared" si="8"/>
        <v>3.1012821646448835E-2</v>
      </c>
      <c r="E40" s="81">
        <f t="shared" si="9"/>
        <v>9.1600506460474997E-3</v>
      </c>
      <c r="F40" s="81">
        <f t="shared" si="10"/>
        <v>3.2531102221944802E-2</v>
      </c>
      <c r="G40" s="81">
        <f t="shared" si="11"/>
        <v>9.7894083016021802E-3</v>
      </c>
      <c r="H40" s="81">
        <f t="shared" si="12"/>
        <v>3.3398413266592132E-2</v>
      </c>
      <c r="I40" s="81">
        <f t="shared" si="13"/>
        <v>1.3115206318010879E-2</v>
      </c>
      <c r="J40" s="81">
        <f t="shared" si="14"/>
        <v>3.2767705298517254E-2</v>
      </c>
      <c r="K40" s="81">
        <f t="shared" si="15"/>
        <v>2.2958162809274686E-2</v>
      </c>
      <c r="L40" s="81">
        <f t="shared" si="16"/>
        <v>3.139036476262614E-2</v>
      </c>
      <c r="M40" s="81">
        <f t="shared" si="17"/>
        <v>5.0210684150472501E-2</v>
      </c>
    </row>
  </sheetData>
  <dataValidations disablePrompts="1" count="1">
    <dataValidation type="list" allowBlank="1" showInputMessage="1" showErrorMessage="1" sqref="D17" xr:uid="{59F575B6-10D4-459E-8540-03F2DBF8870D}">
      <formula1>"1,2,3,4,5"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Y20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2" width="1.6640625" customWidth="1"/>
    <col min="3" max="3" width="32" customWidth="1"/>
    <col min="4" max="4" width="19" customWidth="1"/>
    <col min="5" max="25" width="16" customWidth="1"/>
  </cols>
  <sheetData>
    <row r="1" spans="1:12" s="29" customFormat="1" ht="13" x14ac:dyDescent="0.15">
      <c r="A1" s="119"/>
      <c r="B1" s="119"/>
    </row>
    <row r="2" spans="1:12" s="29" customFormat="1" ht="15.75" customHeight="1" x14ac:dyDescent="0.2">
      <c r="B2" s="30"/>
      <c r="C2" s="1" t="s">
        <v>198</v>
      </c>
    </row>
    <row r="3" spans="1:12" s="29" customFormat="1" ht="15.75" customHeight="1" x14ac:dyDescent="0.15">
      <c r="C3" s="2" t="s">
        <v>23</v>
      </c>
    </row>
    <row r="6" spans="1:12" x14ac:dyDescent="0.2">
      <c r="A6" t="s">
        <v>2</v>
      </c>
      <c r="C6" s="95" t="s">
        <v>199</v>
      </c>
      <c r="D6" s="14"/>
      <c r="E6" s="14"/>
      <c r="F6" s="14"/>
      <c r="G6" s="14"/>
      <c r="H6" s="14"/>
      <c r="I6" s="14"/>
      <c r="J6" s="14"/>
      <c r="K6" s="14"/>
      <c r="L6" s="14"/>
    </row>
    <row r="7" spans="1:12" ht="17" x14ac:dyDescent="0.3">
      <c r="C7" s="120" t="s">
        <v>77</v>
      </c>
      <c r="D7" s="120" t="s">
        <v>200</v>
      </c>
      <c r="E7" s="120" t="s">
        <v>201</v>
      </c>
      <c r="F7" s="120" t="s">
        <v>202</v>
      </c>
      <c r="G7" s="120" t="s">
        <v>203</v>
      </c>
      <c r="H7" s="120" t="s">
        <v>204</v>
      </c>
      <c r="I7" s="120" t="s">
        <v>205</v>
      </c>
      <c r="J7" s="120" t="s">
        <v>206</v>
      </c>
      <c r="K7" s="120" t="s">
        <v>148</v>
      </c>
      <c r="L7" s="120" t="s">
        <v>207</v>
      </c>
    </row>
    <row r="8" spans="1:12" x14ac:dyDescent="0.2">
      <c r="C8" s="5">
        <v>2022</v>
      </c>
      <c r="D8" s="33">
        <f>z0</f>
        <v>614.66343914698564</v>
      </c>
      <c r="E8" s="55">
        <f>0</f>
        <v>0</v>
      </c>
      <c r="F8" s="97">
        <f t="shared" ref="F8:F18" si="0">1+E8*(exp_xi^(1-alpha)-1)</f>
        <v>1</v>
      </c>
      <c r="G8" s="33">
        <f>K0</f>
        <v>624</v>
      </c>
      <c r="H8" s="33">
        <f t="shared" ref="H8:H18" si="1">D8*(alpha*F8/(r_a+delta_a))^(1/(1-alpha))</f>
        <v>623.99999999999989</v>
      </c>
      <c r="I8" s="33">
        <f>'Capex Build'!D21</f>
        <v>156</v>
      </c>
      <c r="J8" s="33">
        <f t="shared" ref="J8:J18" si="2">D8^(1-alpha)*G8^alpha</f>
        <v>617.76000000000033</v>
      </c>
      <c r="K8" s="55">
        <f t="shared" ref="K8:K18" si="3">(J8+Yn0)/GDP_0-1</f>
        <v>0</v>
      </c>
      <c r="L8" s="55">
        <f t="shared" ref="L8:L18" si="4">J8/(J8+Yn0)</f>
        <v>2.370556018104425E-2</v>
      </c>
    </row>
    <row r="9" spans="1:12" x14ac:dyDescent="0.2">
      <c r="C9" s="5">
        <v>2023</v>
      </c>
      <c r="D9" s="33">
        <f>D8</f>
        <v>614.66343914698564</v>
      </c>
      <c r="E9" s="55">
        <f>0</f>
        <v>0</v>
      </c>
      <c r="F9" s="97">
        <f t="shared" si="0"/>
        <v>1</v>
      </c>
      <c r="G9" s="33">
        <f t="shared" ref="G9:G18" si="5">G8*(1-delta_a)+I8</f>
        <v>624</v>
      </c>
      <c r="H9" s="33">
        <f t="shared" si="1"/>
        <v>623.99999999999989</v>
      </c>
      <c r="I9" s="33">
        <f>'Capex Build'!E21</f>
        <v>152.69798459483496</v>
      </c>
      <c r="J9" s="33">
        <f t="shared" si="2"/>
        <v>617.76000000000033</v>
      </c>
      <c r="K9" s="55">
        <f t="shared" si="3"/>
        <v>0</v>
      </c>
      <c r="L9" s="55">
        <f t="shared" si="4"/>
        <v>2.370556018104425E-2</v>
      </c>
    </row>
    <row r="10" spans="1:12" x14ac:dyDescent="0.2">
      <c r="C10" s="5">
        <v>2024</v>
      </c>
      <c r="D10" s="33">
        <f>D9*exp_xi</f>
        <v>2017.3916101855061</v>
      </c>
      <c r="E10" s="55">
        <f>0</f>
        <v>0</v>
      </c>
      <c r="F10" s="97">
        <f t="shared" si="0"/>
        <v>1</v>
      </c>
      <c r="G10" s="33">
        <f t="shared" si="5"/>
        <v>620.69798459483491</v>
      </c>
      <c r="H10" s="33">
        <f t="shared" si="1"/>
        <v>2048.0352085081863</v>
      </c>
      <c r="I10" s="33">
        <f>'Capex Build'!F21</f>
        <v>254.66180211541035</v>
      </c>
      <c r="J10" s="33">
        <f t="shared" si="2"/>
        <v>1361.9262333854456</v>
      </c>
      <c r="K10" s="55">
        <f t="shared" si="3"/>
        <v>2.8556198896366958E-2</v>
      </c>
      <c r="L10" s="55">
        <f t="shared" si="4"/>
        <v>5.0810795884063245E-2</v>
      </c>
    </row>
    <row r="11" spans="1:12" x14ac:dyDescent="0.2">
      <c r="C11" s="5">
        <v>2025</v>
      </c>
      <c r="D11" s="33">
        <f t="shared" ref="D11:D18" si="6">D10</f>
        <v>2017.3916101855061</v>
      </c>
      <c r="E11" s="55">
        <f>0</f>
        <v>0</v>
      </c>
      <c r="F11" s="97">
        <f t="shared" si="0"/>
        <v>1</v>
      </c>
      <c r="G11" s="33">
        <f t="shared" si="5"/>
        <v>720.18529056153648</v>
      </c>
      <c r="H11" s="33">
        <f t="shared" si="1"/>
        <v>2048.0352085081863</v>
      </c>
      <c r="I11" s="33">
        <f>'Capex Build'!G21</f>
        <v>427.17531882644533</v>
      </c>
      <c r="J11" s="33">
        <f t="shared" si="2"/>
        <v>1431.1161713901588</v>
      </c>
      <c r="K11" s="55">
        <f t="shared" si="3"/>
        <v>3.1211253026277364E-2</v>
      </c>
      <c r="L11" s="55">
        <f t="shared" si="4"/>
        <v>5.3254668280779772E-2</v>
      </c>
    </row>
    <row r="12" spans="1:12" x14ac:dyDescent="0.2">
      <c r="C12" s="5">
        <v>2026</v>
      </c>
      <c r="D12" s="33">
        <f t="shared" si="6"/>
        <v>2017.3916101855061</v>
      </c>
      <c r="E12" s="55">
        <f>0</f>
        <v>0</v>
      </c>
      <c r="F12" s="97">
        <f t="shared" si="0"/>
        <v>1</v>
      </c>
      <c r="G12" s="33">
        <f t="shared" si="5"/>
        <v>967.31428674759763</v>
      </c>
      <c r="H12" s="33">
        <f t="shared" si="1"/>
        <v>2048.0352085081863</v>
      </c>
      <c r="I12" s="33">
        <f>'Capex Build'!H21</f>
        <v>782.18903256719409</v>
      </c>
      <c r="J12" s="33">
        <f t="shared" si="2"/>
        <v>1579.0019789100327</v>
      </c>
      <c r="K12" s="55">
        <f t="shared" si="3"/>
        <v>3.6886136330610331E-2</v>
      </c>
      <c r="L12" s="55">
        <f t="shared" si="4"/>
        <v>5.8436210485058454E-2</v>
      </c>
    </row>
    <row r="13" spans="1:12" x14ac:dyDescent="0.2">
      <c r="C13" s="5">
        <v>2027</v>
      </c>
      <c r="D13" s="33">
        <f t="shared" si="6"/>
        <v>2017.3916101855061</v>
      </c>
      <c r="E13" s="55">
        <f>0</f>
        <v>0</v>
      </c>
      <c r="F13" s="97">
        <f t="shared" si="0"/>
        <v>1</v>
      </c>
      <c r="G13" s="33">
        <f t="shared" si="5"/>
        <v>1507.6747476278924</v>
      </c>
      <c r="H13" s="33">
        <f t="shared" si="1"/>
        <v>2048.0352085081863</v>
      </c>
      <c r="I13" s="33">
        <f>'Capex Build'!I21</f>
        <v>917.27914778726768</v>
      </c>
      <c r="J13" s="33">
        <f t="shared" si="2"/>
        <v>1830.7513392891478</v>
      </c>
      <c r="K13" s="55">
        <f t="shared" si="3"/>
        <v>4.654661873964705E-2</v>
      </c>
      <c r="L13" s="55">
        <f t="shared" si="4"/>
        <v>6.7127615399776214E-2</v>
      </c>
    </row>
    <row r="14" spans="1:12" x14ac:dyDescent="0.2">
      <c r="C14" s="5">
        <v>2028</v>
      </c>
      <c r="D14" s="33">
        <f t="shared" si="6"/>
        <v>2017.3916101855061</v>
      </c>
      <c r="E14" s="55">
        <f>p_max</f>
        <v>0.5</v>
      </c>
      <c r="F14" s="97">
        <f t="shared" si="0"/>
        <v>1.6042613968131942</v>
      </c>
      <c r="G14" s="33">
        <f t="shared" si="5"/>
        <v>2048.0352085081868</v>
      </c>
      <c r="H14" s="33">
        <f t="shared" si="1"/>
        <v>4161.5021020639106</v>
      </c>
      <c r="I14" s="33">
        <f>delta_a*G14+(H14-G14)</f>
        <v>2625.4756956827705</v>
      </c>
      <c r="J14" s="33">
        <f t="shared" si="2"/>
        <v>2027.5548564231053</v>
      </c>
      <c r="K14" s="55">
        <f t="shared" si="3"/>
        <v>5.4098641562847272E-2</v>
      </c>
      <c r="L14" s="55">
        <f t="shared" si="4"/>
        <v>7.3811120398121391E-2</v>
      </c>
    </row>
    <row r="15" spans="1:12" x14ac:dyDescent="0.2">
      <c r="C15" s="5">
        <v>2029</v>
      </c>
      <c r="D15" s="33">
        <f t="shared" si="6"/>
        <v>2017.3916101855061</v>
      </c>
      <c r="E15" s="55">
        <f>p_max</f>
        <v>0.5</v>
      </c>
      <c r="F15" s="97">
        <f t="shared" si="0"/>
        <v>1.6042613968131942</v>
      </c>
      <c r="G15" s="33">
        <f t="shared" si="5"/>
        <v>4161.5021020639106</v>
      </c>
      <c r="H15" s="33">
        <f t="shared" si="1"/>
        <v>4161.5021020639106</v>
      </c>
      <c r="I15" s="33">
        <f>delta_a*G15+(H15-G15)</f>
        <v>1040.3755255159776</v>
      </c>
      <c r="J15" s="33">
        <f t="shared" si="2"/>
        <v>2568.089645008773</v>
      </c>
      <c r="K15" s="55">
        <f t="shared" si="3"/>
        <v>7.484080674150162E-2</v>
      </c>
      <c r="L15" s="55">
        <f t="shared" si="4"/>
        <v>9.168461627475806E-2</v>
      </c>
    </row>
    <row r="16" spans="1:12" x14ac:dyDescent="0.2">
      <c r="C16" s="5">
        <v>2030</v>
      </c>
      <c r="D16" s="33">
        <f t="shared" si="6"/>
        <v>2017.3916101855061</v>
      </c>
      <c r="E16" s="55">
        <f>p_star</f>
        <v>3.5000000000000003E-2</v>
      </c>
      <c r="F16" s="97">
        <f t="shared" si="0"/>
        <v>1.0422982977769235</v>
      </c>
      <c r="G16" s="33">
        <f t="shared" si="5"/>
        <v>4161.5021020639106</v>
      </c>
      <c r="H16" s="33">
        <f t="shared" si="1"/>
        <v>2179.3423644676855</v>
      </c>
      <c r="I16" s="33">
        <f>delta_a*G16+(H16-G16)</f>
        <v>-941.78421208024747</v>
      </c>
      <c r="J16" s="33">
        <f t="shared" si="2"/>
        <v>2568.089645008773</v>
      </c>
      <c r="K16" s="55">
        <f t="shared" si="3"/>
        <v>7.484080674150162E-2</v>
      </c>
      <c r="L16" s="55">
        <f t="shared" si="4"/>
        <v>9.168461627475806E-2</v>
      </c>
    </row>
    <row r="17" spans="1:12" x14ac:dyDescent="0.2">
      <c r="C17" s="5">
        <v>2031</v>
      </c>
      <c r="D17" s="33">
        <f t="shared" si="6"/>
        <v>2017.3916101855061</v>
      </c>
      <c r="E17" s="55">
        <f>p_star</f>
        <v>3.5000000000000003E-2</v>
      </c>
      <c r="F17" s="97">
        <f t="shared" si="0"/>
        <v>1.0422982977769235</v>
      </c>
      <c r="G17" s="33">
        <f t="shared" si="5"/>
        <v>2179.3423644676855</v>
      </c>
      <c r="H17" s="33">
        <f t="shared" si="1"/>
        <v>2179.3423644676855</v>
      </c>
      <c r="I17" s="33">
        <f>delta_a*G17+(H17-G17)</f>
        <v>544.83559111692136</v>
      </c>
      <c r="J17" s="33">
        <f t="shared" si="2"/>
        <v>2069.9918108134302</v>
      </c>
      <c r="K17" s="55">
        <f t="shared" si="3"/>
        <v>5.5727092379021848E-2</v>
      </c>
      <c r="L17" s="55">
        <f t="shared" si="4"/>
        <v>7.5239759530153938E-2</v>
      </c>
    </row>
    <row r="18" spans="1:12" x14ac:dyDescent="0.2">
      <c r="C18" s="5">
        <v>2032</v>
      </c>
      <c r="D18" s="33">
        <f t="shared" si="6"/>
        <v>2017.3916101855061</v>
      </c>
      <c r="E18" s="55">
        <f>p_star</f>
        <v>3.5000000000000003E-2</v>
      </c>
      <c r="F18" s="97">
        <f t="shared" si="0"/>
        <v>1.0422982977769235</v>
      </c>
      <c r="G18" s="33">
        <f t="shared" si="5"/>
        <v>2179.3423644676855</v>
      </c>
      <c r="H18" s="33">
        <f t="shared" si="1"/>
        <v>2179.3423644676855</v>
      </c>
      <c r="I18" s="33">
        <f>delta_a*G18+(H18-G18)</f>
        <v>544.83559111692136</v>
      </c>
      <c r="J18" s="33">
        <f t="shared" si="2"/>
        <v>2069.9918108134302</v>
      </c>
      <c r="K18" s="55">
        <f t="shared" si="3"/>
        <v>5.5727092379021848E-2</v>
      </c>
      <c r="L18" s="55">
        <f t="shared" si="4"/>
        <v>7.5239759530153938E-2</v>
      </c>
    </row>
    <row r="22" spans="1:12" x14ac:dyDescent="0.2">
      <c r="A22" t="s">
        <v>2</v>
      </c>
      <c r="C22" s="95" t="s">
        <v>208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 ht="17" x14ac:dyDescent="0.3">
      <c r="C23" s="120" t="s">
        <v>77</v>
      </c>
      <c r="D23" s="120" t="s">
        <v>200</v>
      </c>
      <c r="E23" s="120" t="s">
        <v>201</v>
      </c>
      <c r="F23" s="120" t="s">
        <v>202</v>
      </c>
      <c r="G23" s="120" t="s">
        <v>203</v>
      </c>
      <c r="H23" s="120" t="s">
        <v>204</v>
      </c>
      <c r="I23" s="120" t="s">
        <v>205</v>
      </c>
      <c r="J23" s="120" t="s">
        <v>206</v>
      </c>
      <c r="K23" s="120" t="s">
        <v>148</v>
      </c>
      <c r="L23" s="120" t="s">
        <v>207</v>
      </c>
    </row>
    <row r="24" spans="1:12" x14ac:dyDescent="0.2">
      <c r="C24" s="5">
        <v>2022</v>
      </c>
      <c r="D24" s="33">
        <f>z0</f>
        <v>614.66343914698564</v>
      </c>
      <c r="E24" s="55">
        <f>0</f>
        <v>0</v>
      </c>
      <c r="F24" s="97">
        <f t="shared" ref="F24:F34" si="7">1+E24*(exp_xi^(1-alpha)-1)</f>
        <v>1</v>
      </c>
      <c r="G24" s="33">
        <f>K0</f>
        <v>624</v>
      </c>
      <c r="H24" s="33">
        <f t="shared" ref="H24:H34" si="8">D24*(alpha*F24/(r_a+delta_a))^(1/(1-alpha))</f>
        <v>623.99999999999989</v>
      </c>
      <c r="I24" s="33">
        <f>'Capex Build'!D21</f>
        <v>156</v>
      </c>
      <c r="J24" s="33">
        <f t="shared" ref="J24:J34" si="9">D24^(1-alpha)*G24^alpha</f>
        <v>617.76000000000033</v>
      </c>
      <c r="K24" s="55">
        <f t="shared" ref="K24:K34" si="10">(J24+Yn0)/GDP_0-1</f>
        <v>0</v>
      </c>
      <c r="L24" s="55">
        <f t="shared" ref="L24:L34" si="11">J24/(J24+Yn0)</f>
        <v>2.370556018104425E-2</v>
      </c>
    </row>
    <row r="25" spans="1:12" x14ac:dyDescent="0.2">
      <c r="C25" s="5">
        <v>2023</v>
      </c>
      <c r="D25" s="33">
        <f>D24</f>
        <v>614.66343914698564</v>
      </c>
      <c r="E25" s="55">
        <f>0</f>
        <v>0</v>
      </c>
      <c r="F25" s="97">
        <f t="shared" si="7"/>
        <v>1</v>
      </c>
      <c r="G25" s="33">
        <f t="shared" ref="G25:G34" si="12">G24*(1-delta_a)+I24</f>
        <v>624</v>
      </c>
      <c r="H25" s="33">
        <f t="shared" si="8"/>
        <v>623.99999999999989</v>
      </c>
      <c r="I25" s="33">
        <f>'Capex Build'!E21</f>
        <v>152.69798459483496</v>
      </c>
      <c r="J25" s="33">
        <f t="shared" si="9"/>
        <v>617.76000000000033</v>
      </c>
      <c r="K25" s="55">
        <f t="shared" si="10"/>
        <v>0</v>
      </c>
      <c r="L25" s="55">
        <f t="shared" si="11"/>
        <v>2.370556018104425E-2</v>
      </c>
    </row>
    <row r="26" spans="1:12" x14ac:dyDescent="0.2">
      <c r="C26" s="5">
        <v>2024</v>
      </c>
      <c r="D26" s="33">
        <f>D25*exp_xi</f>
        <v>2017.3916101855061</v>
      </c>
      <c r="E26" s="55">
        <f>0</f>
        <v>0</v>
      </c>
      <c r="F26" s="97">
        <f t="shared" si="7"/>
        <v>1</v>
      </c>
      <c r="G26" s="33">
        <f t="shared" si="12"/>
        <v>620.69798459483491</v>
      </c>
      <c r="H26" s="33">
        <f t="shared" si="8"/>
        <v>2048.0352085081863</v>
      </c>
      <c r="I26" s="33">
        <f>'Capex Build'!F21</f>
        <v>254.66180211541035</v>
      </c>
      <c r="J26" s="33">
        <f t="shared" si="9"/>
        <v>1361.9262333854456</v>
      </c>
      <c r="K26" s="55">
        <f t="shared" si="10"/>
        <v>2.8556198896366958E-2</v>
      </c>
      <c r="L26" s="55">
        <f t="shared" si="11"/>
        <v>5.0810795884063245E-2</v>
      </c>
    </row>
    <row r="27" spans="1:12" x14ac:dyDescent="0.2">
      <c r="C27" s="5">
        <v>2025</v>
      </c>
      <c r="D27" s="33">
        <f>D26</f>
        <v>2017.3916101855061</v>
      </c>
      <c r="E27" s="55">
        <f>0</f>
        <v>0</v>
      </c>
      <c r="F27" s="97">
        <f t="shared" si="7"/>
        <v>1</v>
      </c>
      <c r="G27" s="33">
        <f t="shared" si="12"/>
        <v>720.18529056153648</v>
      </c>
      <c r="H27" s="33">
        <f t="shared" si="8"/>
        <v>2048.0352085081863</v>
      </c>
      <c r="I27" s="33">
        <f>'Capex Build'!G21</f>
        <v>427.17531882644533</v>
      </c>
      <c r="J27" s="33">
        <f t="shared" si="9"/>
        <v>1431.1161713901588</v>
      </c>
      <c r="K27" s="55">
        <f t="shared" si="10"/>
        <v>3.1211253026277364E-2</v>
      </c>
      <c r="L27" s="55">
        <f t="shared" si="11"/>
        <v>5.3254668280779772E-2</v>
      </c>
    </row>
    <row r="28" spans="1:12" x14ac:dyDescent="0.2">
      <c r="C28" s="5">
        <v>2026</v>
      </c>
      <c r="D28" s="33">
        <f>D27</f>
        <v>2017.3916101855061</v>
      </c>
      <c r="E28" s="55">
        <f>0</f>
        <v>0</v>
      </c>
      <c r="F28" s="97">
        <f t="shared" si="7"/>
        <v>1</v>
      </c>
      <c r="G28" s="33">
        <f t="shared" si="12"/>
        <v>967.31428674759763</v>
      </c>
      <c r="H28" s="33">
        <f t="shared" si="8"/>
        <v>2048.0352085081863</v>
      </c>
      <c r="I28" s="33">
        <f>'Capex Build'!H21</f>
        <v>782.18903256719409</v>
      </c>
      <c r="J28" s="33">
        <f t="shared" si="9"/>
        <v>1579.0019789100327</v>
      </c>
      <c r="K28" s="55">
        <f t="shared" si="10"/>
        <v>3.6886136330610331E-2</v>
      </c>
      <c r="L28" s="55">
        <f t="shared" si="11"/>
        <v>5.8436210485058454E-2</v>
      </c>
    </row>
    <row r="29" spans="1:12" x14ac:dyDescent="0.2">
      <c r="C29" s="5">
        <v>2027</v>
      </c>
      <c r="D29" s="33">
        <f>D28</f>
        <v>2017.3916101855061</v>
      </c>
      <c r="E29" s="55">
        <f>0</f>
        <v>0</v>
      </c>
      <c r="F29" s="97">
        <f t="shared" si="7"/>
        <v>1</v>
      </c>
      <c r="G29" s="33">
        <f t="shared" si="12"/>
        <v>1507.6747476278924</v>
      </c>
      <c r="H29" s="33">
        <f t="shared" si="8"/>
        <v>2048.0352085081863</v>
      </c>
      <c r="I29" s="33">
        <f>'Capex Build'!I21</f>
        <v>917.27914778726768</v>
      </c>
      <c r="J29" s="33">
        <f t="shared" si="9"/>
        <v>1830.7513392891478</v>
      </c>
      <c r="K29" s="55">
        <f t="shared" si="10"/>
        <v>4.654661873964705E-2</v>
      </c>
      <c r="L29" s="55">
        <f t="shared" si="11"/>
        <v>6.7127615399776214E-2</v>
      </c>
    </row>
    <row r="30" spans="1:12" x14ac:dyDescent="0.2">
      <c r="C30" s="5">
        <v>2028</v>
      </c>
      <c r="D30" s="33">
        <f>D29</f>
        <v>2017.3916101855061</v>
      </c>
      <c r="E30" s="55">
        <f>p_max</f>
        <v>0.5</v>
      </c>
      <c r="F30" s="97">
        <f t="shared" si="7"/>
        <v>1.6042613968131942</v>
      </c>
      <c r="G30" s="33">
        <f t="shared" si="12"/>
        <v>2048.0352085081868</v>
      </c>
      <c r="H30" s="33">
        <f t="shared" si="8"/>
        <v>4161.5021020639106</v>
      </c>
      <c r="I30" s="33">
        <f>delta_a*G30+(H30-G30)</f>
        <v>2625.4756956827705</v>
      </c>
      <c r="J30" s="33">
        <f t="shared" si="9"/>
        <v>2027.5548564231053</v>
      </c>
      <c r="K30" s="55">
        <f t="shared" si="10"/>
        <v>5.4098641562847272E-2</v>
      </c>
      <c r="L30" s="55">
        <f t="shared" si="11"/>
        <v>7.3811120398121391E-2</v>
      </c>
    </row>
    <row r="31" spans="1:12" x14ac:dyDescent="0.2">
      <c r="C31" s="5">
        <v>2029</v>
      </c>
      <c r="D31" s="33">
        <f>D30*exp_xi</f>
        <v>6621.2965496938132</v>
      </c>
      <c r="E31" s="55">
        <f>p_max</f>
        <v>0.5</v>
      </c>
      <c r="F31" s="97">
        <f t="shared" si="7"/>
        <v>1.6042613968131942</v>
      </c>
      <c r="G31" s="33">
        <f t="shared" si="12"/>
        <v>4161.5021020639106</v>
      </c>
      <c r="H31" s="33">
        <f t="shared" si="8"/>
        <v>13658.498117480318</v>
      </c>
      <c r="I31" s="33">
        <f>delta_a*G31+(H31-G31)</f>
        <v>10537.371540932385</v>
      </c>
      <c r="J31" s="33">
        <f t="shared" si="9"/>
        <v>5671.6845170777742</v>
      </c>
      <c r="K31" s="55">
        <f t="shared" si="10"/>
        <v>0.19393633739646798</v>
      </c>
      <c r="L31" s="55">
        <f t="shared" si="11"/>
        <v>0.18228936565588455</v>
      </c>
    </row>
    <row r="32" spans="1:12" x14ac:dyDescent="0.2">
      <c r="C32" s="5">
        <v>2030</v>
      </c>
      <c r="D32" s="33">
        <f>D31</f>
        <v>6621.2965496938132</v>
      </c>
      <c r="E32" s="55">
        <f>p_star</f>
        <v>3.5000000000000003E-2</v>
      </c>
      <c r="F32" s="97">
        <f t="shared" si="7"/>
        <v>1.0422982977769235</v>
      </c>
      <c r="G32" s="33">
        <f t="shared" si="12"/>
        <v>13658.498117480318</v>
      </c>
      <c r="H32" s="33">
        <f t="shared" si="8"/>
        <v>7152.8363683065727</v>
      </c>
      <c r="I32" s="33">
        <f>delta_a*G32+(H32-G32)</f>
        <v>-3091.0372198036657</v>
      </c>
      <c r="J32" s="33">
        <f t="shared" si="9"/>
        <v>8428.7468134347073</v>
      </c>
      <c r="K32" s="55">
        <f t="shared" si="10"/>
        <v>0.29973423008809141</v>
      </c>
      <c r="L32" s="55">
        <f t="shared" si="11"/>
        <v>0.24885071330868475</v>
      </c>
    </row>
    <row r="33" spans="1:12" x14ac:dyDescent="0.2">
      <c r="C33" s="5">
        <v>2031</v>
      </c>
      <c r="D33" s="33">
        <f>D32</f>
        <v>6621.2965496938132</v>
      </c>
      <c r="E33" s="55">
        <f>p_star</f>
        <v>3.5000000000000003E-2</v>
      </c>
      <c r="F33" s="97">
        <f t="shared" si="7"/>
        <v>1.0422982977769235</v>
      </c>
      <c r="G33" s="33">
        <f t="shared" si="12"/>
        <v>7152.8363683065727</v>
      </c>
      <c r="H33" s="33">
        <f t="shared" si="8"/>
        <v>7152.8363683065727</v>
      </c>
      <c r="I33" s="33">
        <f>delta_a*G33+(H33-G33)</f>
        <v>1788.2090920766432</v>
      </c>
      <c r="J33" s="33">
        <f t="shared" si="9"/>
        <v>6793.936073508853</v>
      </c>
      <c r="K33" s="55">
        <f t="shared" si="10"/>
        <v>0.23700096088981093</v>
      </c>
      <c r="L33" s="55">
        <f t="shared" si="11"/>
        <v>0.21075692688494063</v>
      </c>
    </row>
    <row r="34" spans="1:12" x14ac:dyDescent="0.2">
      <c r="C34" s="5">
        <v>2032</v>
      </c>
      <c r="D34" s="33">
        <f>D33</f>
        <v>6621.2965496938132</v>
      </c>
      <c r="E34" s="55">
        <f>p_star</f>
        <v>3.5000000000000003E-2</v>
      </c>
      <c r="F34" s="97">
        <f t="shared" si="7"/>
        <v>1.0422982977769235</v>
      </c>
      <c r="G34" s="33">
        <f t="shared" si="12"/>
        <v>7152.8363683065727</v>
      </c>
      <c r="H34" s="33">
        <f t="shared" si="8"/>
        <v>7152.8363683065727</v>
      </c>
      <c r="I34" s="33">
        <f>delta_a*G34+(H34-G34)</f>
        <v>1788.2090920766432</v>
      </c>
      <c r="J34" s="33">
        <f t="shared" si="9"/>
        <v>6793.936073508853</v>
      </c>
      <c r="K34" s="55">
        <f t="shared" si="10"/>
        <v>0.23700096088981093</v>
      </c>
      <c r="L34" s="55">
        <f t="shared" si="11"/>
        <v>0.21075692688494063</v>
      </c>
    </row>
    <row r="38" spans="1:12" x14ac:dyDescent="0.2">
      <c r="A38" t="s">
        <v>2</v>
      </c>
      <c r="C38" s="95" t="s">
        <v>209</v>
      </c>
      <c r="D38" s="14"/>
      <c r="E38" s="14"/>
      <c r="F38" s="14"/>
      <c r="G38" s="14"/>
      <c r="H38" s="14"/>
      <c r="I38" s="14"/>
      <c r="J38" s="14"/>
      <c r="K38" s="14"/>
      <c r="L38" s="14"/>
    </row>
    <row r="39" spans="1:12" ht="17" x14ac:dyDescent="0.3">
      <c r="C39" s="120" t="s">
        <v>77</v>
      </c>
      <c r="D39" s="120" t="s">
        <v>200</v>
      </c>
      <c r="E39" s="120" t="s">
        <v>201</v>
      </c>
      <c r="F39" s="120" t="s">
        <v>202</v>
      </c>
      <c r="G39" s="120" t="s">
        <v>203</v>
      </c>
      <c r="H39" s="120" t="s">
        <v>204</v>
      </c>
      <c r="I39" s="120" t="s">
        <v>205</v>
      </c>
      <c r="J39" s="120" t="s">
        <v>206</v>
      </c>
      <c r="K39" s="120" t="s">
        <v>148</v>
      </c>
      <c r="L39" s="120" t="s">
        <v>207</v>
      </c>
    </row>
    <row r="40" spans="1:12" x14ac:dyDescent="0.2">
      <c r="C40" s="5">
        <v>2022</v>
      </c>
      <c r="D40" s="33">
        <f>z0</f>
        <v>614.66343914698564</v>
      </c>
      <c r="E40" s="55">
        <f>0</f>
        <v>0</v>
      </c>
      <c r="F40" s="97">
        <f t="shared" ref="F40:F50" si="13">1+E40*(exp_xi^(1-alpha)-1)</f>
        <v>1</v>
      </c>
      <c r="G40" s="33">
        <f>K0</f>
        <v>624</v>
      </c>
      <c r="H40" s="33">
        <f t="shared" ref="H40:H50" si="14">D40*(alpha*F40/(r_a+delta_a))^(1/(1-alpha))</f>
        <v>623.99999999999989</v>
      </c>
      <c r="I40" s="33">
        <f>'Capex Build'!D21</f>
        <v>156</v>
      </c>
      <c r="J40" s="33">
        <f t="shared" ref="J40:J50" si="15">D40^(1-alpha)*G40^alpha</f>
        <v>617.76000000000033</v>
      </c>
      <c r="K40" s="55">
        <f t="shared" ref="K40:K50" si="16">(J40+Yn0)/GDP_0-1</f>
        <v>0</v>
      </c>
      <c r="L40" s="55">
        <f t="shared" ref="L40:L50" si="17">J40/(J40+Yn0)</f>
        <v>2.370556018104425E-2</v>
      </c>
    </row>
    <row r="41" spans="1:12" x14ac:dyDescent="0.2">
      <c r="C41" s="5">
        <v>2023</v>
      </c>
      <c r="D41" s="33">
        <f>D40</f>
        <v>614.66343914698564</v>
      </c>
      <c r="E41" s="55">
        <f>0</f>
        <v>0</v>
      </c>
      <c r="F41" s="97">
        <f t="shared" si="13"/>
        <v>1</v>
      </c>
      <c r="G41" s="33">
        <f t="shared" ref="G41:G50" si="18">G40*(1-delta_a)+I40</f>
        <v>624</v>
      </c>
      <c r="H41" s="33">
        <f t="shared" si="14"/>
        <v>623.99999999999989</v>
      </c>
      <c r="I41" s="33">
        <f>'Capex Build'!E21</f>
        <v>152.69798459483496</v>
      </c>
      <c r="J41" s="33">
        <f t="shared" si="15"/>
        <v>617.76000000000033</v>
      </c>
      <c r="K41" s="55">
        <f t="shared" si="16"/>
        <v>0</v>
      </c>
      <c r="L41" s="55">
        <f t="shared" si="17"/>
        <v>2.370556018104425E-2</v>
      </c>
    </row>
    <row r="42" spans="1:12" x14ac:dyDescent="0.2">
      <c r="C42" s="5">
        <v>2024</v>
      </c>
      <c r="D42" s="33">
        <f>D41*exp_xi</f>
        <v>2017.3916101855061</v>
      </c>
      <c r="E42" s="55">
        <f>0</f>
        <v>0</v>
      </c>
      <c r="F42" s="97">
        <f t="shared" si="13"/>
        <v>1</v>
      </c>
      <c r="G42" s="33">
        <f t="shared" si="18"/>
        <v>620.69798459483491</v>
      </c>
      <c r="H42" s="33">
        <f t="shared" si="14"/>
        <v>2048.0352085081863</v>
      </c>
      <c r="I42" s="33">
        <f>'Capex Build'!F21</f>
        <v>254.66180211541035</v>
      </c>
      <c r="J42" s="33">
        <f t="shared" si="15"/>
        <v>1361.9262333854456</v>
      </c>
      <c r="K42" s="55">
        <f t="shared" si="16"/>
        <v>2.8556198896366958E-2</v>
      </c>
      <c r="L42" s="55">
        <f t="shared" si="17"/>
        <v>5.0810795884063245E-2</v>
      </c>
    </row>
    <row r="43" spans="1:12" x14ac:dyDescent="0.2">
      <c r="C43" s="5">
        <v>2025</v>
      </c>
      <c r="D43" s="33">
        <f>D42</f>
        <v>2017.3916101855061</v>
      </c>
      <c r="E43" s="55">
        <f>0</f>
        <v>0</v>
      </c>
      <c r="F43" s="97">
        <f t="shared" si="13"/>
        <v>1</v>
      </c>
      <c r="G43" s="33">
        <f t="shared" si="18"/>
        <v>720.18529056153648</v>
      </c>
      <c r="H43" s="33">
        <f t="shared" si="14"/>
        <v>2048.0352085081863</v>
      </c>
      <c r="I43" s="33">
        <f>'Capex Build'!G21</f>
        <v>427.17531882644533</v>
      </c>
      <c r="J43" s="33">
        <f t="shared" si="15"/>
        <v>1431.1161713901588</v>
      </c>
      <c r="K43" s="55">
        <f t="shared" si="16"/>
        <v>3.1211253026277364E-2</v>
      </c>
      <c r="L43" s="55">
        <f t="shared" si="17"/>
        <v>5.3254668280779772E-2</v>
      </c>
    </row>
    <row r="44" spans="1:12" x14ac:dyDescent="0.2">
      <c r="C44" s="5">
        <v>2026</v>
      </c>
      <c r="D44" s="33">
        <f>D43</f>
        <v>2017.3916101855061</v>
      </c>
      <c r="E44" s="55">
        <f>0</f>
        <v>0</v>
      </c>
      <c r="F44" s="97">
        <f t="shared" si="13"/>
        <v>1</v>
      </c>
      <c r="G44" s="33">
        <f t="shared" si="18"/>
        <v>967.31428674759763</v>
      </c>
      <c r="H44" s="33">
        <f t="shared" si="14"/>
        <v>2048.0352085081863</v>
      </c>
      <c r="I44" s="33">
        <f>'Capex Build'!H21</f>
        <v>782.18903256719409</v>
      </c>
      <c r="J44" s="33">
        <f t="shared" si="15"/>
        <v>1579.0019789100327</v>
      </c>
      <c r="K44" s="55">
        <f t="shared" si="16"/>
        <v>3.6886136330610331E-2</v>
      </c>
      <c r="L44" s="55">
        <f t="shared" si="17"/>
        <v>5.8436210485058454E-2</v>
      </c>
    </row>
    <row r="45" spans="1:12" x14ac:dyDescent="0.2">
      <c r="C45" s="5">
        <v>2027</v>
      </c>
      <c r="D45" s="33">
        <f>D44</f>
        <v>2017.3916101855061</v>
      </c>
      <c r="E45" s="55">
        <f>0</f>
        <v>0</v>
      </c>
      <c r="F45" s="97">
        <f t="shared" si="13"/>
        <v>1</v>
      </c>
      <c r="G45" s="33">
        <f t="shared" si="18"/>
        <v>1507.6747476278924</v>
      </c>
      <c r="H45" s="33">
        <f t="shared" si="14"/>
        <v>2048.0352085081863</v>
      </c>
      <c r="I45" s="33">
        <f>'Capex Build'!I21</f>
        <v>917.27914778726768</v>
      </c>
      <c r="J45" s="33">
        <f t="shared" si="15"/>
        <v>1830.7513392891478</v>
      </c>
      <c r="K45" s="55">
        <f t="shared" si="16"/>
        <v>4.654661873964705E-2</v>
      </c>
      <c r="L45" s="55">
        <f t="shared" si="17"/>
        <v>6.7127615399776214E-2</v>
      </c>
    </row>
    <row r="46" spans="1:12" x14ac:dyDescent="0.2">
      <c r="C46" s="5">
        <v>2028</v>
      </c>
      <c r="D46" s="33">
        <f>D45</f>
        <v>2017.3916101855061</v>
      </c>
      <c r="E46" s="55">
        <f>p_max</f>
        <v>0.5</v>
      </c>
      <c r="F46" s="97">
        <f t="shared" si="13"/>
        <v>1.6042613968131942</v>
      </c>
      <c r="G46" s="33">
        <f t="shared" si="18"/>
        <v>2048.0352085081868</v>
      </c>
      <c r="H46" s="33">
        <f t="shared" si="14"/>
        <v>4161.5021020639106</v>
      </c>
      <c r="I46" s="33">
        <f>delta_a*G46+(H46-G46)</f>
        <v>2625.4756956827705</v>
      </c>
      <c r="J46" s="33">
        <f t="shared" si="15"/>
        <v>2027.5548564231053</v>
      </c>
      <c r="K46" s="55">
        <f t="shared" si="16"/>
        <v>5.4098641562847272E-2</v>
      </c>
      <c r="L46" s="55">
        <f t="shared" si="17"/>
        <v>7.3811120398121391E-2</v>
      </c>
    </row>
    <row r="47" spans="1:12" x14ac:dyDescent="0.2">
      <c r="C47" s="5">
        <v>2029</v>
      </c>
      <c r="D47" s="33">
        <f>D46</f>
        <v>2017.3916101855061</v>
      </c>
      <c r="E47" s="55">
        <f>p_max</f>
        <v>0.5</v>
      </c>
      <c r="F47" s="97">
        <f t="shared" si="13"/>
        <v>1.6042613968131942</v>
      </c>
      <c r="G47" s="33">
        <f t="shared" si="18"/>
        <v>4161.5021020639106</v>
      </c>
      <c r="H47" s="33">
        <f t="shared" si="14"/>
        <v>4161.5021020639106</v>
      </c>
      <c r="I47" s="33">
        <f>delta_a*G47+(H47-G47)</f>
        <v>1040.3755255159776</v>
      </c>
      <c r="J47" s="33">
        <f t="shared" si="15"/>
        <v>2568.089645008773</v>
      </c>
      <c r="K47" s="55">
        <f t="shared" si="16"/>
        <v>7.484080674150162E-2</v>
      </c>
      <c r="L47" s="55">
        <f t="shared" si="17"/>
        <v>9.168461627475806E-2</v>
      </c>
    </row>
    <row r="48" spans="1:12" x14ac:dyDescent="0.2">
      <c r="C48" s="5">
        <v>2030</v>
      </c>
      <c r="D48" s="33">
        <f>D47*exp_xi</f>
        <v>6621.2965496938132</v>
      </c>
      <c r="E48" s="55">
        <f>p_star</f>
        <v>3.5000000000000003E-2</v>
      </c>
      <c r="F48" s="97">
        <f t="shared" si="13"/>
        <v>1.0422982977769235</v>
      </c>
      <c r="G48" s="33">
        <f t="shared" si="18"/>
        <v>4161.5021020639106</v>
      </c>
      <c r="H48" s="33">
        <f t="shared" si="14"/>
        <v>7152.8363683065727</v>
      </c>
      <c r="I48" s="33">
        <f>delta_a*G48+(H48-G48)</f>
        <v>4031.7097917586398</v>
      </c>
      <c r="J48" s="33">
        <f t="shared" si="15"/>
        <v>5671.6845170777742</v>
      </c>
      <c r="K48" s="55">
        <f t="shared" si="16"/>
        <v>0.19393633739646798</v>
      </c>
      <c r="L48" s="55">
        <f t="shared" si="17"/>
        <v>0.18228936565588455</v>
      </c>
    </row>
    <row r="49" spans="1:12" x14ac:dyDescent="0.2">
      <c r="C49" s="5">
        <v>2031</v>
      </c>
      <c r="D49" s="33">
        <f>D48</f>
        <v>6621.2965496938132</v>
      </c>
      <c r="E49" s="55">
        <f>p_star</f>
        <v>3.5000000000000003E-2</v>
      </c>
      <c r="F49" s="97">
        <f t="shared" si="13"/>
        <v>1.0422982977769235</v>
      </c>
      <c r="G49" s="33">
        <f t="shared" si="18"/>
        <v>7152.8363683065727</v>
      </c>
      <c r="H49" s="33">
        <f t="shared" si="14"/>
        <v>7152.8363683065727</v>
      </c>
      <c r="I49" s="33">
        <f>delta_a*G49+(H49-G49)</f>
        <v>1788.2090920766432</v>
      </c>
      <c r="J49" s="33">
        <f t="shared" si="15"/>
        <v>6793.936073508853</v>
      </c>
      <c r="K49" s="55">
        <f t="shared" si="16"/>
        <v>0.23700096088981093</v>
      </c>
      <c r="L49" s="55">
        <f t="shared" si="17"/>
        <v>0.21075692688494063</v>
      </c>
    </row>
    <row r="50" spans="1:12" x14ac:dyDescent="0.2">
      <c r="C50" s="5">
        <v>2032</v>
      </c>
      <c r="D50" s="33">
        <f>D49</f>
        <v>6621.2965496938132</v>
      </c>
      <c r="E50" s="55">
        <f>p_star</f>
        <v>3.5000000000000003E-2</v>
      </c>
      <c r="F50" s="97">
        <f t="shared" si="13"/>
        <v>1.0422982977769235</v>
      </c>
      <c r="G50" s="33">
        <f t="shared" si="18"/>
        <v>7152.8363683065727</v>
      </c>
      <c r="H50" s="33">
        <f t="shared" si="14"/>
        <v>7152.8363683065727</v>
      </c>
      <c r="I50" s="33">
        <f>delta_a*G50+(H50-G50)</f>
        <v>1788.2090920766432</v>
      </c>
      <c r="J50" s="33">
        <f t="shared" si="15"/>
        <v>6793.936073508853</v>
      </c>
      <c r="K50" s="55">
        <f t="shared" si="16"/>
        <v>0.23700096088981093</v>
      </c>
      <c r="L50" s="55">
        <f t="shared" si="17"/>
        <v>0.21075692688494063</v>
      </c>
    </row>
    <row r="54" spans="1:12" x14ac:dyDescent="0.2">
      <c r="A54" t="s">
        <v>2</v>
      </c>
      <c r="C54" s="95" t="s">
        <v>210</v>
      </c>
      <c r="D54" s="14"/>
      <c r="E54" s="14"/>
      <c r="F54" s="14"/>
      <c r="G54" s="14"/>
      <c r="H54" s="14"/>
      <c r="I54" s="14"/>
      <c r="J54" s="14"/>
      <c r="K54" s="14"/>
      <c r="L54" s="14"/>
    </row>
    <row r="55" spans="1:12" ht="17" x14ac:dyDescent="0.3">
      <c r="C55" s="120" t="s">
        <v>77</v>
      </c>
      <c r="D55" s="120" t="s">
        <v>200</v>
      </c>
      <c r="E55" s="120" t="s">
        <v>201</v>
      </c>
      <c r="F55" s="120" t="s">
        <v>202</v>
      </c>
      <c r="G55" s="120" t="s">
        <v>203</v>
      </c>
      <c r="H55" s="120" t="s">
        <v>204</v>
      </c>
      <c r="I55" s="120" t="s">
        <v>205</v>
      </c>
      <c r="J55" s="120" t="s">
        <v>206</v>
      </c>
      <c r="K55" s="120" t="s">
        <v>148</v>
      </c>
      <c r="L55" s="120" t="s">
        <v>207</v>
      </c>
    </row>
    <row r="56" spans="1:12" x14ac:dyDescent="0.2">
      <c r="C56" s="5">
        <v>2022</v>
      </c>
      <c r="D56" s="33">
        <f>z0</f>
        <v>614.66343914698564</v>
      </c>
      <c r="E56" s="55">
        <f>0</f>
        <v>0</v>
      </c>
      <c r="F56" s="97">
        <f t="shared" ref="F56:F66" si="19">1+E56*(exp_xi^(1-alpha)-1)</f>
        <v>1</v>
      </c>
      <c r="G56" s="33">
        <f>K0</f>
        <v>624</v>
      </c>
      <c r="H56" s="33">
        <f t="shared" ref="H56:H66" si="20">D56*(alpha*F56/(r_a+delta_a))^(1/(1-alpha))</f>
        <v>623.99999999999989</v>
      </c>
      <c r="I56" s="33">
        <f>'Capex Build'!D21</f>
        <v>156</v>
      </c>
      <c r="J56" s="33">
        <f t="shared" ref="J56:J66" si="21">D56^(1-alpha)*G56^alpha</f>
        <v>617.76000000000033</v>
      </c>
      <c r="K56" s="55">
        <f t="shared" ref="K56:K66" si="22">(J56+Yn0)/GDP_0-1</f>
        <v>0</v>
      </c>
      <c r="L56" s="55">
        <f t="shared" ref="L56:L66" si="23">J56/(J56+Yn0)</f>
        <v>2.370556018104425E-2</v>
      </c>
    </row>
    <row r="57" spans="1:12" x14ac:dyDescent="0.2">
      <c r="C57" s="5">
        <v>2023</v>
      </c>
      <c r="D57" s="33">
        <f>D56</f>
        <v>614.66343914698564</v>
      </c>
      <c r="E57" s="55">
        <f>0</f>
        <v>0</v>
      </c>
      <c r="F57" s="97">
        <f t="shared" si="19"/>
        <v>1</v>
      </c>
      <c r="G57" s="33">
        <f t="shared" ref="G57:G66" si="24">G56*(1-delta_a)+I56</f>
        <v>624</v>
      </c>
      <c r="H57" s="33">
        <f t="shared" si="20"/>
        <v>623.99999999999989</v>
      </c>
      <c r="I57" s="33">
        <f>'Capex Build'!E21</f>
        <v>152.69798459483496</v>
      </c>
      <c r="J57" s="33">
        <f t="shared" si="21"/>
        <v>617.76000000000033</v>
      </c>
      <c r="K57" s="55">
        <f t="shared" si="22"/>
        <v>0</v>
      </c>
      <c r="L57" s="55">
        <f t="shared" si="23"/>
        <v>2.370556018104425E-2</v>
      </c>
    </row>
    <row r="58" spans="1:12" x14ac:dyDescent="0.2">
      <c r="C58" s="5">
        <v>2024</v>
      </c>
      <c r="D58" s="33">
        <f>D57*exp_xi</f>
        <v>2017.3916101855061</v>
      </c>
      <c r="E58" s="55">
        <f>0</f>
        <v>0</v>
      </c>
      <c r="F58" s="97">
        <f t="shared" si="19"/>
        <v>1</v>
      </c>
      <c r="G58" s="33">
        <f t="shared" si="24"/>
        <v>620.69798459483491</v>
      </c>
      <c r="H58" s="33">
        <f t="shared" si="20"/>
        <v>2048.0352085081863</v>
      </c>
      <c r="I58" s="33">
        <f>'Capex Build'!F21</f>
        <v>254.66180211541035</v>
      </c>
      <c r="J58" s="33">
        <f t="shared" si="21"/>
        <v>1361.9262333854456</v>
      </c>
      <c r="K58" s="55">
        <f t="shared" si="22"/>
        <v>2.8556198896366958E-2</v>
      </c>
      <c r="L58" s="55">
        <f t="shared" si="23"/>
        <v>5.0810795884063245E-2</v>
      </c>
    </row>
    <row r="59" spans="1:12" x14ac:dyDescent="0.2">
      <c r="C59" s="5">
        <v>2025</v>
      </c>
      <c r="D59" s="33">
        <f>D58</f>
        <v>2017.3916101855061</v>
      </c>
      <c r="E59" s="55">
        <f>0</f>
        <v>0</v>
      </c>
      <c r="F59" s="97">
        <f t="shared" si="19"/>
        <v>1</v>
      </c>
      <c r="G59" s="33">
        <f t="shared" si="24"/>
        <v>720.18529056153648</v>
      </c>
      <c r="H59" s="33">
        <f t="shared" si="20"/>
        <v>2048.0352085081863</v>
      </c>
      <c r="I59" s="33">
        <f>'Capex Build'!G21</f>
        <v>427.17531882644533</v>
      </c>
      <c r="J59" s="33">
        <f t="shared" si="21"/>
        <v>1431.1161713901588</v>
      </c>
      <c r="K59" s="55">
        <f t="shared" si="22"/>
        <v>3.1211253026277364E-2</v>
      </c>
      <c r="L59" s="55">
        <f t="shared" si="23"/>
        <v>5.3254668280779772E-2</v>
      </c>
    </row>
    <row r="60" spans="1:12" x14ac:dyDescent="0.2">
      <c r="C60" s="5">
        <v>2026</v>
      </c>
      <c r="D60" s="33">
        <f>D59</f>
        <v>2017.3916101855061</v>
      </c>
      <c r="E60" s="55">
        <f>0</f>
        <v>0</v>
      </c>
      <c r="F60" s="97">
        <f t="shared" si="19"/>
        <v>1</v>
      </c>
      <c r="G60" s="33">
        <f t="shared" si="24"/>
        <v>967.31428674759763</v>
      </c>
      <c r="H60" s="33">
        <f t="shared" si="20"/>
        <v>2048.0352085081863</v>
      </c>
      <c r="I60" s="33">
        <f>'Capex Build'!H21</f>
        <v>782.18903256719409</v>
      </c>
      <c r="J60" s="33">
        <f t="shared" si="21"/>
        <v>1579.0019789100327</v>
      </c>
      <c r="K60" s="55">
        <f t="shared" si="22"/>
        <v>3.6886136330610331E-2</v>
      </c>
      <c r="L60" s="55">
        <f t="shared" si="23"/>
        <v>5.8436210485058454E-2</v>
      </c>
    </row>
    <row r="61" spans="1:12" x14ac:dyDescent="0.2">
      <c r="C61" s="5">
        <v>2027</v>
      </c>
      <c r="D61" s="33">
        <f>D60</f>
        <v>2017.3916101855061</v>
      </c>
      <c r="E61" s="55">
        <f>0</f>
        <v>0</v>
      </c>
      <c r="F61" s="97">
        <f t="shared" si="19"/>
        <v>1</v>
      </c>
      <c r="G61" s="33">
        <f t="shared" si="24"/>
        <v>1507.6747476278924</v>
      </c>
      <c r="H61" s="33">
        <f t="shared" si="20"/>
        <v>2048.0352085081863</v>
      </c>
      <c r="I61" s="33">
        <f>'Capex Build'!I21</f>
        <v>917.27914778726768</v>
      </c>
      <c r="J61" s="33">
        <f t="shared" si="21"/>
        <v>1830.7513392891478</v>
      </c>
      <c r="K61" s="55">
        <f t="shared" si="22"/>
        <v>4.654661873964705E-2</v>
      </c>
      <c r="L61" s="55">
        <f t="shared" si="23"/>
        <v>6.7127615399776214E-2</v>
      </c>
    </row>
    <row r="62" spans="1:12" x14ac:dyDescent="0.2">
      <c r="C62" s="5">
        <v>2028</v>
      </c>
      <c r="D62" s="33">
        <f>D61</f>
        <v>2017.3916101855061</v>
      </c>
      <c r="E62" s="55">
        <f>p_max</f>
        <v>0.5</v>
      </c>
      <c r="F62" s="97">
        <f t="shared" si="19"/>
        <v>1.6042613968131942</v>
      </c>
      <c r="G62" s="33">
        <f t="shared" si="24"/>
        <v>2048.0352085081868</v>
      </c>
      <c r="H62" s="33">
        <f t="shared" si="20"/>
        <v>4161.5021020639106</v>
      </c>
      <c r="I62" s="33">
        <f>delta_a*G62+(H62-G62)</f>
        <v>2625.4756956827705</v>
      </c>
      <c r="J62" s="33">
        <f t="shared" si="21"/>
        <v>2027.5548564231053</v>
      </c>
      <c r="K62" s="55">
        <f t="shared" si="22"/>
        <v>5.4098641562847272E-2</v>
      </c>
      <c r="L62" s="55">
        <f t="shared" si="23"/>
        <v>7.3811120398121391E-2</v>
      </c>
    </row>
    <row r="63" spans="1:12" x14ac:dyDescent="0.2">
      <c r="C63" s="5">
        <v>2029</v>
      </c>
      <c r="D63" s="33">
        <f>D62*exp_xi</f>
        <v>6621.2965496938132</v>
      </c>
      <c r="E63" s="55">
        <f>p_max</f>
        <v>0.5</v>
      </c>
      <c r="F63" s="97">
        <f t="shared" si="19"/>
        <v>1.6042613968131942</v>
      </c>
      <c r="G63" s="33">
        <f t="shared" si="24"/>
        <v>4161.5021020639106</v>
      </c>
      <c r="H63" s="33">
        <f t="shared" si="20"/>
        <v>13658.498117480318</v>
      </c>
      <c r="I63" s="33">
        <f>delta_a*G63+(H63-G63)</f>
        <v>10537.371540932385</v>
      </c>
      <c r="J63" s="33">
        <f t="shared" si="21"/>
        <v>5671.6845170777742</v>
      </c>
      <c r="K63" s="55">
        <f t="shared" si="22"/>
        <v>0.19393633739646798</v>
      </c>
      <c r="L63" s="55">
        <f t="shared" si="23"/>
        <v>0.18228936565588455</v>
      </c>
    </row>
    <row r="64" spans="1:12" x14ac:dyDescent="0.2">
      <c r="C64" s="5">
        <v>2030</v>
      </c>
      <c r="D64" s="33">
        <f>D63*exp_xi</f>
        <v>21731.808429081259</v>
      </c>
      <c r="E64" s="55">
        <f>p_star</f>
        <v>3.5000000000000003E-2</v>
      </c>
      <c r="F64" s="97">
        <f t="shared" si="19"/>
        <v>1.0422982977769235</v>
      </c>
      <c r="G64" s="33">
        <f t="shared" si="24"/>
        <v>13658.498117480318</v>
      </c>
      <c r="H64" s="33">
        <f t="shared" si="20"/>
        <v>23476.379363765529</v>
      </c>
      <c r="I64" s="33">
        <f>delta_a*G64+(H64-G64)</f>
        <v>13232.505775655291</v>
      </c>
      <c r="J64" s="33">
        <f t="shared" si="21"/>
        <v>18615.079459176333</v>
      </c>
      <c r="K64" s="55">
        <f t="shared" si="22"/>
        <v>0.69061858899408035</v>
      </c>
      <c r="L64" s="55">
        <f t="shared" si="23"/>
        <v>0.42252235591479459</v>
      </c>
    </row>
    <row r="65" spans="1:12" x14ac:dyDescent="0.2">
      <c r="C65" s="5">
        <v>2031</v>
      </c>
      <c r="D65" s="33">
        <f>D64</f>
        <v>21731.808429081259</v>
      </c>
      <c r="E65" s="55">
        <f>p_star</f>
        <v>3.5000000000000003E-2</v>
      </c>
      <c r="F65" s="97">
        <f t="shared" si="19"/>
        <v>1.0422982977769235</v>
      </c>
      <c r="G65" s="33">
        <f t="shared" si="24"/>
        <v>23476.379363765529</v>
      </c>
      <c r="H65" s="33">
        <f t="shared" si="20"/>
        <v>23476.379363765529</v>
      </c>
      <c r="I65" s="33">
        <f>delta_a*G65+(H65-G65)</f>
        <v>5869.0948409413822</v>
      </c>
      <c r="J65" s="33">
        <f t="shared" si="21"/>
        <v>22298.429940544851</v>
      </c>
      <c r="K65" s="55">
        <f t="shared" si="22"/>
        <v>0.83196132161509762</v>
      </c>
      <c r="L65" s="55">
        <f t="shared" si="23"/>
        <v>0.46707693645069265</v>
      </c>
    </row>
    <row r="66" spans="1:12" x14ac:dyDescent="0.2">
      <c r="C66" s="5">
        <v>2032</v>
      </c>
      <c r="D66" s="33">
        <f>D65</f>
        <v>21731.808429081259</v>
      </c>
      <c r="E66" s="55">
        <f>p_star</f>
        <v>3.5000000000000003E-2</v>
      </c>
      <c r="F66" s="97">
        <f t="shared" si="19"/>
        <v>1.0422982977769235</v>
      </c>
      <c r="G66" s="33">
        <f t="shared" si="24"/>
        <v>23476.379363765529</v>
      </c>
      <c r="H66" s="33">
        <f t="shared" si="20"/>
        <v>23476.379363765529</v>
      </c>
      <c r="I66" s="33">
        <f>delta_a*G66+(H66-G66)</f>
        <v>5869.0948409413822</v>
      </c>
      <c r="J66" s="33">
        <f t="shared" si="21"/>
        <v>22298.429940544851</v>
      </c>
      <c r="K66" s="55">
        <f t="shared" si="22"/>
        <v>0.83196132161509762</v>
      </c>
      <c r="L66" s="55">
        <f t="shared" si="23"/>
        <v>0.46707693645069265</v>
      </c>
    </row>
    <row r="70" spans="1:12" x14ac:dyDescent="0.2">
      <c r="A70" t="s">
        <v>2</v>
      </c>
      <c r="C70" s="95" t="s">
        <v>211</v>
      </c>
      <c r="D70" s="14"/>
      <c r="E70" s="14"/>
      <c r="F70" s="14"/>
      <c r="G70" s="14"/>
      <c r="H70" s="14"/>
      <c r="I70" s="14"/>
      <c r="J70" s="14"/>
      <c r="K70" s="14"/>
      <c r="L70" s="14"/>
    </row>
    <row r="71" spans="1:12" ht="17" x14ac:dyDescent="0.3">
      <c r="C71" s="120" t="s">
        <v>77</v>
      </c>
      <c r="D71" s="120" t="s">
        <v>200</v>
      </c>
      <c r="E71" s="120" t="s">
        <v>201</v>
      </c>
      <c r="F71" s="120" t="s">
        <v>202</v>
      </c>
      <c r="G71" s="120" t="s">
        <v>203</v>
      </c>
      <c r="H71" s="120" t="s">
        <v>204</v>
      </c>
      <c r="I71" s="120" t="s">
        <v>205</v>
      </c>
      <c r="J71" s="120" t="s">
        <v>206</v>
      </c>
      <c r="K71" s="120" t="s">
        <v>148</v>
      </c>
      <c r="L71" s="120" t="s">
        <v>207</v>
      </c>
    </row>
    <row r="72" spans="1:12" x14ac:dyDescent="0.2">
      <c r="C72" s="5">
        <v>2022</v>
      </c>
      <c r="D72" s="33">
        <f>z0</f>
        <v>614.66343914698564</v>
      </c>
      <c r="E72" s="55">
        <f>0</f>
        <v>0</v>
      </c>
      <c r="F72" s="97">
        <f t="shared" ref="F72:F82" si="25">1+E72*(exp_xi^(1-alpha)-1)</f>
        <v>1</v>
      </c>
      <c r="G72" s="33">
        <f>K0</f>
        <v>624</v>
      </c>
      <c r="H72" s="33">
        <f t="shared" ref="H72:H82" si="26">D72*(alpha*F72/(r_a+delta_a))^(1/(1-alpha))</f>
        <v>623.99999999999989</v>
      </c>
      <c r="I72" s="33">
        <f>'Capex Build'!D21</f>
        <v>156</v>
      </c>
      <c r="J72" s="33">
        <f t="shared" ref="J72:J82" si="27">D72^(1-alpha)*G72^alpha</f>
        <v>617.76000000000033</v>
      </c>
      <c r="K72" s="55">
        <f t="shared" ref="K72:K82" si="28">(J72+Yn0)/GDP_0-1</f>
        <v>0</v>
      </c>
      <c r="L72" s="55">
        <f t="shared" ref="L72:L82" si="29">J72/(J72+Yn0)</f>
        <v>2.370556018104425E-2</v>
      </c>
    </row>
    <row r="73" spans="1:12" x14ac:dyDescent="0.2">
      <c r="C73" s="5">
        <v>2023</v>
      </c>
      <c r="D73" s="33">
        <f>D72</f>
        <v>614.66343914698564</v>
      </c>
      <c r="E73" s="55">
        <f>0</f>
        <v>0</v>
      </c>
      <c r="F73" s="97">
        <f t="shared" si="25"/>
        <v>1</v>
      </c>
      <c r="G73" s="33">
        <f t="shared" ref="G73:G82" si="30">G72*(1-delta_a)+I72</f>
        <v>624</v>
      </c>
      <c r="H73" s="33">
        <f t="shared" si="26"/>
        <v>623.99999999999989</v>
      </c>
      <c r="I73" s="33">
        <f>'Capex Build'!E21</f>
        <v>152.69798459483496</v>
      </c>
      <c r="J73" s="33">
        <f t="shared" si="27"/>
        <v>617.76000000000033</v>
      </c>
      <c r="K73" s="55">
        <f t="shared" si="28"/>
        <v>0</v>
      </c>
      <c r="L73" s="55">
        <f t="shared" si="29"/>
        <v>2.370556018104425E-2</v>
      </c>
    </row>
    <row r="74" spans="1:12" x14ac:dyDescent="0.2">
      <c r="C74" s="5">
        <v>2024</v>
      </c>
      <c r="D74" s="33">
        <f>D73*exp_xi</f>
        <v>2017.3916101855061</v>
      </c>
      <c r="E74" s="55">
        <f>0</f>
        <v>0</v>
      </c>
      <c r="F74" s="97">
        <f t="shared" si="25"/>
        <v>1</v>
      </c>
      <c r="G74" s="33">
        <f t="shared" si="30"/>
        <v>620.69798459483491</v>
      </c>
      <c r="H74" s="33">
        <f t="shared" si="26"/>
        <v>2048.0352085081863</v>
      </c>
      <c r="I74" s="33">
        <f>'Capex Build'!F21</f>
        <v>254.66180211541035</v>
      </c>
      <c r="J74" s="33">
        <f t="shared" si="27"/>
        <v>1361.9262333854456</v>
      </c>
      <c r="K74" s="55">
        <f t="shared" si="28"/>
        <v>2.8556198896366958E-2</v>
      </c>
      <c r="L74" s="55">
        <f t="shared" si="29"/>
        <v>5.0810795884063245E-2</v>
      </c>
    </row>
    <row r="75" spans="1:12" x14ac:dyDescent="0.2">
      <c r="C75" s="5">
        <v>2025</v>
      </c>
      <c r="D75" s="33">
        <f t="shared" ref="D75:D82" si="31">D74</f>
        <v>2017.3916101855061</v>
      </c>
      <c r="E75" s="55">
        <f>0</f>
        <v>0</v>
      </c>
      <c r="F75" s="97">
        <f t="shared" si="25"/>
        <v>1</v>
      </c>
      <c r="G75" s="33">
        <f t="shared" si="30"/>
        <v>720.18529056153648</v>
      </c>
      <c r="H75" s="33">
        <f t="shared" si="26"/>
        <v>2048.0352085081863</v>
      </c>
      <c r="I75" s="33">
        <f>'Capex Build'!G21</f>
        <v>427.17531882644533</v>
      </c>
      <c r="J75" s="33">
        <f t="shared" si="27"/>
        <v>1431.1161713901588</v>
      </c>
      <c r="K75" s="55">
        <f t="shared" si="28"/>
        <v>3.1211253026277364E-2</v>
      </c>
      <c r="L75" s="55">
        <f t="shared" si="29"/>
        <v>5.3254668280779772E-2</v>
      </c>
    </row>
    <row r="76" spans="1:12" x14ac:dyDescent="0.2">
      <c r="C76" s="5">
        <v>2026</v>
      </c>
      <c r="D76" s="33">
        <f t="shared" si="31"/>
        <v>2017.3916101855061</v>
      </c>
      <c r="E76" s="55">
        <f>0</f>
        <v>0</v>
      </c>
      <c r="F76" s="97">
        <f t="shared" si="25"/>
        <v>1</v>
      </c>
      <c r="G76" s="33">
        <f t="shared" si="30"/>
        <v>967.31428674759763</v>
      </c>
      <c r="H76" s="33">
        <f t="shared" si="26"/>
        <v>2048.0352085081863</v>
      </c>
      <c r="I76" s="33">
        <f>'Capex Build'!H21</f>
        <v>782.18903256719409</v>
      </c>
      <c r="J76" s="33">
        <f t="shared" si="27"/>
        <v>1579.0019789100327</v>
      </c>
      <c r="K76" s="55">
        <f t="shared" si="28"/>
        <v>3.6886136330610331E-2</v>
      </c>
      <c r="L76" s="55">
        <f t="shared" si="29"/>
        <v>5.8436210485058454E-2</v>
      </c>
    </row>
    <row r="77" spans="1:12" x14ac:dyDescent="0.2">
      <c r="C77" s="5">
        <v>2027</v>
      </c>
      <c r="D77" s="33">
        <f t="shared" si="31"/>
        <v>2017.3916101855061</v>
      </c>
      <c r="E77" s="55">
        <f>0</f>
        <v>0</v>
      </c>
      <c r="F77" s="97">
        <f t="shared" si="25"/>
        <v>1</v>
      </c>
      <c r="G77" s="33">
        <f t="shared" si="30"/>
        <v>1507.6747476278924</v>
      </c>
      <c r="H77" s="33">
        <f t="shared" si="26"/>
        <v>2048.0352085081863</v>
      </c>
      <c r="I77" s="33">
        <f>'Capex Build'!I21</f>
        <v>917.27914778726768</v>
      </c>
      <c r="J77" s="33">
        <f t="shared" si="27"/>
        <v>1830.7513392891478</v>
      </c>
      <c r="K77" s="55">
        <f t="shared" si="28"/>
        <v>4.654661873964705E-2</v>
      </c>
      <c r="L77" s="55">
        <f t="shared" si="29"/>
        <v>6.7127615399776214E-2</v>
      </c>
    </row>
    <row r="78" spans="1:12" x14ac:dyDescent="0.2">
      <c r="C78" s="5">
        <v>2028</v>
      </c>
      <c r="D78" s="33">
        <f t="shared" si="31"/>
        <v>2017.3916101855061</v>
      </c>
      <c r="E78" s="55">
        <f>p_max</f>
        <v>0.5</v>
      </c>
      <c r="F78" s="97">
        <f t="shared" si="25"/>
        <v>1.6042613968131942</v>
      </c>
      <c r="G78" s="33">
        <f t="shared" si="30"/>
        <v>2048.0352085081868</v>
      </c>
      <c r="H78" s="33">
        <f t="shared" si="26"/>
        <v>4161.5021020639106</v>
      </c>
      <c r="I78" s="33">
        <f>delta_a*G78+(H78-G78)/theta_a</f>
        <v>1216.4977666456211</v>
      </c>
      <c r="J78" s="33">
        <f t="shared" si="27"/>
        <v>2027.5548564231053</v>
      </c>
      <c r="K78" s="55">
        <f t="shared" si="28"/>
        <v>5.4098641562847272E-2</v>
      </c>
      <c r="L78" s="55">
        <f t="shared" si="29"/>
        <v>7.3811120398121391E-2</v>
      </c>
    </row>
    <row r="79" spans="1:12" x14ac:dyDescent="0.2">
      <c r="C79" s="5">
        <v>2029</v>
      </c>
      <c r="D79" s="33">
        <f t="shared" si="31"/>
        <v>2017.3916101855061</v>
      </c>
      <c r="E79" s="55">
        <f>p_max</f>
        <v>0.5</v>
      </c>
      <c r="F79" s="97">
        <f t="shared" si="25"/>
        <v>1.6042613968131942</v>
      </c>
      <c r="G79" s="33">
        <f t="shared" si="30"/>
        <v>2752.5241730267612</v>
      </c>
      <c r="H79" s="33">
        <f t="shared" si="26"/>
        <v>4161.5021020639106</v>
      </c>
      <c r="I79" s="33">
        <f>delta_a*G79+(H79-G79)/theta_a</f>
        <v>1157.79035293574</v>
      </c>
      <c r="J79" s="33">
        <f t="shared" si="27"/>
        <v>2237.5385211990765</v>
      </c>
      <c r="K79" s="55">
        <f t="shared" si="28"/>
        <v>6.2156431646994692E-2</v>
      </c>
      <c r="L79" s="55">
        <f t="shared" si="29"/>
        <v>8.0837425891118767E-2</v>
      </c>
    </row>
    <row r="80" spans="1:12" x14ac:dyDescent="0.2">
      <c r="C80" s="5">
        <v>2030</v>
      </c>
      <c r="D80" s="33">
        <f t="shared" si="31"/>
        <v>2017.3916101855061</v>
      </c>
      <c r="E80" s="55">
        <f>p_star</f>
        <v>3.5000000000000003E-2</v>
      </c>
      <c r="F80" s="97">
        <f t="shared" si="25"/>
        <v>1.0422982977769235</v>
      </c>
      <c r="G80" s="33">
        <f t="shared" si="30"/>
        <v>3222.183482705811</v>
      </c>
      <c r="H80" s="33">
        <f t="shared" si="26"/>
        <v>2179.3423644676855</v>
      </c>
      <c r="I80" s="33">
        <f>delta_a*G80+(H80-G80)/theta_a</f>
        <v>457.93216459707759</v>
      </c>
      <c r="J80" s="33">
        <f t="shared" si="27"/>
        <v>2358.1796970036548</v>
      </c>
      <c r="K80" s="55">
        <f t="shared" si="28"/>
        <v>6.6785845421514667E-2</v>
      </c>
      <c r="L80" s="55">
        <f t="shared" si="29"/>
        <v>8.48262151123719E-2</v>
      </c>
    </row>
    <row r="81" spans="1:12" x14ac:dyDescent="0.2">
      <c r="C81" s="5">
        <v>2031</v>
      </c>
      <c r="D81" s="33">
        <f t="shared" si="31"/>
        <v>2017.3916101855061</v>
      </c>
      <c r="E81" s="55">
        <f>p_star</f>
        <v>3.5000000000000003E-2</v>
      </c>
      <c r="F81" s="97">
        <f t="shared" si="25"/>
        <v>1.0422982977769235</v>
      </c>
      <c r="G81" s="33">
        <f t="shared" si="30"/>
        <v>2874.5697766264357</v>
      </c>
      <c r="H81" s="33">
        <f t="shared" si="26"/>
        <v>2179.3423644676855</v>
      </c>
      <c r="I81" s="33">
        <f>delta_a*G81+(H81-G81)/theta_a</f>
        <v>486.89997343702555</v>
      </c>
      <c r="J81" s="33">
        <f t="shared" si="27"/>
        <v>2270.1319025350294</v>
      </c>
      <c r="K81" s="55">
        <f t="shared" si="28"/>
        <v>6.3407150959936986E-2</v>
      </c>
      <c r="L81" s="55">
        <f t="shared" si="29"/>
        <v>8.1918492895543038E-2</v>
      </c>
    </row>
    <row r="82" spans="1:12" x14ac:dyDescent="0.2">
      <c r="C82" s="5">
        <v>2032</v>
      </c>
      <c r="D82" s="33">
        <f t="shared" si="31"/>
        <v>2017.3916101855061</v>
      </c>
      <c r="E82" s="55">
        <f>p_star</f>
        <v>3.5000000000000003E-2</v>
      </c>
      <c r="F82" s="97">
        <f t="shared" si="25"/>
        <v>1.0422982977769235</v>
      </c>
      <c r="G82" s="33">
        <f t="shared" si="30"/>
        <v>2642.8273059068524</v>
      </c>
      <c r="H82" s="33">
        <f t="shared" si="26"/>
        <v>2179.3423644676855</v>
      </c>
      <c r="I82" s="33">
        <f>delta_a*G82+(H82-G82)/theta_a</f>
        <v>506.21184599699075</v>
      </c>
      <c r="J82" s="33">
        <f t="shared" si="27"/>
        <v>2207.4103203885343</v>
      </c>
      <c r="K82" s="55">
        <f t="shared" si="28"/>
        <v>6.1000309726733093E-2</v>
      </c>
      <c r="L82" s="55">
        <f t="shared" si="29"/>
        <v>7.9835857851534325E-2</v>
      </c>
    </row>
    <row r="86" spans="1:12" x14ac:dyDescent="0.2">
      <c r="A86" t="s">
        <v>2</v>
      </c>
      <c r="C86" s="95" t="s">
        <v>212</v>
      </c>
      <c r="D86" s="14"/>
      <c r="E86" s="14"/>
      <c r="F86" s="14"/>
      <c r="G86" s="14"/>
      <c r="H86" s="14"/>
      <c r="I86" s="14"/>
      <c r="J86" s="14"/>
      <c r="K86" s="14"/>
      <c r="L86" s="14"/>
    </row>
    <row r="87" spans="1:12" ht="17" x14ac:dyDescent="0.3">
      <c r="C87" s="120" t="s">
        <v>77</v>
      </c>
      <c r="D87" s="120" t="s">
        <v>200</v>
      </c>
      <c r="E87" s="120" t="s">
        <v>201</v>
      </c>
      <c r="F87" s="120" t="s">
        <v>202</v>
      </c>
      <c r="G87" s="120" t="s">
        <v>203</v>
      </c>
      <c r="H87" s="120" t="s">
        <v>204</v>
      </c>
      <c r="I87" s="120" t="s">
        <v>205</v>
      </c>
      <c r="J87" s="120" t="s">
        <v>206</v>
      </c>
      <c r="K87" s="120" t="s">
        <v>148</v>
      </c>
      <c r="L87" s="120" t="s">
        <v>207</v>
      </c>
    </row>
    <row r="88" spans="1:12" x14ac:dyDescent="0.2">
      <c r="C88" s="5">
        <v>2022</v>
      </c>
      <c r="D88" s="33">
        <f>z0</f>
        <v>614.66343914698564</v>
      </c>
      <c r="E88" s="55">
        <f>0</f>
        <v>0</v>
      </c>
      <c r="F88" s="97">
        <f t="shared" ref="F88:F98" si="32">1+E88*(exp_xi^(1-alpha)-1)</f>
        <v>1</v>
      </c>
      <c r="G88" s="33">
        <f>K0</f>
        <v>624</v>
      </c>
      <c r="H88" s="33">
        <f t="shared" ref="H88:H98" si="33">D88*(alpha*F88/(r_a+delta_a))^(1/(1-alpha))</f>
        <v>623.99999999999989</v>
      </c>
      <c r="I88" s="33">
        <f>'Capex Build'!D21</f>
        <v>156</v>
      </c>
      <c r="J88" s="33">
        <f t="shared" ref="J88:J98" si="34">D88^(1-alpha)*G88^alpha</f>
        <v>617.76000000000033</v>
      </c>
      <c r="K88" s="55">
        <f t="shared" ref="K88:K98" si="35">(J88+Yn0)/GDP_0-1</f>
        <v>0</v>
      </c>
      <c r="L88" s="55">
        <f t="shared" ref="L88:L98" si="36">J88/(J88+Yn0)</f>
        <v>2.370556018104425E-2</v>
      </c>
    </row>
    <row r="89" spans="1:12" x14ac:dyDescent="0.2">
      <c r="C89" s="5">
        <v>2023</v>
      </c>
      <c r="D89" s="33">
        <f>D88</f>
        <v>614.66343914698564</v>
      </c>
      <c r="E89" s="55">
        <f>0</f>
        <v>0</v>
      </c>
      <c r="F89" s="97">
        <f t="shared" si="32"/>
        <v>1</v>
      </c>
      <c r="G89" s="33">
        <f t="shared" ref="G89:G98" si="37">G88*(1-delta_a)+I88</f>
        <v>624</v>
      </c>
      <c r="H89" s="33">
        <f t="shared" si="33"/>
        <v>623.99999999999989</v>
      </c>
      <c r="I89" s="33">
        <f>'Capex Build'!E21</f>
        <v>152.69798459483496</v>
      </c>
      <c r="J89" s="33">
        <f t="shared" si="34"/>
        <v>617.76000000000033</v>
      </c>
      <c r="K89" s="55">
        <f t="shared" si="35"/>
        <v>0</v>
      </c>
      <c r="L89" s="55">
        <f t="shared" si="36"/>
        <v>2.370556018104425E-2</v>
      </c>
    </row>
    <row r="90" spans="1:12" x14ac:dyDescent="0.2">
      <c r="C90" s="5">
        <v>2024</v>
      </c>
      <c r="D90" s="33">
        <f>D89*exp_xi</f>
        <v>2017.3916101855061</v>
      </c>
      <c r="E90" s="55">
        <f>0</f>
        <v>0</v>
      </c>
      <c r="F90" s="97">
        <f t="shared" si="32"/>
        <v>1</v>
      </c>
      <c r="G90" s="33">
        <f t="shared" si="37"/>
        <v>620.69798459483491</v>
      </c>
      <c r="H90" s="33">
        <f t="shared" si="33"/>
        <v>2048.0352085081863</v>
      </c>
      <c r="I90" s="33">
        <f>'Capex Build'!F21</f>
        <v>254.66180211541035</v>
      </c>
      <c r="J90" s="33">
        <f t="shared" si="34"/>
        <v>1361.9262333854456</v>
      </c>
      <c r="K90" s="55">
        <f t="shared" si="35"/>
        <v>2.8556198896366958E-2</v>
      </c>
      <c r="L90" s="55">
        <f t="shared" si="36"/>
        <v>5.0810795884063245E-2</v>
      </c>
    </row>
    <row r="91" spans="1:12" x14ac:dyDescent="0.2">
      <c r="C91" s="5">
        <v>2025</v>
      </c>
      <c r="D91" s="33">
        <f>D90</f>
        <v>2017.3916101855061</v>
      </c>
      <c r="E91" s="55">
        <f>0</f>
        <v>0</v>
      </c>
      <c r="F91" s="97">
        <f t="shared" si="32"/>
        <v>1</v>
      </c>
      <c r="G91" s="33">
        <f t="shared" si="37"/>
        <v>720.18529056153648</v>
      </c>
      <c r="H91" s="33">
        <f t="shared" si="33"/>
        <v>2048.0352085081863</v>
      </c>
      <c r="I91" s="33">
        <f>'Capex Build'!G21</f>
        <v>427.17531882644533</v>
      </c>
      <c r="J91" s="33">
        <f t="shared" si="34"/>
        <v>1431.1161713901588</v>
      </c>
      <c r="K91" s="55">
        <f t="shared" si="35"/>
        <v>3.1211253026277364E-2</v>
      </c>
      <c r="L91" s="55">
        <f t="shared" si="36"/>
        <v>5.3254668280779772E-2</v>
      </c>
    </row>
    <row r="92" spans="1:12" x14ac:dyDescent="0.2">
      <c r="C92" s="5">
        <v>2026</v>
      </c>
      <c r="D92" s="33">
        <f>D91</f>
        <v>2017.3916101855061</v>
      </c>
      <c r="E92" s="55">
        <f>0</f>
        <v>0</v>
      </c>
      <c r="F92" s="97">
        <f t="shared" si="32"/>
        <v>1</v>
      </c>
      <c r="G92" s="33">
        <f t="shared" si="37"/>
        <v>967.31428674759763</v>
      </c>
      <c r="H92" s="33">
        <f t="shared" si="33"/>
        <v>2048.0352085081863</v>
      </c>
      <c r="I92" s="33">
        <f>'Capex Build'!H21</f>
        <v>782.18903256719409</v>
      </c>
      <c r="J92" s="33">
        <f t="shared" si="34"/>
        <v>1579.0019789100327</v>
      </c>
      <c r="K92" s="55">
        <f t="shared" si="35"/>
        <v>3.6886136330610331E-2</v>
      </c>
      <c r="L92" s="55">
        <f t="shared" si="36"/>
        <v>5.8436210485058454E-2</v>
      </c>
    </row>
    <row r="93" spans="1:12" x14ac:dyDescent="0.2">
      <c r="C93" s="5">
        <v>2027</v>
      </c>
      <c r="D93" s="33">
        <f>D92</f>
        <v>2017.3916101855061</v>
      </c>
      <c r="E93" s="55">
        <f>0</f>
        <v>0</v>
      </c>
      <c r="F93" s="97">
        <f t="shared" si="32"/>
        <v>1</v>
      </c>
      <c r="G93" s="33">
        <f t="shared" si="37"/>
        <v>1507.6747476278924</v>
      </c>
      <c r="H93" s="33">
        <f t="shared" si="33"/>
        <v>2048.0352085081863</v>
      </c>
      <c r="I93" s="33">
        <f>'Capex Build'!I21</f>
        <v>917.27914778726768</v>
      </c>
      <c r="J93" s="33">
        <f t="shared" si="34"/>
        <v>1830.7513392891478</v>
      </c>
      <c r="K93" s="55">
        <f t="shared" si="35"/>
        <v>4.654661873964705E-2</v>
      </c>
      <c r="L93" s="55">
        <f t="shared" si="36"/>
        <v>6.7127615399776214E-2</v>
      </c>
    </row>
    <row r="94" spans="1:12" x14ac:dyDescent="0.2">
      <c r="C94" s="5">
        <v>2028</v>
      </c>
      <c r="D94" s="33">
        <f>D93</f>
        <v>2017.3916101855061</v>
      </c>
      <c r="E94" s="55">
        <f>p_max</f>
        <v>0.5</v>
      </c>
      <c r="F94" s="97">
        <f t="shared" si="32"/>
        <v>1.6042613968131942</v>
      </c>
      <c r="G94" s="33">
        <f t="shared" si="37"/>
        <v>2048.0352085081868</v>
      </c>
      <c r="H94" s="33">
        <f t="shared" si="33"/>
        <v>4161.5021020639106</v>
      </c>
      <c r="I94" s="33">
        <f>delta_a*G94+(H94-G94)/theta_a</f>
        <v>1216.4977666456211</v>
      </c>
      <c r="J94" s="33">
        <f t="shared" si="34"/>
        <v>2027.5548564231053</v>
      </c>
      <c r="K94" s="55">
        <f t="shared" si="35"/>
        <v>5.4098641562847272E-2</v>
      </c>
      <c r="L94" s="55">
        <f t="shared" si="36"/>
        <v>7.3811120398121391E-2</v>
      </c>
    </row>
    <row r="95" spans="1:12" x14ac:dyDescent="0.2">
      <c r="C95" s="5">
        <v>2029</v>
      </c>
      <c r="D95" s="33">
        <f>D94*exp_xi</f>
        <v>6621.2965496938132</v>
      </c>
      <c r="E95" s="55">
        <f>p_max</f>
        <v>0.5</v>
      </c>
      <c r="F95" s="97">
        <f t="shared" si="32"/>
        <v>1.6042613968131942</v>
      </c>
      <c r="G95" s="33">
        <f t="shared" si="37"/>
        <v>2752.5241730267612</v>
      </c>
      <c r="H95" s="33">
        <f t="shared" si="33"/>
        <v>13658.498117480318</v>
      </c>
      <c r="I95" s="33">
        <f>delta_a*G95+(H95-G95)/theta_a</f>
        <v>4323.4556914078757</v>
      </c>
      <c r="J95" s="33">
        <f t="shared" si="34"/>
        <v>4941.654825685242</v>
      </c>
      <c r="K95" s="55">
        <f t="shared" si="35"/>
        <v>0.16592260587734264</v>
      </c>
      <c r="L95" s="55">
        <f t="shared" si="36"/>
        <v>0.16264215575071908</v>
      </c>
    </row>
    <row r="96" spans="1:12" x14ac:dyDescent="0.2">
      <c r="C96" s="5">
        <v>2030</v>
      </c>
      <c r="D96" s="33">
        <f>D95</f>
        <v>6621.2965496938132</v>
      </c>
      <c r="E96" s="55">
        <f>p_star</f>
        <v>3.5000000000000003E-2</v>
      </c>
      <c r="F96" s="97">
        <f t="shared" si="32"/>
        <v>1.0422982977769235</v>
      </c>
      <c r="G96" s="33">
        <f t="shared" si="37"/>
        <v>6387.8488211779468</v>
      </c>
      <c r="H96" s="33">
        <f t="shared" si="33"/>
        <v>7152.8363683065727</v>
      </c>
      <c r="I96" s="33">
        <f>delta_a*G96+(H96-G96)/theta_a</f>
        <v>1851.958054337362</v>
      </c>
      <c r="J96" s="33">
        <f t="shared" si="34"/>
        <v>6542.547773818721</v>
      </c>
      <c r="K96" s="55">
        <f t="shared" si="35"/>
        <v>0.2273543336120416</v>
      </c>
      <c r="L96" s="55">
        <f t="shared" si="36"/>
        <v>0.20455371926233337</v>
      </c>
    </row>
    <row r="97" spans="1:12" x14ac:dyDescent="0.2">
      <c r="C97" s="5">
        <v>2031</v>
      </c>
      <c r="D97" s="33">
        <f>D96</f>
        <v>6621.2965496938132</v>
      </c>
      <c r="E97" s="55">
        <f>p_star</f>
        <v>3.5000000000000003E-2</v>
      </c>
      <c r="F97" s="97">
        <f t="shared" si="32"/>
        <v>1.0422982977769235</v>
      </c>
      <c r="G97" s="33">
        <f t="shared" si="37"/>
        <v>6642.8446702208221</v>
      </c>
      <c r="H97" s="33">
        <f t="shared" si="33"/>
        <v>7152.8363683065727</v>
      </c>
      <c r="I97" s="33">
        <f>delta_a*G97+(H97-G97)/theta_a</f>
        <v>1830.7084002504557</v>
      </c>
      <c r="J97" s="33">
        <f t="shared" si="34"/>
        <v>6628.4714788746278</v>
      </c>
      <c r="K97" s="55">
        <f t="shared" si="35"/>
        <v>0.23065151951138918</v>
      </c>
      <c r="L97" s="55">
        <f t="shared" si="36"/>
        <v>0.20668489467548218</v>
      </c>
    </row>
    <row r="98" spans="1:12" x14ac:dyDescent="0.2">
      <c r="C98" s="5">
        <v>2032</v>
      </c>
      <c r="D98" s="33">
        <f>D97</f>
        <v>6621.2965496938132</v>
      </c>
      <c r="E98" s="55">
        <f>p_star</f>
        <v>3.5000000000000003E-2</v>
      </c>
      <c r="F98" s="97">
        <f t="shared" si="32"/>
        <v>1.0422982977769235</v>
      </c>
      <c r="G98" s="33">
        <f t="shared" si="37"/>
        <v>6812.8419029160723</v>
      </c>
      <c r="H98" s="33">
        <f t="shared" si="33"/>
        <v>7152.8363683065727</v>
      </c>
      <c r="I98" s="33">
        <f>delta_a*G98+(H98-G98)/theta_a</f>
        <v>1816.5419641925182</v>
      </c>
      <c r="J98" s="33">
        <f t="shared" si="34"/>
        <v>6684.5390250968258</v>
      </c>
      <c r="K98" s="55">
        <f t="shared" si="35"/>
        <v>0.23280302266985498</v>
      </c>
      <c r="L98" s="55">
        <f t="shared" si="36"/>
        <v>0.2080693980579186</v>
      </c>
    </row>
    <row r="102" spans="1:12" x14ac:dyDescent="0.2">
      <c r="A102" t="s">
        <v>2</v>
      </c>
      <c r="C102" s="95" t="s">
        <v>213</v>
      </c>
      <c r="D102" s="14"/>
      <c r="E102" s="14"/>
      <c r="F102" s="14"/>
      <c r="G102" s="14"/>
      <c r="H102" s="14"/>
      <c r="I102" s="14"/>
      <c r="J102" s="14"/>
      <c r="K102" s="14"/>
      <c r="L102" s="14"/>
    </row>
    <row r="103" spans="1:12" ht="17" x14ac:dyDescent="0.3">
      <c r="C103" s="120" t="s">
        <v>77</v>
      </c>
      <c r="D103" s="120" t="s">
        <v>200</v>
      </c>
      <c r="E103" s="120" t="s">
        <v>201</v>
      </c>
      <c r="F103" s="120" t="s">
        <v>202</v>
      </c>
      <c r="G103" s="120" t="s">
        <v>203</v>
      </c>
      <c r="H103" s="120" t="s">
        <v>204</v>
      </c>
      <c r="I103" s="120" t="s">
        <v>205</v>
      </c>
      <c r="J103" s="120" t="s">
        <v>206</v>
      </c>
      <c r="K103" s="120" t="s">
        <v>148</v>
      </c>
      <c r="L103" s="120" t="s">
        <v>207</v>
      </c>
    </row>
    <row r="104" spans="1:12" x14ac:dyDescent="0.2">
      <c r="C104" s="5">
        <v>2022</v>
      </c>
      <c r="D104" s="33">
        <f>z0</f>
        <v>614.66343914698564</v>
      </c>
      <c r="E104" s="55">
        <f>0</f>
        <v>0</v>
      </c>
      <c r="F104" s="97">
        <f t="shared" ref="F104:F114" si="38">1+E104*(exp_xi^(1-alpha)-1)</f>
        <v>1</v>
      </c>
      <c r="G104" s="33">
        <f>K0</f>
        <v>624</v>
      </c>
      <c r="H104" s="33">
        <f t="shared" ref="H104:H114" si="39">D104*(alpha*F104/(r_a+delta_a))^(1/(1-alpha))</f>
        <v>623.99999999999989</v>
      </c>
      <c r="I104" s="33">
        <f>'Capex Build'!D21</f>
        <v>156</v>
      </c>
      <c r="J104" s="33">
        <f t="shared" ref="J104:J114" si="40">D104^(1-alpha)*G104^alpha</f>
        <v>617.76000000000033</v>
      </c>
      <c r="K104" s="55">
        <f t="shared" ref="K104:K114" si="41">(J104+Yn0)/GDP_0-1</f>
        <v>0</v>
      </c>
      <c r="L104" s="55">
        <f t="shared" ref="L104:L114" si="42">J104/(J104+Yn0)</f>
        <v>2.370556018104425E-2</v>
      </c>
    </row>
    <row r="105" spans="1:12" x14ac:dyDescent="0.2">
      <c r="C105" s="5">
        <v>2023</v>
      </c>
      <c r="D105" s="33">
        <f>D104</f>
        <v>614.66343914698564</v>
      </c>
      <c r="E105" s="55">
        <f>0</f>
        <v>0</v>
      </c>
      <c r="F105" s="97">
        <f t="shared" si="38"/>
        <v>1</v>
      </c>
      <c r="G105" s="33">
        <f t="shared" ref="G105:G114" si="43">G104*(1-delta_a)+I104</f>
        <v>624</v>
      </c>
      <c r="H105" s="33">
        <f t="shared" si="39"/>
        <v>623.99999999999989</v>
      </c>
      <c r="I105" s="33">
        <f>'Capex Build'!E21</f>
        <v>152.69798459483496</v>
      </c>
      <c r="J105" s="33">
        <f t="shared" si="40"/>
        <v>617.76000000000033</v>
      </c>
      <c r="K105" s="55">
        <f t="shared" si="41"/>
        <v>0</v>
      </c>
      <c r="L105" s="55">
        <f t="shared" si="42"/>
        <v>2.370556018104425E-2</v>
      </c>
    </row>
    <row r="106" spans="1:12" x14ac:dyDescent="0.2">
      <c r="C106" s="5">
        <v>2024</v>
      </c>
      <c r="D106" s="33">
        <f>D105*exp_xi</f>
        <v>2017.3916101855061</v>
      </c>
      <c r="E106" s="55">
        <f>0</f>
        <v>0</v>
      </c>
      <c r="F106" s="97">
        <f t="shared" si="38"/>
        <v>1</v>
      </c>
      <c r="G106" s="33">
        <f t="shared" si="43"/>
        <v>620.69798459483491</v>
      </c>
      <c r="H106" s="33">
        <f t="shared" si="39"/>
        <v>2048.0352085081863</v>
      </c>
      <c r="I106" s="33">
        <f>'Capex Build'!F21</f>
        <v>254.66180211541035</v>
      </c>
      <c r="J106" s="33">
        <f t="shared" si="40"/>
        <v>1361.9262333854456</v>
      </c>
      <c r="K106" s="55">
        <f t="shared" si="41"/>
        <v>2.8556198896366958E-2</v>
      </c>
      <c r="L106" s="55">
        <f t="shared" si="42"/>
        <v>5.0810795884063245E-2</v>
      </c>
    </row>
    <row r="107" spans="1:12" x14ac:dyDescent="0.2">
      <c r="C107" s="5">
        <v>2025</v>
      </c>
      <c r="D107" s="33">
        <f>D106</f>
        <v>2017.3916101855061</v>
      </c>
      <c r="E107" s="55">
        <f>0</f>
        <v>0</v>
      </c>
      <c r="F107" s="97">
        <f t="shared" si="38"/>
        <v>1</v>
      </c>
      <c r="G107" s="33">
        <f t="shared" si="43"/>
        <v>720.18529056153648</v>
      </c>
      <c r="H107" s="33">
        <f t="shared" si="39"/>
        <v>2048.0352085081863</v>
      </c>
      <c r="I107" s="33">
        <f>'Capex Build'!G21</f>
        <v>427.17531882644533</v>
      </c>
      <c r="J107" s="33">
        <f t="shared" si="40"/>
        <v>1431.1161713901588</v>
      </c>
      <c r="K107" s="55">
        <f t="shared" si="41"/>
        <v>3.1211253026277364E-2</v>
      </c>
      <c r="L107" s="55">
        <f t="shared" si="42"/>
        <v>5.3254668280779772E-2</v>
      </c>
    </row>
    <row r="108" spans="1:12" x14ac:dyDescent="0.2">
      <c r="C108" s="5">
        <v>2026</v>
      </c>
      <c r="D108" s="33">
        <f>D107</f>
        <v>2017.3916101855061</v>
      </c>
      <c r="E108" s="55">
        <f>0</f>
        <v>0</v>
      </c>
      <c r="F108" s="97">
        <f t="shared" si="38"/>
        <v>1</v>
      </c>
      <c r="G108" s="33">
        <f t="shared" si="43"/>
        <v>967.31428674759763</v>
      </c>
      <c r="H108" s="33">
        <f t="shared" si="39"/>
        <v>2048.0352085081863</v>
      </c>
      <c r="I108" s="33">
        <f>'Capex Build'!H21</f>
        <v>782.18903256719409</v>
      </c>
      <c r="J108" s="33">
        <f t="shared" si="40"/>
        <v>1579.0019789100327</v>
      </c>
      <c r="K108" s="55">
        <f t="shared" si="41"/>
        <v>3.6886136330610331E-2</v>
      </c>
      <c r="L108" s="55">
        <f t="shared" si="42"/>
        <v>5.8436210485058454E-2</v>
      </c>
    </row>
    <row r="109" spans="1:12" x14ac:dyDescent="0.2">
      <c r="C109" s="5">
        <v>2027</v>
      </c>
      <c r="D109" s="33">
        <f>D108</f>
        <v>2017.3916101855061</v>
      </c>
      <c r="E109" s="55">
        <f>0</f>
        <v>0</v>
      </c>
      <c r="F109" s="97">
        <f t="shared" si="38"/>
        <v>1</v>
      </c>
      <c r="G109" s="33">
        <f t="shared" si="43"/>
        <v>1507.6747476278924</v>
      </c>
      <c r="H109" s="33">
        <f t="shared" si="39"/>
        <v>2048.0352085081863</v>
      </c>
      <c r="I109" s="33">
        <f>'Capex Build'!I21</f>
        <v>917.27914778726768</v>
      </c>
      <c r="J109" s="33">
        <f t="shared" si="40"/>
        <v>1830.7513392891478</v>
      </c>
      <c r="K109" s="55">
        <f t="shared" si="41"/>
        <v>4.654661873964705E-2</v>
      </c>
      <c r="L109" s="55">
        <f t="shared" si="42"/>
        <v>6.7127615399776214E-2</v>
      </c>
    </row>
    <row r="110" spans="1:12" x14ac:dyDescent="0.2">
      <c r="C110" s="5">
        <v>2028</v>
      </c>
      <c r="D110" s="33">
        <f>D109</f>
        <v>2017.3916101855061</v>
      </c>
      <c r="E110" s="55">
        <f>p_max</f>
        <v>0.5</v>
      </c>
      <c r="F110" s="97">
        <f t="shared" si="38"/>
        <v>1.6042613968131942</v>
      </c>
      <c r="G110" s="33">
        <f t="shared" si="43"/>
        <v>2048.0352085081868</v>
      </c>
      <c r="H110" s="33">
        <f t="shared" si="39"/>
        <v>4161.5021020639106</v>
      </c>
      <c r="I110" s="33">
        <f>delta_a*G110+(H110-G110)/theta_a</f>
        <v>1216.4977666456211</v>
      </c>
      <c r="J110" s="33">
        <f t="shared" si="40"/>
        <v>2027.5548564231053</v>
      </c>
      <c r="K110" s="55">
        <f t="shared" si="41"/>
        <v>5.4098641562847272E-2</v>
      </c>
      <c r="L110" s="55">
        <f t="shared" si="42"/>
        <v>7.3811120398121391E-2</v>
      </c>
    </row>
    <row r="111" spans="1:12" x14ac:dyDescent="0.2">
      <c r="C111" s="5">
        <v>2029</v>
      </c>
      <c r="D111" s="33">
        <f>D110</f>
        <v>2017.3916101855061</v>
      </c>
      <c r="E111" s="55">
        <f>p_max</f>
        <v>0.5</v>
      </c>
      <c r="F111" s="97">
        <f t="shared" si="38"/>
        <v>1.6042613968131942</v>
      </c>
      <c r="G111" s="33">
        <f t="shared" si="43"/>
        <v>2752.5241730267612</v>
      </c>
      <c r="H111" s="33">
        <f t="shared" si="39"/>
        <v>4161.5021020639106</v>
      </c>
      <c r="I111" s="33">
        <f>delta_a*G111+(H111-G111)/theta_a</f>
        <v>1157.79035293574</v>
      </c>
      <c r="J111" s="33">
        <f t="shared" si="40"/>
        <v>2237.5385211990765</v>
      </c>
      <c r="K111" s="55">
        <f t="shared" si="41"/>
        <v>6.2156431646994692E-2</v>
      </c>
      <c r="L111" s="55">
        <f t="shared" si="42"/>
        <v>8.0837425891118767E-2</v>
      </c>
    </row>
    <row r="112" spans="1:12" x14ac:dyDescent="0.2">
      <c r="C112" s="5">
        <v>2030</v>
      </c>
      <c r="D112" s="33">
        <f>D111*exp_xi</f>
        <v>6621.2965496938132</v>
      </c>
      <c r="E112" s="55">
        <f>p_star</f>
        <v>3.5000000000000003E-2</v>
      </c>
      <c r="F112" s="97">
        <f t="shared" si="38"/>
        <v>1.0422982977769235</v>
      </c>
      <c r="G112" s="33">
        <f t="shared" si="43"/>
        <v>3222.183482705811</v>
      </c>
      <c r="H112" s="33">
        <f t="shared" si="39"/>
        <v>7152.8363683065727</v>
      </c>
      <c r="I112" s="33">
        <f>delta_a*G112+(H112-G112)/theta_a</f>
        <v>2115.7634992100402</v>
      </c>
      <c r="J112" s="33">
        <f t="shared" si="40"/>
        <v>5208.0936122995408</v>
      </c>
      <c r="K112" s="55">
        <f t="shared" si="41"/>
        <v>0.17614677171949777</v>
      </c>
      <c r="L112" s="55">
        <f t="shared" si="42"/>
        <v>0.16992125192705568</v>
      </c>
    </row>
    <row r="113" spans="1:12" x14ac:dyDescent="0.2">
      <c r="C113" s="5">
        <v>2031</v>
      </c>
      <c r="D113" s="33">
        <f>D112</f>
        <v>6621.2965496938132</v>
      </c>
      <c r="E113" s="55">
        <f>p_star</f>
        <v>3.5000000000000003E-2</v>
      </c>
      <c r="F113" s="97">
        <f t="shared" si="38"/>
        <v>1.0422982977769235</v>
      </c>
      <c r="G113" s="33">
        <f t="shared" si="43"/>
        <v>4532.4011112393982</v>
      </c>
      <c r="H113" s="33">
        <f t="shared" si="39"/>
        <v>7152.8363683065727</v>
      </c>
      <c r="I113" s="33">
        <f>delta_a*G113+(H113-G113)/theta_a</f>
        <v>2006.5786968322409</v>
      </c>
      <c r="J113" s="33">
        <f t="shared" si="40"/>
        <v>5835.4112981382405</v>
      </c>
      <c r="K113" s="55">
        <f t="shared" si="41"/>
        <v>0.20021909293531404</v>
      </c>
      <c r="L113" s="55">
        <f t="shared" si="42"/>
        <v>0.18656981415677812</v>
      </c>
    </row>
    <row r="114" spans="1:12" x14ac:dyDescent="0.2">
      <c r="C114" s="5">
        <v>2032</v>
      </c>
      <c r="D114" s="33">
        <f>D113</f>
        <v>6621.2965496938132</v>
      </c>
      <c r="E114" s="55">
        <f>p_star</f>
        <v>3.5000000000000003E-2</v>
      </c>
      <c r="F114" s="97">
        <f t="shared" si="38"/>
        <v>1.0422982977769235</v>
      </c>
      <c r="G114" s="33">
        <f t="shared" si="43"/>
        <v>5405.8795302617891</v>
      </c>
      <c r="H114" s="33">
        <f t="shared" si="39"/>
        <v>7152.8363683065727</v>
      </c>
      <c r="I114" s="33">
        <f>delta_a*G114+(H114-G114)/theta_a</f>
        <v>1933.7888285803751</v>
      </c>
      <c r="J114" s="33">
        <f t="shared" si="40"/>
        <v>6188.4822154364219</v>
      </c>
      <c r="K114" s="55">
        <f t="shared" si="41"/>
        <v>0.21376762938666816</v>
      </c>
      <c r="L114" s="55">
        <f t="shared" si="42"/>
        <v>0.19564963162488574</v>
      </c>
    </row>
    <row r="118" spans="1:12" x14ac:dyDescent="0.2">
      <c r="A118" t="s">
        <v>2</v>
      </c>
      <c r="C118" s="95" t="s">
        <v>214</v>
      </c>
      <c r="D118" s="14"/>
      <c r="E118" s="14"/>
      <c r="F118" s="14"/>
      <c r="G118" s="14"/>
      <c r="H118" s="14"/>
      <c r="I118" s="14"/>
      <c r="J118" s="14"/>
      <c r="K118" s="14"/>
      <c r="L118" s="14"/>
    </row>
    <row r="119" spans="1:12" ht="17" x14ac:dyDescent="0.3">
      <c r="C119" s="120" t="s">
        <v>77</v>
      </c>
      <c r="D119" s="120" t="s">
        <v>200</v>
      </c>
      <c r="E119" s="120" t="s">
        <v>201</v>
      </c>
      <c r="F119" s="120" t="s">
        <v>202</v>
      </c>
      <c r="G119" s="120" t="s">
        <v>203</v>
      </c>
      <c r="H119" s="120" t="s">
        <v>204</v>
      </c>
      <c r="I119" s="120" t="s">
        <v>205</v>
      </c>
      <c r="J119" s="120" t="s">
        <v>206</v>
      </c>
      <c r="K119" s="120" t="s">
        <v>148</v>
      </c>
      <c r="L119" s="120" t="s">
        <v>207</v>
      </c>
    </row>
    <row r="120" spans="1:12" x14ac:dyDescent="0.2">
      <c r="C120" s="5">
        <v>2022</v>
      </c>
      <c r="D120" s="33">
        <f>z0</f>
        <v>614.66343914698564</v>
      </c>
      <c r="E120" s="55">
        <f>0</f>
        <v>0</v>
      </c>
      <c r="F120" s="97">
        <f t="shared" ref="F120:F130" si="44">1+E120*(exp_xi^(1-alpha)-1)</f>
        <v>1</v>
      </c>
      <c r="G120" s="33">
        <f>K0</f>
        <v>624</v>
      </c>
      <c r="H120" s="33">
        <f t="shared" ref="H120:H130" si="45">D120*(alpha*F120/(r_a+delta_a))^(1/(1-alpha))</f>
        <v>623.99999999999989</v>
      </c>
      <c r="I120" s="33">
        <f>'Capex Build'!D21</f>
        <v>156</v>
      </c>
      <c r="J120" s="33">
        <f t="shared" ref="J120:J130" si="46">D120^(1-alpha)*G120^alpha</f>
        <v>617.76000000000033</v>
      </c>
      <c r="K120" s="55">
        <f t="shared" ref="K120:K130" si="47">(J120+Yn0)/GDP_0-1</f>
        <v>0</v>
      </c>
      <c r="L120" s="55">
        <f t="shared" ref="L120:L130" si="48">J120/(J120+Yn0)</f>
        <v>2.370556018104425E-2</v>
      </c>
    </row>
    <row r="121" spans="1:12" x14ac:dyDescent="0.2">
      <c r="C121" s="5">
        <v>2023</v>
      </c>
      <c r="D121" s="33">
        <f>D120</f>
        <v>614.66343914698564</v>
      </c>
      <c r="E121" s="55">
        <f>0</f>
        <v>0</v>
      </c>
      <c r="F121" s="97">
        <f t="shared" si="44"/>
        <v>1</v>
      </c>
      <c r="G121" s="33">
        <f t="shared" ref="G121:G130" si="49">G120*(1-delta_a)+I120</f>
        <v>624</v>
      </c>
      <c r="H121" s="33">
        <f t="shared" si="45"/>
        <v>623.99999999999989</v>
      </c>
      <c r="I121" s="33">
        <f>'Capex Build'!E21</f>
        <v>152.69798459483496</v>
      </c>
      <c r="J121" s="33">
        <f t="shared" si="46"/>
        <v>617.76000000000033</v>
      </c>
      <c r="K121" s="55">
        <f t="shared" si="47"/>
        <v>0</v>
      </c>
      <c r="L121" s="55">
        <f t="shared" si="48"/>
        <v>2.370556018104425E-2</v>
      </c>
    </row>
    <row r="122" spans="1:12" x14ac:dyDescent="0.2">
      <c r="C122" s="5">
        <v>2024</v>
      </c>
      <c r="D122" s="33">
        <f>D121*exp_xi</f>
        <v>2017.3916101855061</v>
      </c>
      <c r="E122" s="55">
        <f>0</f>
        <v>0</v>
      </c>
      <c r="F122" s="97">
        <f t="shared" si="44"/>
        <v>1</v>
      </c>
      <c r="G122" s="33">
        <f t="shared" si="49"/>
        <v>620.69798459483491</v>
      </c>
      <c r="H122" s="33">
        <f t="shared" si="45"/>
        <v>2048.0352085081863</v>
      </c>
      <c r="I122" s="33">
        <f>'Capex Build'!F21</f>
        <v>254.66180211541035</v>
      </c>
      <c r="J122" s="33">
        <f t="shared" si="46"/>
        <v>1361.9262333854456</v>
      </c>
      <c r="K122" s="55">
        <f t="shared" si="47"/>
        <v>2.8556198896366958E-2</v>
      </c>
      <c r="L122" s="55">
        <f t="shared" si="48"/>
        <v>5.0810795884063245E-2</v>
      </c>
    </row>
    <row r="123" spans="1:12" x14ac:dyDescent="0.2">
      <c r="C123" s="5">
        <v>2025</v>
      </c>
      <c r="D123" s="33">
        <f>D122</f>
        <v>2017.3916101855061</v>
      </c>
      <c r="E123" s="55">
        <f>0</f>
        <v>0</v>
      </c>
      <c r="F123" s="97">
        <f t="shared" si="44"/>
        <v>1</v>
      </c>
      <c r="G123" s="33">
        <f t="shared" si="49"/>
        <v>720.18529056153648</v>
      </c>
      <c r="H123" s="33">
        <f t="shared" si="45"/>
        <v>2048.0352085081863</v>
      </c>
      <c r="I123" s="33">
        <f>'Capex Build'!G21</f>
        <v>427.17531882644533</v>
      </c>
      <c r="J123" s="33">
        <f t="shared" si="46"/>
        <v>1431.1161713901588</v>
      </c>
      <c r="K123" s="55">
        <f t="shared" si="47"/>
        <v>3.1211253026277364E-2</v>
      </c>
      <c r="L123" s="55">
        <f t="shared" si="48"/>
        <v>5.3254668280779772E-2</v>
      </c>
    </row>
    <row r="124" spans="1:12" x14ac:dyDescent="0.2">
      <c r="C124" s="5">
        <v>2026</v>
      </c>
      <c r="D124" s="33">
        <f>D123</f>
        <v>2017.3916101855061</v>
      </c>
      <c r="E124" s="55">
        <f>0</f>
        <v>0</v>
      </c>
      <c r="F124" s="97">
        <f t="shared" si="44"/>
        <v>1</v>
      </c>
      <c r="G124" s="33">
        <f t="shared" si="49"/>
        <v>967.31428674759763</v>
      </c>
      <c r="H124" s="33">
        <f t="shared" si="45"/>
        <v>2048.0352085081863</v>
      </c>
      <c r="I124" s="33">
        <f>'Capex Build'!H21</f>
        <v>782.18903256719409</v>
      </c>
      <c r="J124" s="33">
        <f t="shared" si="46"/>
        <v>1579.0019789100327</v>
      </c>
      <c r="K124" s="55">
        <f t="shared" si="47"/>
        <v>3.6886136330610331E-2</v>
      </c>
      <c r="L124" s="55">
        <f t="shared" si="48"/>
        <v>5.8436210485058454E-2</v>
      </c>
    </row>
    <row r="125" spans="1:12" x14ac:dyDescent="0.2">
      <c r="C125" s="5">
        <v>2027</v>
      </c>
      <c r="D125" s="33">
        <f>D124</f>
        <v>2017.3916101855061</v>
      </c>
      <c r="E125" s="55">
        <f>0</f>
        <v>0</v>
      </c>
      <c r="F125" s="97">
        <f t="shared" si="44"/>
        <v>1</v>
      </c>
      <c r="G125" s="33">
        <f t="shared" si="49"/>
        <v>1507.6747476278924</v>
      </c>
      <c r="H125" s="33">
        <f t="shared" si="45"/>
        <v>2048.0352085081863</v>
      </c>
      <c r="I125" s="33">
        <f>'Capex Build'!I21</f>
        <v>917.27914778726768</v>
      </c>
      <c r="J125" s="33">
        <f t="shared" si="46"/>
        <v>1830.7513392891478</v>
      </c>
      <c r="K125" s="55">
        <f t="shared" si="47"/>
        <v>4.654661873964705E-2</v>
      </c>
      <c r="L125" s="55">
        <f t="shared" si="48"/>
        <v>6.7127615399776214E-2</v>
      </c>
    </row>
    <row r="126" spans="1:12" x14ac:dyDescent="0.2">
      <c r="C126" s="5">
        <v>2028</v>
      </c>
      <c r="D126" s="33">
        <f>D125</f>
        <v>2017.3916101855061</v>
      </c>
      <c r="E126" s="55">
        <f>p_max</f>
        <v>0.5</v>
      </c>
      <c r="F126" s="97">
        <f t="shared" si="44"/>
        <v>1.6042613968131942</v>
      </c>
      <c r="G126" s="33">
        <f t="shared" si="49"/>
        <v>2048.0352085081868</v>
      </c>
      <c r="H126" s="33">
        <f t="shared" si="45"/>
        <v>4161.5021020639106</v>
      </c>
      <c r="I126" s="33">
        <f>delta_a*G126+(H126-G126)/theta_a</f>
        <v>1216.4977666456211</v>
      </c>
      <c r="J126" s="33">
        <f t="shared" si="46"/>
        <v>2027.5548564231053</v>
      </c>
      <c r="K126" s="55">
        <f t="shared" si="47"/>
        <v>5.4098641562847272E-2</v>
      </c>
      <c r="L126" s="55">
        <f t="shared" si="48"/>
        <v>7.3811120398121391E-2</v>
      </c>
    </row>
    <row r="127" spans="1:12" x14ac:dyDescent="0.2">
      <c r="C127" s="5">
        <v>2029</v>
      </c>
      <c r="D127" s="33">
        <f>D126*exp_xi</f>
        <v>6621.2965496938132</v>
      </c>
      <c r="E127" s="55">
        <f>p_max</f>
        <v>0.5</v>
      </c>
      <c r="F127" s="97">
        <f t="shared" si="44"/>
        <v>1.6042613968131942</v>
      </c>
      <c r="G127" s="33">
        <f t="shared" si="49"/>
        <v>2752.5241730267612</v>
      </c>
      <c r="H127" s="33">
        <f t="shared" si="45"/>
        <v>13658.498117480318</v>
      </c>
      <c r="I127" s="33">
        <f>delta_a*G127+(H127-G127)/theta_a</f>
        <v>4323.4556914078757</v>
      </c>
      <c r="J127" s="33">
        <f t="shared" si="46"/>
        <v>4941.654825685242</v>
      </c>
      <c r="K127" s="55">
        <f t="shared" si="47"/>
        <v>0.16592260587734264</v>
      </c>
      <c r="L127" s="55">
        <f t="shared" si="48"/>
        <v>0.16264215575071908</v>
      </c>
    </row>
    <row r="128" spans="1:12" x14ac:dyDescent="0.2">
      <c r="C128" s="5">
        <v>2030</v>
      </c>
      <c r="D128" s="33">
        <f>D127*exp_xi</f>
        <v>21731.808429081259</v>
      </c>
      <c r="E128" s="55">
        <f>p_star</f>
        <v>3.5000000000000003E-2</v>
      </c>
      <c r="F128" s="97">
        <f t="shared" si="44"/>
        <v>1.0422982977769235</v>
      </c>
      <c r="G128" s="33">
        <f t="shared" si="49"/>
        <v>6387.8488211779468</v>
      </c>
      <c r="H128" s="33">
        <f t="shared" si="45"/>
        <v>23476.379363765529</v>
      </c>
      <c r="I128" s="33">
        <f>delta_a*G128+(H128-G128)/theta_a</f>
        <v>7293.1390528236807</v>
      </c>
      <c r="J128" s="33">
        <f t="shared" si="46"/>
        <v>14449.365886868229</v>
      </c>
      <c r="K128" s="55">
        <f t="shared" si="47"/>
        <v>0.5307659378264058</v>
      </c>
      <c r="L128" s="55">
        <f t="shared" si="48"/>
        <v>0.36221834070515435</v>
      </c>
    </row>
    <row r="129" spans="1:25" x14ac:dyDescent="0.2">
      <c r="C129" s="5">
        <v>2031</v>
      </c>
      <c r="D129" s="33">
        <f>D128</f>
        <v>21731.808429081259</v>
      </c>
      <c r="E129" s="55">
        <f>p_star</f>
        <v>3.5000000000000003E-2</v>
      </c>
      <c r="F129" s="97">
        <f t="shared" si="44"/>
        <v>1.0422982977769235</v>
      </c>
      <c r="G129" s="33">
        <f t="shared" si="49"/>
        <v>12084.025668707141</v>
      </c>
      <c r="H129" s="33">
        <f t="shared" si="45"/>
        <v>23476.379363765529</v>
      </c>
      <c r="I129" s="33">
        <f>delta_a*G129+(H129-G129)/theta_a</f>
        <v>6818.4576488629145</v>
      </c>
      <c r="J129" s="33">
        <f t="shared" si="46"/>
        <v>17870.407602618259</v>
      </c>
      <c r="K129" s="55">
        <f t="shared" si="47"/>
        <v>0.66204298761042413</v>
      </c>
      <c r="L129" s="55">
        <f t="shared" si="48"/>
        <v>0.41259374932136539</v>
      </c>
    </row>
    <row r="130" spans="1:25" x14ac:dyDescent="0.2">
      <c r="C130" s="5">
        <v>2032</v>
      </c>
      <c r="D130" s="33">
        <f>D129</f>
        <v>21731.808429081259</v>
      </c>
      <c r="E130" s="55">
        <f>p_star</f>
        <v>3.5000000000000003E-2</v>
      </c>
      <c r="F130" s="97">
        <f t="shared" si="44"/>
        <v>1.0422982977769235</v>
      </c>
      <c r="G130" s="33">
        <f t="shared" si="49"/>
        <v>15881.476900393271</v>
      </c>
      <c r="H130" s="33">
        <f t="shared" si="45"/>
        <v>23476.379363765529</v>
      </c>
      <c r="I130" s="33">
        <f>delta_a*G130+(H130-G130)/theta_a</f>
        <v>6502.0033795557374</v>
      </c>
      <c r="J130" s="33">
        <f t="shared" si="46"/>
        <v>19574.659115177863</v>
      </c>
      <c r="K130" s="55">
        <f t="shared" si="47"/>
        <v>0.72744093631965967</v>
      </c>
      <c r="L130" s="55">
        <f t="shared" si="48"/>
        <v>0.43483194169349348</v>
      </c>
    </row>
    <row r="136" spans="1:25" x14ac:dyDescent="0.2">
      <c r="A136" t="s">
        <v>2</v>
      </c>
      <c r="C136" s="95" t="s">
        <v>215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spans="1:25" x14ac:dyDescent="0.2">
      <c r="C137" s="25" t="s">
        <v>216</v>
      </c>
    </row>
    <row r="139" spans="1:25" ht="17" x14ac:dyDescent="0.3">
      <c r="C139" s="46" t="s">
        <v>77</v>
      </c>
      <c r="D139" s="46" t="s">
        <v>217</v>
      </c>
      <c r="E139" s="122">
        <v>0</v>
      </c>
      <c r="F139" s="122">
        <v>1</v>
      </c>
      <c r="G139" s="122">
        <v>2</v>
      </c>
      <c r="H139" s="122">
        <v>3</v>
      </c>
      <c r="I139" s="122">
        <v>4</v>
      </c>
      <c r="J139" s="122">
        <v>5</v>
      </c>
      <c r="K139" s="122">
        <v>6</v>
      </c>
      <c r="L139" s="122">
        <v>7</v>
      </c>
      <c r="M139" s="122">
        <v>8</v>
      </c>
      <c r="N139" s="122">
        <v>9</v>
      </c>
      <c r="O139" s="122">
        <v>10</v>
      </c>
      <c r="P139" s="122">
        <v>11</v>
      </c>
      <c r="Q139" s="122">
        <v>12</v>
      </c>
      <c r="R139" s="122">
        <v>13</v>
      </c>
      <c r="S139" s="122">
        <v>14</v>
      </c>
      <c r="T139" s="122">
        <v>15</v>
      </c>
      <c r="U139" s="122">
        <v>16</v>
      </c>
      <c r="V139" s="122">
        <v>17</v>
      </c>
      <c r="W139" s="122">
        <v>18</v>
      </c>
      <c r="X139" s="122">
        <v>19</v>
      </c>
      <c r="Y139" s="122">
        <v>20</v>
      </c>
    </row>
    <row r="140" spans="1:25" x14ac:dyDescent="0.2">
      <c r="C140" s="5">
        <v>2030</v>
      </c>
      <c r="D140" s="5">
        <f t="shared" ref="D140:D160" si="50">C140-2030</f>
        <v>0</v>
      </c>
      <c r="E140" s="97">
        <f t="shared" ref="E140:N149" si="51">IF(E$139&gt;$D140,0,IF(p_star=0,IF(E$139=0,1,0),IF(p_star=1,IF(E$139=$D140,1,0),COMBIN($D140,E$139)*p_star^E$139*(1-p_star)^($D140-E$139))))</f>
        <v>1</v>
      </c>
      <c r="F140" s="97">
        <f t="shared" si="51"/>
        <v>0</v>
      </c>
      <c r="G140" s="97">
        <f t="shared" si="51"/>
        <v>0</v>
      </c>
      <c r="H140" s="97">
        <f t="shared" si="51"/>
        <v>0</v>
      </c>
      <c r="I140" s="97">
        <f t="shared" si="51"/>
        <v>0</v>
      </c>
      <c r="J140" s="97">
        <f t="shared" si="51"/>
        <v>0</v>
      </c>
      <c r="K140" s="97">
        <f t="shared" si="51"/>
        <v>0</v>
      </c>
      <c r="L140" s="97">
        <f t="shared" si="51"/>
        <v>0</v>
      </c>
      <c r="M140" s="97">
        <f t="shared" si="51"/>
        <v>0</v>
      </c>
      <c r="N140" s="97">
        <f t="shared" si="51"/>
        <v>0</v>
      </c>
      <c r="O140" s="97">
        <f t="shared" ref="O140:Y149" si="52">IF(O$139&gt;$D140,0,IF(p_star=0,IF(O$139=0,1,0),IF(p_star=1,IF(O$139=$D140,1,0),COMBIN($D140,O$139)*p_star^O$139*(1-p_star)^($D140-O$139))))</f>
        <v>0</v>
      </c>
      <c r="P140" s="97">
        <f t="shared" si="52"/>
        <v>0</v>
      </c>
      <c r="Q140" s="97">
        <f t="shared" si="52"/>
        <v>0</v>
      </c>
      <c r="R140" s="97">
        <f t="shared" si="52"/>
        <v>0</v>
      </c>
      <c r="S140" s="97">
        <f t="shared" si="52"/>
        <v>0</v>
      </c>
      <c r="T140" s="97">
        <f t="shared" si="52"/>
        <v>0</v>
      </c>
      <c r="U140" s="97">
        <f t="shared" si="52"/>
        <v>0</v>
      </c>
      <c r="V140" s="97">
        <f t="shared" si="52"/>
        <v>0</v>
      </c>
      <c r="W140" s="97">
        <f t="shared" si="52"/>
        <v>0</v>
      </c>
      <c r="X140" s="97">
        <f t="shared" si="52"/>
        <v>0</v>
      </c>
      <c r="Y140" s="97">
        <f t="shared" si="52"/>
        <v>0</v>
      </c>
    </row>
    <row r="141" spans="1:25" x14ac:dyDescent="0.2">
      <c r="C141" s="5">
        <v>2031</v>
      </c>
      <c r="D141" s="5">
        <f t="shared" si="50"/>
        <v>1</v>
      </c>
      <c r="E141" s="97">
        <f t="shared" si="51"/>
        <v>0.96499999999999997</v>
      </c>
      <c r="F141" s="97">
        <f t="shared" si="51"/>
        <v>3.5000000000000003E-2</v>
      </c>
      <c r="G141" s="97">
        <f t="shared" si="51"/>
        <v>0</v>
      </c>
      <c r="H141" s="97">
        <f t="shared" si="51"/>
        <v>0</v>
      </c>
      <c r="I141" s="97">
        <f t="shared" si="51"/>
        <v>0</v>
      </c>
      <c r="J141" s="97">
        <f t="shared" si="51"/>
        <v>0</v>
      </c>
      <c r="K141" s="97">
        <f t="shared" si="51"/>
        <v>0</v>
      </c>
      <c r="L141" s="97">
        <f t="shared" si="51"/>
        <v>0</v>
      </c>
      <c r="M141" s="97">
        <f t="shared" si="51"/>
        <v>0</v>
      </c>
      <c r="N141" s="97">
        <f t="shared" si="51"/>
        <v>0</v>
      </c>
      <c r="O141" s="97">
        <f t="shared" si="52"/>
        <v>0</v>
      </c>
      <c r="P141" s="97">
        <f t="shared" si="52"/>
        <v>0</v>
      </c>
      <c r="Q141" s="97">
        <f t="shared" si="52"/>
        <v>0</v>
      </c>
      <c r="R141" s="97">
        <f t="shared" si="52"/>
        <v>0</v>
      </c>
      <c r="S141" s="97">
        <f t="shared" si="52"/>
        <v>0</v>
      </c>
      <c r="T141" s="97">
        <f t="shared" si="52"/>
        <v>0</v>
      </c>
      <c r="U141" s="97">
        <f t="shared" si="52"/>
        <v>0</v>
      </c>
      <c r="V141" s="97">
        <f t="shared" si="52"/>
        <v>0</v>
      </c>
      <c r="W141" s="97">
        <f t="shared" si="52"/>
        <v>0</v>
      </c>
      <c r="X141" s="97">
        <f t="shared" si="52"/>
        <v>0</v>
      </c>
      <c r="Y141" s="97">
        <f t="shared" si="52"/>
        <v>0</v>
      </c>
    </row>
    <row r="142" spans="1:25" x14ac:dyDescent="0.2">
      <c r="C142" s="5">
        <v>2032</v>
      </c>
      <c r="D142" s="5">
        <f t="shared" si="50"/>
        <v>2</v>
      </c>
      <c r="E142" s="97">
        <f t="shared" si="51"/>
        <v>0.93122499999999997</v>
      </c>
      <c r="F142" s="97">
        <f t="shared" si="51"/>
        <v>6.7549999999999999E-2</v>
      </c>
      <c r="G142" s="97">
        <f t="shared" si="51"/>
        <v>1.2250000000000002E-3</v>
      </c>
      <c r="H142" s="97">
        <f t="shared" si="51"/>
        <v>0</v>
      </c>
      <c r="I142" s="97">
        <f t="shared" si="51"/>
        <v>0</v>
      </c>
      <c r="J142" s="97">
        <f t="shared" si="51"/>
        <v>0</v>
      </c>
      <c r="K142" s="97">
        <f t="shared" si="51"/>
        <v>0</v>
      </c>
      <c r="L142" s="97">
        <f t="shared" si="51"/>
        <v>0</v>
      </c>
      <c r="M142" s="97">
        <f t="shared" si="51"/>
        <v>0</v>
      </c>
      <c r="N142" s="97">
        <f t="shared" si="51"/>
        <v>0</v>
      </c>
      <c r="O142" s="97">
        <f t="shared" si="52"/>
        <v>0</v>
      </c>
      <c r="P142" s="97">
        <f t="shared" si="52"/>
        <v>0</v>
      </c>
      <c r="Q142" s="97">
        <f t="shared" si="52"/>
        <v>0</v>
      </c>
      <c r="R142" s="97">
        <f t="shared" si="52"/>
        <v>0</v>
      </c>
      <c r="S142" s="97">
        <f t="shared" si="52"/>
        <v>0</v>
      </c>
      <c r="T142" s="97">
        <f t="shared" si="52"/>
        <v>0</v>
      </c>
      <c r="U142" s="97">
        <f t="shared" si="52"/>
        <v>0</v>
      </c>
      <c r="V142" s="97">
        <f t="shared" si="52"/>
        <v>0</v>
      </c>
      <c r="W142" s="97">
        <f t="shared" si="52"/>
        <v>0</v>
      </c>
      <c r="X142" s="97">
        <f t="shared" si="52"/>
        <v>0</v>
      </c>
      <c r="Y142" s="97">
        <f t="shared" si="52"/>
        <v>0</v>
      </c>
    </row>
    <row r="143" spans="1:25" x14ac:dyDescent="0.2">
      <c r="C143" s="5">
        <v>2033</v>
      </c>
      <c r="D143" s="5">
        <f t="shared" si="50"/>
        <v>3</v>
      </c>
      <c r="E143" s="97">
        <f t="shared" si="51"/>
        <v>0.89863212499999989</v>
      </c>
      <c r="F143" s="97">
        <f t="shared" si="51"/>
        <v>9.7778625000000008E-2</v>
      </c>
      <c r="G143" s="97">
        <f t="shared" si="51"/>
        <v>3.546375E-3</v>
      </c>
      <c r="H143" s="97">
        <f t="shared" si="51"/>
        <v>4.2875000000000012E-5</v>
      </c>
      <c r="I143" s="97">
        <f t="shared" si="51"/>
        <v>0</v>
      </c>
      <c r="J143" s="97">
        <f t="shared" si="51"/>
        <v>0</v>
      </c>
      <c r="K143" s="97">
        <f t="shared" si="51"/>
        <v>0</v>
      </c>
      <c r="L143" s="97">
        <f t="shared" si="51"/>
        <v>0</v>
      </c>
      <c r="M143" s="97">
        <f t="shared" si="51"/>
        <v>0</v>
      </c>
      <c r="N143" s="97">
        <f t="shared" si="51"/>
        <v>0</v>
      </c>
      <c r="O143" s="97">
        <f t="shared" si="52"/>
        <v>0</v>
      </c>
      <c r="P143" s="97">
        <f t="shared" si="52"/>
        <v>0</v>
      </c>
      <c r="Q143" s="97">
        <f t="shared" si="52"/>
        <v>0</v>
      </c>
      <c r="R143" s="97">
        <f t="shared" si="52"/>
        <v>0</v>
      </c>
      <c r="S143" s="97">
        <f t="shared" si="52"/>
        <v>0</v>
      </c>
      <c r="T143" s="97">
        <f t="shared" si="52"/>
        <v>0</v>
      </c>
      <c r="U143" s="97">
        <f t="shared" si="52"/>
        <v>0</v>
      </c>
      <c r="V143" s="97">
        <f t="shared" si="52"/>
        <v>0</v>
      </c>
      <c r="W143" s="97">
        <f t="shared" si="52"/>
        <v>0</v>
      </c>
      <c r="X143" s="97">
        <f t="shared" si="52"/>
        <v>0</v>
      </c>
      <c r="Y143" s="97">
        <f t="shared" si="52"/>
        <v>0</v>
      </c>
    </row>
    <row r="144" spans="1:25" x14ac:dyDescent="0.2">
      <c r="C144" s="5">
        <v>2034</v>
      </c>
      <c r="D144" s="5">
        <f t="shared" si="50"/>
        <v>4</v>
      </c>
      <c r="E144" s="97">
        <f t="shared" si="51"/>
        <v>0.86718000062499989</v>
      </c>
      <c r="F144" s="97">
        <f t="shared" si="51"/>
        <v>0.1258084975</v>
      </c>
      <c r="G144" s="97">
        <f t="shared" si="51"/>
        <v>6.8445037500000005E-3</v>
      </c>
      <c r="H144" s="97">
        <f t="shared" si="51"/>
        <v>1.6549750000000005E-4</v>
      </c>
      <c r="I144" s="97">
        <f t="shared" si="51"/>
        <v>1.5006250000000003E-6</v>
      </c>
      <c r="J144" s="97">
        <f t="shared" si="51"/>
        <v>0</v>
      </c>
      <c r="K144" s="97">
        <f t="shared" si="51"/>
        <v>0</v>
      </c>
      <c r="L144" s="97">
        <f t="shared" si="51"/>
        <v>0</v>
      </c>
      <c r="M144" s="97">
        <f t="shared" si="51"/>
        <v>0</v>
      </c>
      <c r="N144" s="97">
        <f t="shared" si="51"/>
        <v>0</v>
      </c>
      <c r="O144" s="97">
        <f t="shared" si="52"/>
        <v>0</v>
      </c>
      <c r="P144" s="97">
        <f t="shared" si="52"/>
        <v>0</v>
      </c>
      <c r="Q144" s="97">
        <f t="shared" si="52"/>
        <v>0</v>
      </c>
      <c r="R144" s="97">
        <f t="shared" si="52"/>
        <v>0</v>
      </c>
      <c r="S144" s="97">
        <f t="shared" si="52"/>
        <v>0</v>
      </c>
      <c r="T144" s="97">
        <f t="shared" si="52"/>
        <v>0</v>
      </c>
      <c r="U144" s="97">
        <f t="shared" si="52"/>
        <v>0</v>
      </c>
      <c r="V144" s="97">
        <f t="shared" si="52"/>
        <v>0</v>
      </c>
      <c r="W144" s="97">
        <f t="shared" si="52"/>
        <v>0</v>
      </c>
      <c r="X144" s="97">
        <f t="shared" si="52"/>
        <v>0</v>
      </c>
      <c r="Y144" s="97">
        <f t="shared" si="52"/>
        <v>0</v>
      </c>
    </row>
    <row r="145" spans="3:25" x14ac:dyDescent="0.2">
      <c r="C145" s="5">
        <v>2035</v>
      </c>
      <c r="D145" s="5">
        <f t="shared" si="50"/>
        <v>5</v>
      </c>
      <c r="E145" s="97">
        <f t="shared" si="51"/>
        <v>0.83682870060312486</v>
      </c>
      <c r="F145" s="97">
        <f t="shared" si="51"/>
        <v>0.151756500109375</v>
      </c>
      <c r="G145" s="97">
        <f t="shared" si="51"/>
        <v>1.1008243531250001E-2</v>
      </c>
      <c r="H145" s="97">
        <f t="shared" si="51"/>
        <v>3.9926271875000006E-4</v>
      </c>
      <c r="I145" s="97">
        <f t="shared" si="51"/>
        <v>7.2405156250000015E-6</v>
      </c>
      <c r="J145" s="97">
        <f t="shared" si="51"/>
        <v>5.2521875000000015E-8</v>
      </c>
      <c r="K145" s="97">
        <f t="shared" si="51"/>
        <v>0</v>
      </c>
      <c r="L145" s="97">
        <f t="shared" si="51"/>
        <v>0</v>
      </c>
      <c r="M145" s="97">
        <f t="shared" si="51"/>
        <v>0</v>
      </c>
      <c r="N145" s="97">
        <f t="shared" si="51"/>
        <v>0</v>
      </c>
      <c r="O145" s="97">
        <f t="shared" si="52"/>
        <v>0</v>
      </c>
      <c r="P145" s="97">
        <f t="shared" si="52"/>
        <v>0</v>
      </c>
      <c r="Q145" s="97">
        <f t="shared" si="52"/>
        <v>0</v>
      </c>
      <c r="R145" s="97">
        <f t="shared" si="52"/>
        <v>0</v>
      </c>
      <c r="S145" s="97">
        <f t="shared" si="52"/>
        <v>0</v>
      </c>
      <c r="T145" s="97">
        <f t="shared" si="52"/>
        <v>0</v>
      </c>
      <c r="U145" s="97">
        <f t="shared" si="52"/>
        <v>0</v>
      </c>
      <c r="V145" s="97">
        <f t="shared" si="52"/>
        <v>0</v>
      </c>
      <c r="W145" s="97">
        <f t="shared" si="52"/>
        <v>0</v>
      </c>
      <c r="X145" s="97">
        <f t="shared" si="52"/>
        <v>0</v>
      </c>
      <c r="Y145" s="97">
        <f t="shared" si="52"/>
        <v>0</v>
      </c>
    </row>
    <row r="146" spans="3:25" x14ac:dyDescent="0.2">
      <c r="C146" s="5">
        <v>2036</v>
      </c>
      <c r="D146" s="5">
        <f t="shared" si="50"/>
        <v>6</v>
      </c>
      <c r="E146" s="97">
        <f t="shared" si="51"/>
        <v>0.80753969608201548</v>
      </c>
      <c r="F146" s="97">
        <f t="shared" si="51"/>
        <v>0.17573402712665623</v>
      </c>
      <c r="G146" s="97">
        <f t="shared" si="51"/>
        <v>1.5934432511484374E-2</v>
      </c>
      <c r="H146" s="97">
        <f t="shared" si="51"/>
        <v>7.7057704718750005E-4</v>
      </c>
      <c r="I146" s="97">
        <f t="shared" si="51"/>
        <v>2.0961292734375004E-5</v>
      </c>
      <c r="J146" s="97">
        <f t="shared" si="51"/>
        <v>3.0410165625000008E-7</v>
      </c>
      <c r="K146" s="97">
        <f t="shared" si="51"/>
        <v>1.8382656250000008E-9</v>
      </c>
      <c r="L146" s="97">
        <f t="shared" si="51"/>
        <v>0</v>
      </c>
      <c r="M146" s="97">
        <f t="shared" si="51"/>
        <v>0</v>
      </c>
      <c r="N146" s="97">
        <f t="shared" si="51"/>
        <v>0</v>
      </c>
      <c r="O146" s="97">
        <f t="shared" si="52"/>
        <v>0</v>
      </c>
      <c r="P146" s="97">
        <f t="shared" si="52"/>
        <v>0</v>
      </c>
      <c r="Q146" s="97">
        <f t="shared" si="52"/>
        <v>0</v>
      </c>
      <c r="R146" s="97">
        <f t="shared" si="52"/>
        <v>0</v>
      </c>
      <c r="S146" s="97">
        <f t="shared" si="52"/>
        <v>0</v>
      </c>
      <c r="T146" s="97">
        <f t="shared" si="52"/>
        <v>0</v>
      </c>
      <c r="U146" s="97">
        <f t="shared" si="52"/>
        <v>0</v>
      </c>
      <c r="V146" s="97">
        <f t="shared" si="52"/>
        <v>0</v>
      </c>
      <c r="W146" s="97">
        <f t="shared" si="52"/>
        <v>0</v>
      </c>
      <c r="X146" s="97">
        <f t="shared" si="52"/>
        <v>0</v>
      </c>
      <c r="Y146" s="97">
        <f t="shared" si="52"/>
        <v>0</v>
      </c>
    </row>
    <row r="147" spans="3:25" x14ac:dyDescent="0.2">
      <c r="C147" s="5">
        <v>2037</v>
      </c>
      <c r="D147" s="5">
        <f t="shared" si="50"/>
        <v>7</v>
      </c>
      <c r="E147" s="97">
        <f t="shared" si="51"/>
        <v>0.77927580671914487</v>
      </c>
      <c r="F147" s="97">
        <f t="shared" si="51"/>
        <v>0.19784722554009382</v>
      </c>
      <c r="G147" s="97">
        <f t="shared" si="51"/>
        <v>2.1527418323015392E-2</v>
      </c>
      <c r="H147" s="97">
        <f t="shared" si="51"/>
        <v>1.3013119884378909E-3</v>
      </c>
      <c r="I147" s="97">
        <f t="shared" si="51"/>
        <v>4.7197844140234379E-5</v>
      </c>
      <c r="J147" s="97">
        <f t="shared" si="51"/>
        <v>1.0271033439843754E-6</v>
      </c>
      <c r="K147" s="97">
        <f t="shared" si="51"/>
        <v>1.2417484296875004E-8</v>
      </c>
      <c r="L147" s="97">
        <f t="shared" si="51"/>
        <v>6.4339296875000029E-11</v>
      </c>
      <c r="M147" s="97">
        <f t="shared" si="51"/>
        <v>0</v>
      </c>
      <c r="N147" s="97">
        <f t="shared" si="51"/>
        <v>0</v>
      </c>
      <c r="O147" s="97">
        <f t="shared" si="52"/>
        <v>0</v>
      </c>
      <c r="P147" s="97">
        <f t="shared" si="52"/>
        <v>0</v>
      </c>
      <c r="Q147" s="97">
        <f t="shared" si="52"/>
        <v>0</v>
      </c>
      <c r="R147" s="97">
        <f t="shared" si="52"/>
        <v>0</v>
      </c>
      <c r="S147" s="97">
        <f t="shared" si="52"/>
        <v>0</v>
      </c>
      <c r="T147" s="97">
        <f t="shared" si="52"/>
        <v>0</v>
      </c>
      <c r="U147" s="97">
        <f t="shared" si="52"/>
        <v>0</v>
      </c>
      <c r="V147" s="97">
        <f t="shared" si="52"/>
        <v>0</v>
      </c>
      <c r="W147" s="97">
        <f t="shared" si="52"/>
        <v>0</v>
      </c>
      <c r="X147" s="97">
        <f t="shared" si="52"/>
        <v>0</v>
      </c>
      <c r="Y147" s="97">
        <f t="shared" si="52"/>
        <v>0</v>
      </c>
    </row>
    <row r="148" spans="3:25" x14ac:dyDescent="0.2">
      <c r="C148" s="5">
        <v>2038</v>
      </c>
      <c r="D148" s="5">
        <f t="shared" si="50"/>
        <v>8</v>
      </c>
      <c r="E148" s="97">
        <f t="shared" si="51"/>
        <v>0.75200115348397478</v>
      </c>
      <c r="F148" s="97">
        <f t="shared" si="51"/>
        <v>0.21819722588136059</v>
      </c>
      <c r="G148" s="97">
        <f t="shared" si="51"/>
        <v>2.7698611575613135E-2</v>
      </c>
      <c r="H148" s="97">
        <f t="shared" si="51"/>
        <v>2.0092257101481034E-3</v>
      </c>
      <c r="I148" s="97">
        <f t="shared" si="51"/>
        <v>9.1091839190652352E-5</v>
      </c>
      <c r="J148" s="97">
        <f t="shared" si="51"/>
        <v>2.6430792718531253E-6</v>
      </c>
      <c r="K148" s="97">
        <f t="shared" si="51"/>
        <v>4.7931489385937521E-8</v>
      </c>
      <c r="L148" s="97">
        <f t="shared" si="51"/>
        <v>4.9669937187500021E-10</v>
      </c>
      <c r="M148" s="97">
        <f t="shared" si="51"/>
        <v>2.2518753906250012E-12</v>
      </c>
      <c r="N148" s="97">
        <f t="shared" si="51"/>
        <v>0</v>
      </c>
      <c r="O148" s="97">
        <f t="shared" si="52"/>
        <v>0</v>
      </c>
      <c r="P148" s="97">
        <f t="shared" si="52"/>
        <v>0</v>
      </c>
      <c r="Q148" s="97">
        <f t="shared" si="52"/>
        <v>0</v>
      </c>
      <c r="R148" s="97">
        <f t="shared" si="52"/>
        <v>0</v>
      </c>
      <c r="S148" s="97">
        <f t="shared" si="52"/>
        <v>0</v>
      </c>
      <c r="T148" s="97">
        <f t="shared" si="52"/>
        <v>0</v>
      </c>
      <c r="U148" s="97">
        <f t="shared" si="52"/>
        <v>0</v>
      </c>
      <c r="V148" s="97">
        <f t="shared" si="52"/>
        <v>0</v>
      </c>
      <c r="W148" s="97">
        <f t="shared" si="52"/>
        <v>0</v>
      </c>
      <c r="X148" s="97">
        <f t="shared" si="52"/>
        <v>0</v>
      </c>
      <c r="Y148" s="97">
        <f t="shared" si="52"/>
        <v>0</v>
      </c>
    </row>
    <row r="149" spans="3:25" x14ac:dyDescent="0.2">
      <c r="C149" s="5">
        <v>2039</v>
      </c>
      <c r="D149" s="5">
        <f t="shared" si="50"/>
        <v>9</v>
      </c>
      <c r="E149" s="97">
        <f t="shared" si="51"/>
        <v>0.72568111311203565</v>
      </c>
      <c r="F149" s="97">
        <f t="shared" si="51"/>
        <v>0.23688036334745211</v>
      </c>
      <c r="G149" s="97">
        <f t="shared" si="51"/>
        <v>3.4366063076314297E-2</v>
      </c>
      <c r="H149" s="97">
        <f t="shared" si="51"/>
        <v>2.9083542154393792E-3</v>
      </c>
      <c r="I149" s="97">
        <f t="shared" si="51"/>
        <v>1.5822652467416311E-4</v>
      </c>
      <c r="J149" s="97">
        <f t="shared" si="51"/>
        <v>5.7387858690110981E-6</v>
      </c>
      <c r="K149" s="97">
        <f t="shared" si="51"/>
        <v>1.3876166177228909E-7</v>
      </c>
      <c r="L149" s="97">
        <f t="shared" si="51"/>
        <v>2.1569170223671882E-9</v>
      </c>
      <c r="M149" s="97">
        <f t="shared" si="51"/>
        <v>1.9557537767578134E-11</v>
      </c>
      <c r="N149" s="97">
        <f t="shared" si="51"/>
        <v>7.8815638671875043E-14</v>
      </c>
      <c r="O149" s="97">
        <f t="shared" si="52"/>
        <v>0</v>
      </c>
      <c r="P149" s="97">
        <f t="shared" si="52"/>
        <v>0</v>
      </c>
      <c r="Q149" s="97">
        <f t="shared" si="52"/>
        <v>0</v>
      </c>
      <c r="R149" s="97">
        <f t="shared" si="52"/>
        <v>0</v>
      </c>
      <c r="S149" s="97">
        <f t="shared" si="52"/>
        <v>0</v>
      </c>
      <c r="T149" s="97">
        <f t="shared" si="52"/>
        <v>0</v>
      </c>
      <c r="U149" s="97">
        <f t="shared" si="52"/>
        <v>0</v>
      </c>
      <c r="V149" s="97">
        <f t="shared" si="52"/>
        <v>0</v>
      </c>
      <c r="W149" s="97">
        <f t="shared" si="52"/>
        <v>0</v>
      </c>
      <c r="X149" s="97">
        <f t="shared" si="52"/>
        <v>0</v>
      </c>
      <c r="Y149" s="97">
        <f t="shared" si="52"/>
        <v>0</v>
      </c>
    </row>
    <row r="150" spans="3:25" x14ac:dyDescent="0.2">
      <c r="C150" s="5">
        <v>2040</v>
      </c>
      <c r="D150" s="5">
        <f t="shared" si="50"/>
        <v>10</v>
      </c>
      <c r="E150" s="97">
        <f t="shared" ref="E150:N160" si="53">IF(E$139&gt;$D150,0,IF(p_star=0,IF(E$139=0,1,0),IF(p_star=1,IF(E$139=$D150,1,0),COMBIN($D150,E$139)*p_star^E$139*(1-p_star)^($D150-E$139))))</f>
        <v>0.70028227415311439</v>
      </c>
      <c r="F150" s="97">
        <f t="shared" si="53"/>
        <v>0.25398838958921249</v>
      </c>
      <c r="G150" s="97">
        <f t="shared" si="53"/>
        <v>4.1454063585804113E-2</v>
      </c>
      <c r="H150" s="97">
        <f t="shared" si="53"/>
        <v>4.0093740255700014E-3</v>
      </c>
      <c r="I150" s="97">
        <f t="shared" si="53"/>
        <v>2.5448099385094568E-4</v>
      </c>
      <c r="J150" s="97">
        <f t="shared" si="53"/>
        <v>1.1075856727191419E-5</v>
      </c>
      <c r="K150" s="97">
        <f t="shared" si="53"/>
        <v>3.3476250902564743E-7</v>
      </c>
      <c r="L150" s="97">
        <f t="shared" si="53"/>
        <v>6.9380830886144559E-9</v>
      </c>
      <c r="M150" s="97">
        <f t="shared" si="53"/>
        <v>9.4365119728564501E-11</v>
      </c>
      <c r="N150" s="97">
        <f t="shared" si="53"/>
        <v>7.6057091318359408E-13</v>
      </c>
      <c r="O150" s="97">
        <f t="shared" ref="O150:Y160" si="54">IF(O$139&gt;$D150,0,IF(p_star=0,IF(O$139=0,1,0),IF(p_star=1,IF(O$139=$D150,1,0),COMBIN($D150,O$139)*p_star^O$139*(1-p_star)^($D150-O$139))))</f>
        <v>2.7585473535156268E-15</v>
      </c>
      <c r="P150" s="97">
        <f t="shared" si="54"/>
        <v>0</v>
      </c>
      <c r="Q150" s="97">
        <f t="shared" si="54"/>
        <v>0</v>
      </c>
      <c r="R150" s="97">
        <f t="shared" si="54"/>
        <v>0</v>
      </c>
      <c r="S150" s="97">
        <f t="shared" si="54"/>
        <v>0</v>
      </c>
      <c r="T150" s="97">
        <f t="shared" si="54"/>
        <v>0</v>
      </c>
      <c r="U150" s="97">
        <f t="shared" si="54"/>
        <v>0</v>
      </c>
      <c r="V150" s="97">
        <f t="shared" si="54"/>
        <v>0</v>
      </c>
      <c r="W150" s="97">
        <f t="shared" si="54"/>
        <v>0</v>
      </c>
      <c r="X150" s="97">
        <f t="shared" si="54"/>
        <v>0</v>
      </c>
      <c r="Y150" s="97">
        <f t="shared" si="54"/>
        <v>0</v>
      </c>
    </row>
    <row r="151" spans="3:25" x14ac:dyDescent="0.2">
      <c r="C151" s="5">
        <v>2041</v>
      </c>
      <c r="D151" s="5">
        <f t="shared" si="50"/>
        <v>11</v>
      </c>
      <c r="E151" s="97">
        <f t="shared" si="53"/>
        <v>0.67577239455775528</v>
      </c>
      <c r="F151" s="97">
        <f t="shared" si="53"/>
        <v>0.26960867554894907</v>
      </c>
      <c r="G151" s="97">
        <f t="shared" si="53"/>
        <v>4.8892764995923405E-2</v>
      </c>
      <c r="H151" s="97">
        <f t="shared" si="53"/>
        <v>5.3199381601781951E-3</v>
      </c>
      <c r="I151" s="97">
        <f t="shared" si="53"/>
        <v>3.8590224996111261E-4</v>
      </c>
      <c r="J151" s="97">
        <f t="shared" si="53"/>
        <v>1.9595036526522819E-5</v>
      </c>
      <c r="K151" s="97">
        <f t="shared" si="53"/>
        <v>7.107008066614495E-7</v>
      </c>
      <c r="L151" s="97">
        <f t="shared" si="53"/>
        <v>1.8411937996410612E-8</v>
      </c>
      <c r="M151" s="97">
        <f t="shared" si="53"/>
        <v>3.3389524863957067E-10</v>
      </c>
      <c r="N151" s="97">
        <f t="shared" si="53"/>
        <v>4.036730121721926E-12</v>
      </c>
      <c r="O151" s="97">
        <f t="shared" si="54"/>
        <v>2.9281980157568377E-14</v>
      </c>
      <c r="P151" s="97">
        <f t="shared" si="54"/>
        <v>9.6549157373046953E-17</v>
      </c>
      <c r="Q151" s="97">
        <f t="shared" si="54"/>
        <v>0</v>
      </c>
      <c r="R151" s="97">
        <f t="shared" si="54"/>
        <v>0</v>
      </c>
      <c r="S151" s="97">
        <f t="shared" si="54"/>
        <v>0</v>
      </c>
      <c r="T151" s="97">
        <f t="shared" si="54"/>
        <v>0</v>
      </c>
      <c r="U151" s="97">
        <f t="shared" si="54"/>
        <v>0</v>
      </c>
      <c r="V151" s="97">
        <f t="shared" si="54"/>
        <v>0</v>
      </c>
      <c r="W151" s="97">
        <f t="shared" si="54"/>
        <v>0</v>
      </c>
      <c r="X151" s="97">
        <f t="shared" si="54"/>
        <v>0</v>
      </c>
      <c r="Y151" s="97">
        <f t="shared" si="54"/>
        <v>0</v>
      </c>
    </row>
    <row r="152" spans="3:25" x14ac:dyDescent="0.2">
      <c r="C152" s="5">
        <v>2042</v>
      </c>
      <c r="D152" s="5">
        <f t="shared" si="50"/>
        <v>12</v>
      </c>
      <c r="E152" s="97">
        <f t="shared" si="53"/>
        <v>0.65212036074823387</v>
      </c>
      <c r="F152" s="97">
        <f t="shared" si="53"/>
        <v>0.28382440571425727</v>
      </c>
      <c r="G152" s="97">
        <f t="shared" si="53"/>
        <v>5.6617821865279305E-2</v>
      </c>
      <c r="H152" s="97">
        <f t="shared" si="53"/>
        <v>6.8449870994292785E-3</v>
      </c>
      <c r="I152" s="97">
        <f t="shared" si="53"/>
        <v>5.585935068187105E-4</v>
      </c>
      <c r="J152" s="97">
        <f t="shared" si="53"/>
        <v>3.241578899673346E-5</v>
      </c>
      <c r="K152" s="97">
        <f t="shared" si="53"/>
        <v>1.3716525568565972E-6</v>
      </c>
      <c r="L152" s="97">
        <f t="shared" si="53"/>
        <v>4.2642048399686976E-8</v>
      </c>
      <c r="M152" s="97">
        <f t="shared" si="53"/>
        <v>9.6662674481155717E-10</v>
      </c>
      <c r="N152" s="97">
        <f t="shared" si="53"/>
        <v>1.5581778269846632E-11</v>
      </c>
      <c r="O152" s="97">
        <f t="shared" si="54"/>
        <v>1.6954266511232091E-13</v>
      </c>
      <c r="P152" s="97">
        <f t="shared" si="54"/>
        <v>1.1180392423798838E-15</v>
      </c>
      <c r="Q152" s="97">
        <f t="shared" si="54"/>
        <v>3.3792205080566431E-18</v>
      </c>
      <c r="R152" s="97">
        <f t="shared" si="54"/>
        <v>0</v>
      </c>
      <c r="S152" s="97">
        <f t="shared" si="54"/>
        <v>0</v>
      </c>
      <c r="T152" s="97">
        <f t="shared" si="54"/>
        <v>0</v>
      </c>
      <c r="U152" s="97">
        <f t="shared" si="54"/>
        <v>0</v>
      </c>
      <c r="V152" s="97">
        <f t="shared" si="54"/>
        <v>0</v>
      </c>
      <c r="W152" s="97">
        <f t="shared" si="54"/>
        <v>0</v>
      </c>
      <c r="X152" s="97">
        <f t="shared" si="54"/>
        <v>0</v>
      </c>
      <c r="Y152" s="97">
        <f t="shared" si="54"/>
        <v>0</v>
      </c>
    </row>
    <row r="153" spans="3:25" x14ac:dyDescent="0.2">
      <c r="C153" s="5">
        <v>2043</v>
      </c>
      <c r="D153" s="5">
        <f t="shared" si="50"/>
        <v>13</v>
      </c>
      <c r="E153" s="97">
        <f t="shared" si="53"/>
        <v>0.62929614812204571</v>
      </c>
      <c r="F153" s="97">
        <f t="shared" si="53"/>
        <v>0.29671476414044645</v>
      </c>
      <c r="G153" s="97">
        <f t="shared" si="53"/>
        <v>6.4570052299993519E-2</v>
      </c>
      <c r="H153" s="97">
        <f t="shared" si="53"/>
        <v>8.5870363162340296E-3</v>
      </c>
      <c r="I153" s="97">
        <f t="shared" si="53"/>
        <v>7.7861728256008026E-4</v>
      </c>
      <c r="J153" s="97">
        <f t="shared" si="53"/>
        <v>5.0832009120502663E-5</v>
      </c>
      <c r="K153" s="97">
        <f t="shared" si="53"/>
        <v>2.458197332252288E-6</v>
      </c>
      <c r="L153" s="97">
        <f t="shared" si="53"/>
        <v>8.9157416195678847E-8</v>
      </c>
      <c r="M153" s="97">
        <f t="shared" si="53"/>
        <v>2.4252665027321965E-9</v>
      </c>
      <c r="N153" s="97">
        <f t="shared" si="53"/>
        <v>4.8868352098806498E-11</v>
      </c>
      <c r="O153" s="97">
        <f t="shared" si="54"/>
        <v>7.0897091127802187E-13</v>
      </c>
      <c r="P153" s="97">
        <f t="shared" si="54"/>
        <v>7.01290114782782E-15</v>
      </c>
      <c r="Q153" s="97">
        <f t="shared" si="54"/>
        <v>4.2392321273570583E-17</v>
      </c>
      <c r="R153" s="97">
        <f t="shared" si="54"/>
        <v>1.1827271778198253E-19</v>
      </c>
      <c r="S153" s="97">
        <f t="shared" si="54"/>
        <v>0</v>
      </c>
      <c r="T153" s="97">
        <f t="shared" si="54"/>
        <v>0</v>
      </c>
      <c r="U153" s="97">
        <f t="shared" si="54"/>
        <v>0</v>
      </c>
      <c r="V153" s="97">
        <f t="shared" si="54"/>
        <v>0</v>
      </c>
      <c r="W153" s="97">
        <f t="shared" si="54"/>
        <v>0</v>
      </c>
      <c r="X153" s="97">
        <f t="shared" si="54"/>
        <v>0</v>
      </c>
      <c r="Y153" s="97">
        <f t="shared" si="54"/>
        <v>0</v>
      </c>
    </row>
    <row r="154" spans="3:25" x14ac:dyDescent="0.2">
      <c r="C154" s="5">
        <v>2044</v>
      </c>
      <c r="D154" s="5">
        <f t="shared" si="50"/>
        <v>14</v>
      </c>
      <c r="E154" s="97">
        <f t="shared" si="53"/>
        <v>0.60727078293777403</v>
      </c>
      <c r="F154" s="97">
        <f t="shared" si="53"/>
        <v>0.30835511257980242</v>
      </c>
      <c r="G154" s="97">
        <f t="shared" si="53"/>
        <v>7.2695117214409383E-2</v>
      </c>
      <c r="H154" s="97">
        <f t="shared" si="53"/>
        <v>1.0546441875665611E-2</v>
      </c>
      <c r="I154" s="97">
        <f t="shared" si="53"/>
        <v>1.0519119487386686E-3</v>
      </c>
      <c r="J154" s="97">
        <f t="shared" si="53"/>
        <v>7.6304493690887873E-5</v>
      </c>
      <c r="K154" s="97">
        <f t="shared" si="53"/>
        <v>4.1512807448410503E-6</v>
      </c>
      <c r="L154" s="97">
        <f t="shared" si="53"/>
        <v>1.7207381325766016E-7</v>
      </c>
      <c r="M154" s="97">
        <f t="shared" si="53"/>
        <v>5.4608917419853291E-9</v>
      </c>
      <c r="N154" s="97">
        <f t="shared" si="53"/>
        <v>1.3204228737097515E-10</v>
      </c>
      <c r="O154" s="97">
        <f t="shared" si="54"/>
        <v>2.394549252841519E-12</v>
      </c>
      <c r="P154" s="97">
        <f t="shared" si="54"/>
        <v>3.1581431502384614E-14</v>
      </c>
      <c r="Q154" s="97">
        <f t="shared" si="54"/>
        <v>2.8636013020296933E-16</v>
      </c>
      <c r="R154" s="97">
        <f t="shared" si="54"/>
        <v>1.5978644172345839E-18</v>
      </c>
      <c r="S154" s="97">
        <f t="shared" si="54"/>
        <v>4.1395451223693888E-21</v>
      </c>
      <c r="T154" s="97">
        <f t="shared" si="54"/>
        <v>0</v>
      </c>
      <c r="U154" s="97">
        <f t="shared" si="54"/>
        <v>0</v>
      </c>
      <c r="V154" s="97">
        <f t="shared" si="54"/>
        <v>0</v>
      </c>
      <c r="W154" s="97">
        <f t="shared" si="54"/>
        <v>0</v>
      </c>
      <c r="X154" s="97">
        <f t="shared" si="54"/>
        <v>0</v>
      </c>
      <c r="Y154" s="97">
        <f t="shared" si="54"/>
        <v>0</v>
      </c>
    </row>
    <row r="155" spans="3:25" x14ac:dyDescent="0.2">
      <c r="C155" s="5">
        <v>2045</v>
      </c>
      <c r="D155" s="5">
        <f t="shared" si="50"/>
        <v>15</v>
      </c>
      <c r="E155" s="97">
        <f t="shared" si="53"/>
        <v>0.58601630553495188</v>
      </c>
      <c r="F155" s="97">
        <f t="shared" si="53"/>
        <v>0.31881716104233138</v>
      </c>
      <c r="G155" s="97">
        <f t="shared" si="53"/>
        <v>8.0943217052198146E-2</v>
      </c>
      <c r="H155" s="97">
        <f t="shared" si="53"/>
        <v>1.2721645512521645E-2</v>
      </c>
      <c r="I155" s="97">
        <f t="shared" si="53"/>
        <v>1.3842204961811114E-3</v>
      </c>
      <c r="J155" s="97">
        <f t="shared" si="53"/>
        <v>1.104507546175602E-4</v>
      </c>
      <c r="K155" s="97">
        <f t="shared" si="53"/>
        <v>6.6766431979526906E-6</v>
      </c>
      <c r="L155" s="97">
        <f t="shared" si="53"/>
        <v>3.113460558630788E-7</v>
      </c>
      <c r="M155" s="97">
        <f t="shared" si="53"/>
        <v>1.1292343995033947E-8</v>
      </c>
      <c r="N155" s="97">
        <f t="shared" si="53"/>
        <v>3.1855201828247759E-10</v>
      </c>
      <c r="O155" s="97">
        <f t="shared" si="54"/>
        <v>6.9322200869761973E-12</v>
      </c>
      <c r="P155" s="97">
        <f t="shared" si="54"/>
        <v>1.1428530524925431E-13</v>
      </c>
      <c r="Q155" s="97">
        <f t="shared" si="54"/>
        <v>1.381687628229327E-15</v>
      </c>
      <c r="R155" s="97">
        <f t="shared" si="54"/>
        <v>1.1564543719735301E-17</v>
      </c>
      <c r="S155" s="97">
        <f t="shared" si="54"/>
        <v>5.9919915646296898E-20</v>
      </c>
      <c r="T155" s="97">
        <f t="shared" si="54"/>
        <v>1.448840792829286E-22</v>
      </c>
      <c r="U155" s="97">
        <f t="shared" si="54"/>
        <v>0</v>
      </c>
      <c r="V155" s="97">
        <f t="shared" si="54"/>
        <v>0</v>
      </c>
      <c r="W155" s="97">
        <f t="shared" si="54"/>
        <v>0</v>
      </c>
      <c r="X155" s="97">
        <f t="shared" si="54"/>
        <v>0</v>
      </c>
      <c r="Y155" s="97">
        <f t="shared" si="54"/>
        <v>0</v>
      </c>
    </row>
    <row r="156" spans="3:25" x14ac:dyDescent="0.2">
      <c r="C156" s="5">
        <v>2046</v>
      </c>
      <c r="D156" s="5">
        <f t="shared" si="50"/>
        <v>16</v>
      </c>
      <c r="E156" s="97">
        <f t="shared" si="53"/>
        <v>0.56550573484122857</v>
      </c>
      <c r="F156" s="97">
        <f t="shared" si="53"/>
        <v>0.32816913109957307</v>
      </c>
      <c r="G156" s="97">
        <f t="shared" si="53"/>
        <v>8.9268805091852796E-2</v>
      </c>
      <c r="H156" s="97">
        <f t="shared" si="53"/>
        <v>1.5109400516410321E-2</v>
      </c>
      <c r="I156" s="97">
        <f t="shared" si="53"/>
        <v>1.7810303717530301E-3</v>
      </c>
      <c r="J156" s="97">
        <f t="shared" si="53"/>
        <v>1.5503269557228447E-4</v>
      </c>
      <c r="K156" s="97">
        <f t="shared" si="53"/>
        <v>1.0308737097638953E-5</v>
      </c>
      <c r="L156" s="97">
        <f t="shared" si="53"/>
        <v>5.3413145583621524E-7</v>
      </c>
      <c r="M156" s="97">
        <f t="shared" si="53"/>
        <v>2.1794223910415518E-8</v>
      </c>
      <c r="N156" s="97">
        <f t="shared" si="53"/>
        <v>7.0263473746877904E-10</v>
      </c>
      <c r="O156" s="97">
        <f t="shared" si="54"/>
        <v>1.7838913023818746E-11</v>
      </c>
      <c r="P156" s="97">
        <f t="shared" si="54"/>
        <v>3.5291302260969732E-13</v>
      </c>
      <c r="Q156" s="97">
        <f t="shared" si="54"/>
        <v>5.3333142449652025E-15</v>
      </c>
      <c r="R156" s="97">
        <f t="shared" si="54"/>
        <v>5.9518851677571006E-17</v>
      </c>
      <c r="S156" s="97">
        <f t="shared" si="54"/>
        <v>4.6258174878941205E-19</v>
      </c>
      <c r="T156" s="97">
        <f t="shared" si="54"/>
        <v>2.2370101841284175E-21</v>
      </c>
      <c r="U156" s="97">
        <f t="shared" si="54"/>
        <v>5.0709427749025019E-24</v>
      </c>
      <c r="V156" s="97">
        <f t="shared" si="54"/>
        <v>0</v>
      </c>
      <c r="W156" s="97">
        <f t="shared" si="54"/>
        <v>0</v>
      </c>
      <c r="X156" s="97">
        <f t="shared" si="54"/>
        <v>0</v>
      </c>
      <c r="Y156" s="97">
        <f t="shared" si="54"/>
        <v>0</v>
      </c>
    </row>
    <row r="157" spans="3:25" x14ac:dyDescent="0.2">
      <c r="C157" s="5">
        <v>2047</v>
      </c>
      <c r="D157" s="5">
        <f t="shared" si="50"/>
        <v>17</v>
      </c>
      <c r="E157" s="97">
        <f t="shared" si="53"/>
        <v>0.54571303412178551</v>
      </c>
      <c r="F157" s="97">
        <f t="shared" si="53"/>
        <v>0.33647591223053103</v>
      </c>
      <c r="G157" s="97">
        <f t="shared" si="53"/>
        <v>9.7630316502122991E-2</v>
      </c>
      <c r="H157" s="97">
        <f t="shared" si="53"/>
        <v>1.7704979676550808E-2</v>
      </c>
      <c r="I157" s="97">
        <f t="shared" si="53"/>
        <v>2.2475233268160351E-3</v>
      </c>
      <c r="J157" s="97">
        <f t="shared" si="53"/>
        <v>2.1194261423861062E-4</v>
      </c>
      <c r="K157" s="97">
        <f t="shared" si="53"/>
        <v>1.5374075644251546E-5</v>
      </c>
      <c r="L157" s="97">
        <f t="shared" si="53"/>
        <v>8.7624265329931106E-7</v>
      </c>
      <c r="M157" s="97">
        <f t="shared" si="53"/>
        <v>3.9726027027818507E-8</v>
      </c>
      <c r="N157" s="97">
        <f t="shared" si="53"/>
        <v>1.440840358521915E-9</v>
      </c>
      <c r="O157" s="97">
        <f t="shared" si="54"/>
        <v>4.1806766879392359E-11</v>
      </c>
      <c r="P157" s="97">
        <f t="shared" si="54"/>
        <v>9.6492302265201413E-13</v>
      </c>
      <c r="Q157" s="97">
        <f t="shared" si="54"/>
        <v>1.7498604037730826E-14</v>
      </c>
      <c r="R157" s="97">
        <f t="shared" si="54"/>
        <v>2.4410169044263809E-16</v>
      </c>
      <c r="S157" s="97">
        <f t="shared" si="54"/>
        <v>2.5295511962967681E-18</v>
      </c>
      <c r="T157" s="97">
        <f t="shared" si="54"/>
        <v>1.8349076035313345E-20</v>
      </c>
      <c r="U157" s="97">
        <f t="shared" si="54"/>
        <v>8.3188816222275542E-23</v>
      </c>
      <c r="V157" s="97">
        <f t="shared" si="54"/>
        <v>1.7748299712158758E-25</v>
      </c>
      <c r="W157" s="97">
        <f t="shared" si="54"/>
        <v>0</v>
      </c>
      <c r="X157" s="97">
        <f t="shared" si="54"/>
        <v>0</v>
      </c>
      <c r="Y157" s="97">
        <f t="shared" si="54"/>
        <v>0</v>
      </c>
    </row>
    <row r="158" spans="3:25" x14ac:dyDescent="0.2">
      <c r="C158" s="5">
        <v>2048</v>
      </c>
      <c r="D158" s="5">
        <f t="shared" si="50"/>
        <v>18</v>
      </c>
      <c r="E158" s="97">
        <f t="shared" si="53"/>
        <v>0.5266130779275231</v>
      </c>
      <c r="F158" s="97">
        <f t="shared" si="53"/>
        <v>0.34379921149672493</v>
      </c>
      <c r="G158" s="97">
        <f t="shared" si="53"/>
        <v>0.10598991235261729</v>
      </c>
      <c r="H158" s="97">
        <f t="shared" si="53"/>
        <v>2.0502366465445832E-2</v>
      </c>
      <c r="I158" s="97">
        <f t="shared" si="53"/>
        <v>2.7885342990567516E-3</v>
      </c>
      <c r="J158" s="97">
        <f t="shared" si="53"/>
        <v>2.8318793917882045E-4</v>
      </c>
      <c r="K158" s="97">
        <f t="shared" si="53"/>
        <v>2.2253974495054121E-5</v>
      </c>
      <c r="L158" s="97">
        <f t="shared" si="53"/>
        <v>1.3836668079826391E-6</v>
      </c>
      <c r="M158" s="97">
        <f t="shared" si="53"/>
        <v>6.9004108947320757E-8</v>
      </c>
      <c r="N158" s="97">
        <f t="shared" si="53"/>
        <v>2.7808218919472951E-9</v>
      </c>
      <c r="O158" s="97">
        <f t="shared" si="54"/>
        <v>9.0772942586880656E-11</v>
      </c>
      <c r="P158" s="97">
        <f t="shared" si="54"/>
        <v>2.3943875576379261E-12</v>
      </c>
      <c r="Q158" s="97">
        <f t="shared" si="54"/>
        <v>5.0658458689230754E-14</v>
      </c>
      <c r="R158" s="97">
        <f t="shared" si="54"/>
        <v>8.4800927259772476E-16</v>
      </c>
      <c r="S158" s="97">
        <f t="shared" si="54"/>
        <v>1.0984576069918716E-17</v>
      </c>
      <c r="T158" s="97">
        <f t="shared" si="54"/>
        <v>1.0624115024446425E-19</v>
      </c>
      <c r="U158" s="97">
        <f t="shared" si="54"/>
        <v>7.2249486889046304E-22</v>
      </c>
      <c r="V158" s="97">
        <f t="shared" si="54"/>
        <v>3.0828796600019762E-24</v>
      </c>
      <c r="W158" s="97">
        <f t="shared" si="54"/>
        <v>6.2119048992555659E-27</v>
      </c>
      <c r="X158" s="97">
        <f t="shared" si="54"/>
        <v>0</v>
      </c>
      <c r="Y158" s="97">
        <f t="shared" si="54"/>
        <v>0</v>
      </c>
    </row>
    <row r="159" spans="3:25" x14ac:dyDescent="0.2">
      <c r="C159" s="5">
        <v>2049</v>
      </c>
      <c r="D159" s="5">
        <f t="shared" si="50"/>
        <v>19</v>
      </c>
      <c r="E159" s="97">
        <f t="shared" si="53"/>
        <v>0.50818162020005975</v>
      </c>
      <c r="F159" s="97">
        <f t="shared" si="53"/>
        <v>0.35019769682180291</v>
      </c>
      <c r="G159" s="97">
        <f t="shared" si="53"/>
        <v>0.11431323782266103</v>
      </c>
      <c r="H159" s="97">
        <f t="shared" si="53"/>
        <v>2.3494430571496833E-2</v>
      </c>
      <c r="I159" s="97">
        <f t="shared" si="53"/>
        <v>3.4085184248803693E-3</v>
      </c>
      <c r="J159" s="97">
        <f t="shared" si="53"/>
        <v>3.7087506177454804E-4</v>
      </c>
      <c r="K159" s="97">
        <f t="shared" si="53"/>
        <v>3.1386663258985935E-5</v>
      </c>
      <c r="L159" s="97">
        <f t="shared" si="53"/>
        <v>2.1141275770301414E-6</v>
      </c>
      <c r="M159" s="97">
        <f t="shared" si="53"/>
        <v>1.1501730341355688E-7</v>
      </c>
      <c r="N159" s="97">
        <f t="shared" si="53"/>
        <v>5.0986369388853668E-9</v>
      </c>
      <c r="O159" s="97">
        <f t="shared" si="54"/>
        <v>1.849246558144952E-10</v>
      </c>
      <c r="P159" s="97">
        <f t="shared" si="54"/>
        <v>5.4876369836614208E-12</v>
      </c>
      <c r="Q159" s="97">
        <f t="shared" si="54"/>
        <v>1.326889771524351E-13</v>
      </c>
      <c r="R159" s="97">
        <f t="shared" si="54"/>
        <v>2.5913750021798807E-15</v>
      </c>
      <c r="S159" s="97">
        <f t="shared" si="54"/>
        <v>4.0280440448391927E-17</v>
      </c>
      <c r="T159" s="97">
        <f t="shared" si="54"/>
        <v>4.8698287243306305E-19</v>
      </c>
      <c r="U159" s="97">
        <f t="shared" si="54"/>
        <v>4.4156478070355462E-21</v>
      </c>
      <c r="V159" s="97">
        <f t="shared" si="54"/>
        <v>2.8262299283068114E-23</v>
      </c>
      <c r="W159" s="97">
        <f t="shared" si="54"/>
        <v>1.1389527632785079E-25</v>
      </c>
      <c r="X159" s="97">
        <f t="shared" si="54"/>
        <v>2.1741667147394483E-28</v>
      </c>
      <c r="Y159" s="97">
        <f t="shared" si="54"/>
        <v>0</v>
      </c>
    </row>
    <row r="160" spans="3:25" x14ac:dyDescent="0.2">
      <c r="C160" s="5">
        <v>2050</v>
      </c>
      <c r="D160" s="5">
        <f t="shared" si="50"/>
        <v>20</v>
      </c>
      <c r="E160" s="97">
        <f t="shared" si="53"/>
        <v>0.49039526349305762</v>
      </c>
      <c r="F160" s="97">
        <f t="shared" si="53"/>
        <v>0.35572713414004187</v>
      </c>
      <c r="G160" s="97">
        <f t="shared" si="53"/>
        <v>0.12256919388763102</v>
      </c>
      <c r="H160" s="97">
        <f t="shared" si="53"/>
        <v>2.6673088825287579E-2</v>
      </c>
      <c r="I160" s="97">
        <f t="shared" si="53"/>
        <v>4.1115253500119461E-3</v>
      </c>
      <c r="J160" s="97">
        <f t="shared" si="53"/>
        <v>4.7719257948325167E-4</v>
      </c>
      <c r="K160" s="97">
        <f t="shared" si="53"/>
        <v>4.3268757207030611E-5</v>
      </c>
      <c r="L160" s="97">
        <f t="shared" si="53"/>
        <v>3.1386663258985938E-6</v>
      </c>
      <c r="M160" s="97">
        <f t="shared" si="53"/>
        <v>1.8498616299013738E-7</v>
      </c>
      <c r="N160" s="97">
        <f t="shared" si="53"/>
        <v>8.9457902654988695E-9</v>
      </c>
      <c r="O160" s="97">
        <f t="shared" si="54"/>
        <v>3.5690458572197573E-10</v>
      </c>
      <c r="P160" s="97">
        <f t="shared" si="54"/>
        <v>1.1767932642740605E-11</v>
      </c>
      <c r="Q160" s="97">
        <f t="shared" si="54"/>
        <v>3.2011215738024963E-13</v>
      </c>
      <c r="R160" s="97">
        <f t="shared" si="54"/>
        <v>7.1447910774388121E-15</v>
      </c>
      <c r="S160" s="97">
        <f t="shared" si="54"/>
        <v>1.2956875010899403E-16</v>
      </c>
      <c r="T160" s="97">
        <f t="shared" si="54"/>
        <v>1.8797538875916227E-18</v>
      </c>
      <c r="U160" s="97">
        <f t="shared" si="54"/>
        <v>2.1305500668946512E-20</v>
      </c>
      <c r="V160" s="97">
        <f t="shared" si="54"/>
        <v>1.8182079205440486E-22</v>
      </c>
      <c r="W160" s="97">
        <f t="shared" si="54"/>
        <v>1.0990894165637602E-24</v>
      </c>
      <c r="X160" s="97">
        <f t="shared" si="54"/>
        <v>4.1961417594471346E-27</v>
      </c>
      <c r="Y160" s="97">
        <f t="shared" si="54"/>
        <v>7.6095835015880687E-30</v>
      </c>
    </row>
    <row r="164" spans="3:25" x14ac:dyDescent="0.2">
      <c r="C164" s="95" t="s">
        <v>218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6" spans="3:25" ht="17" x14ac:dyDescent="0.3">
      <c r="C166" s="46" t="s">
        <v>219</v>
      </c>
      <c r="E166" s="122">
        <v>0</v>
      </c>
      <c r="F166" s="122">
        <v>1</v>
      </c>
      <c r="G166" s="122">
        <v>2</v>
      </c>
      <c r="H166" s="122">
        <v>3</v>
      </c>
      <c r="I166" s="122">
        <v>4</v>
      </c>
      <c r="J166" s="122">
        <v>5</v>
      </c>
      <c r="K166" s="122">
        <v>6</v>
      </c>
      <c r="L166" s="122">
        <v>7</v>
      </c>
      <c r="M166" s="122">
        <v>8</v>
      </c>
      <c r="N166" s="122">
        <v>9</v>
      </c>
      <c r="O166" s="122">
        <v>10</v>
      </c>
      <c r="P166" s="122">
        <v>11</v>
      </c>
      <c r="Q166" s="122">
        <v>12</v>
      </c>
      <c r="R166" s="122">
        <v>13</v>
      </c>
      <c r="S166" s="122">
        <v>14</v>
      </c>
      <c r="T166" s="122">
        <v>15</v>
      </c>
      <c r="U166" s="122">
        <v>16</v>
      </c>
      <c r="V166" s="122">
        <v>17</v>
      </c>
      <c r="W166" s="122">
        <v>18</v>
      </c>
      <c r="X166" s="122">
        <v>19</v>
      </c>
      <c r="Y166" s="122">
        <v>20</v>
      </c>
    </row>
    <row r="167" spans="3:25" x14ac:dyDescent="0.2">
      <c r="C167" s="13" t="s">
        <v>117</v>
      </c>
      <c r="E167" s="33">
        <f t="shared" ref="E167:Y167" si="55">Ya0*exp_xi^(1+E$166)*(1+p_star*(exp_xi^(1-alpha)-1))^(alpha/(1-alpha))</f>
        <v>2069.9918108134311</v>
      </c>
      <c r="F167" s="33">
        <f t="shared" si="55"/>
        <v>6793.9360735088521</v>
      </c>
      <c r="G167" s="33">
        <f t="shared" si="55"/>
        <v>22298.429940544858</v>
      </c>
      <c r="H167" s="33">
        <f t="shared" si="55"/>
        <v>73185.848738283632</v>
      </c>
      <c r="I167" s="33">
        <f t="shared" si="55"/>
        <v>240203.83810987073</v>
      </c>
      <c r="J167" s="33">
        <f t="shared" si="55"/>
        <v>788374.86805739719</v>
      </c>
      <c r="K167" s="33">
        <f t="shared" si="55"/>
        <v>2587531.2296226691</v>
      </c>
      <c r="L167" s="33">
        <f t="shared" si="55"/>
        <v>8492556.1881117113</v>
      </c>
      <c r="M167" s="33">
        <f t="shared" si="55"/>
        <v>27873484.108152024</v>
      </c>
      <c r="N167" s="33">
        <f t="shared" si="55"/>
        <v>91483776.982834533</v>
      </c>
      <c r="O167" s="33">
        <f t="shared" si="55"/>
        <v>300259609.40409607</v>
      </c>
      <c r="P167" s="33">
        <f t="shared" si="55"/>
        <v>985484377.80850112</v>
      </c>
      <c r="Q167" s="33">
        <f t="shared" si="55"/>
        <v>3234465870.4913368</v>
      </c>
      <c r="R167" s="33">
        <f t="shared" si="55"/>
        <v>10615865358.14798</v>
      </c>
      <c r="S167" s="33">
        <f t="shared" si="55"/>
        <v>34842413497.226654</v>
      </c>
      <c r="T167" s="33">
        <f t="shared" si="55"/>
        <v>114356553832.88631</v>
      </c>
      <c r="U167" s="33">
        <f t="shared" si="55"/>
        <v>375330526559.95673</v>
      </c>
      <c r="V167" s="33">
        <f t="shared" si="55"/>
        <v>1231875213497.9302</v>
      </c>
      <c r="W167" s="33">
        <f t="shared" si="55"/>
        <v>4043147130981.2505</v>
      </c>
      <c r="X167" s="33">
        <f t="shared" si="55"/>
        <v>13270044354853.307</v>
      </c>
      <c r="Y167" s="33">
        <f t="shared" si="55"/>
        <v>43553714835264.227</v>
      </c>
    </row>
    <row r="168" spans="3:25" x14ac:dyDescent="0.2">
      <c r="C168" s="13" t="s">
        <v>173</v>
      </c>
      <c r="E168" s="33">
        <f t="shared" ref="E168:Y168" si="56">Ya0*exp_xi^(2+E$166)*(1+p_star*(exp_xi^(1-alpha)-1))^(alpha/(1-alpha))</f>
        <v>6793.9360735088521</v>
      </c>
      <c r="F168" s="33">
        <f t="shared" si="56"/>
        <v>22298.429940544858</v>
      </c>
      <c r="G168" s="33">
        <f t="shared" si="56"/>
        <v>73185.848738283632</v>
      </c>
      <c r="H168" s="33">
        <f t="shared" si="56"/>
        <v>240203.83810987073</v>
      </c>
      <c r="I168" s="33">
        <f t="shared" si="56"/>
        <v>788374.86805739719</v>
      </c>
      <c r="J168" s="33">
        <f t="shared" si="56"/>
        <v>2587531.2296226691</v>
      </c>
      <c r="K168" s="33">
        <f t="shared" si="56"/>
        <v>8492556.1881117113</v>
      </c>
      <c r="L168" s="33">
        <f t="shared" si="56"/>
        <v>27873484.108152024</v>
      </c>
      <c r="M168" s="33">
        <f t="shared" si="56"/>
        <v>91483776.982834533</v>
      </c>
      <c r="N168" s="33">
        <f t="shared" si="56"/>
        <v>300259609.40409607</v>
      </c>
      <c r="O168" s="33">
        <f t="shared" si="56"/>
        <v>985484377.80850112</v>
      </c>
      <c r="P168" s="33">
        <f t="shared" si="56"/>
        <v>3234465870.4913368</v>
      </c>
      <c r="Q168" s="33">
        <f t="shared" si="56"/>
        <v>10615865358.14798</v>
      </c>
      <c r="R168" s="33">
        <f t="shared" si="56"/>
        <v>34842413497.226654</v>
      </c>
      <c r="S168" s="33">
        <f t="shared" si="56"/>
        <v>114356553832.88631</v>
      </c>
      <c r="T168" s="33">
        <f t="shared" si="56"/>
        <v>375330526559.95673</v>
      </c>
      <c r="U168" s="33">
        <f t="shared" si="56"/>
        <v>1231875213497.9302</v>
      </c>
      <c r="V168" s="33">
        <f t="shared" si="56"/>
        <v>4043147130981.2505</v>
      </c>
      <c r="W168" s="33">
        <f t="shared" si="56"/>
        <v>13270044354853.307</v>
      </c>
      <c r="X168" s="33">
        <f t="shared" si="56"/>
        <v>43553714835264.227</v>
      </c>
      <c r="Y168" s="33">
        <f t="shared" si="56"/>
        <v>142947983083247.56</v>
      </c>
    </row>
    <row r="169" spans="3:25" x14ac:dyDescent="0.2">
      <c r="C169" s="13" t="s">
        <v>120</v>
      </c>
      <c r="E169" s="33">
        <f t="shared" ref="E169:Y169" si="57">Ya0*exp_xi^(3+E$166)*(1+p_star*(exp_xi^(1-alpha)-1))^(alpha/(1-alpha))</f>
        <v>22298.429940544858</v>
      </c>
      <c r="F169" s="33">
        <f t="shared" si="57"/>
        <v>73185.848738283632</v>
      </c>
      <c r="G169" s="33">
        <f t="shared" si="57"/>
        <v>240203.83810987073</v>
      </c>
      <c r="H169" s="33">
        <f t="shared" si="57"/>
        <v>788374.86805739719</v>
      </c>
      <c r="I169" s="33">
        <f t="shared" si="57"/>
        <v>2587531.2296226691</v>
      </c>
      <c r="J169" s="33">
        <f t="shared" si="57"/>
        <v>8492556.1881117113</v>
      </c>
      <c r="K169" s="33">
        <f t="shared" si="57"/>
        <v>27873484.108152024</v>
      </c>
      <c r="L169" s="33">
        <f t="shared" si="57"/>
        <v>91483776.982834533</v>
      </c>
      <c r="M169" s="33">
        <f t="shared" si="57"/>
        <v>300259609.40409607</v>
      </c>
      <c r="N169" s="33">
        <f t="shared" si="57"/>
        <v>985484377.80850112</v>
      </c>
      <c r="O169" s="33">
        <f t="shared" si="57"/>
        <v>3234465870.4913368</v>
      </c>
      <c r="P169" s="33">
        <f t="shared" si="57"/>
        <v>10615865358.14798</v>
      </c>
      <c r="Q169" s="33">
        <f t="shared" si="57"/>
        <v>34842413497.226654</v>
      </c>
      <c r="R169" s="33">
        <f t="shared" si="57"/>
        <v>114356553832.88631</v>
      </c>
      <c r="S169" s="33">
        <f t="shared" si="57"/>
        <v>375330526559.95673</v>
      </c>
      <c r="T169" s="33">
        <f t="shared" si="57"/>
        <v>1231875213497.9302</v>
      </c>
      <c r="U169" s="33">
        <f t="shared" si="57"/>
        <v>4043147130981.2505</v>
      </c>
      <c r="V169" s="33">
        <f t="shared" si="57"/>
        <v>13270044354853.307</v>
      </c>
      <c r="W169" s="33">
        <f t="shared" si="57"/>
        <v>43553714835264.227</v>
      </c>
      <c r="X169" s="33">
        <f t="shared" si="57"/>
        <v>142947983083247.56</v>
      </c>
      <c r="Y169" s="33">
        <f t="shared" si="57"/>
        <v>469170676826480.19</v>
      </c>
    </row>
    <row r="172" spans="3:25" x14ac:dyDescent="0.2">
      <c r="C172" s="95" t="s">
        <v>220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spans="3:25" x14ac:dyDescent="0.2">
      <c r="C173" s="13" t="s">
        <v>221</v>
      </c>
      <c r="E173" s="55">
        <f t="shared" ref="E173:Y173" si="58">E167/(E167+Yn0)</f>
        <v>7.5239759530153966E-2</v>
      </c>
      <c r="F173" s="55">
        <f t="shared" si="58"/>
        <v>0.2107569268849406</v>
      </c>
      <c r="G173" s="55">
        <f t="shared" si="58"/>
        <v>0.46707693645069281</v>
      </c>
      <c r="H173" s="55">
        <f t="shared" si="58"/>
        <v>0.7420407878566635</v>
      </c>
      <c r="I173" s="55">
        <f t="shared" si="58"/>
        <v>0.90422603995794892</v>
      </c>
      <c r="J173" s="55">
        <f t="shared" si="58"/>
        <v>0.96873749907013085</v>
      </c>
      <c r="K173" s="55">
        <f t="shared" si="58"/>
        <v>0.99026321846387622</v>
      </c>
      <c r="L173" s="55">
        <f t="shared" si="58"/>
        <v>0.99701315396053536</v>
      </c>
      <c r="M173" s="55">
        <f t="shared" si="58"/>
        <v>0.99908806708373354</v>
      </c>
      <c r="N173" s="55">
        <f t="shared" si="58"/>
        <v>0.99972197392462769</v>
      </c>
      <c r="O173" s="55">
        <f t="shared" si="58"/>
        <v>0.99991527400752933</v>
      </c>
      <c r="P173" s="55">
        <f t="shared" si="58"/>
        <v>0.99997418397210258</v>
      </c>
      <c r="Q173" s="55">
        <f t="shared" si="58"/>
        <v>0.9999921341730299</v>
      </c>
      <c r="R173" s="55">
        <f t="shared" si="58"/>
        <v>0.99999760340893873</v>
      </c>
      <c r="S173" s="55">
        <f t="shared" si="58"/>
        <v>0.99999926979999754</v>
      </c>
      <c r="T173" s="55">
        <f t="shared" si="58"/>
        <v>0.99999977752089853</v>
      </c>
      <c r="U173" s="55">
        <f t="shared" si="58"/>
        <v>0.99999993221455374</v>
      </c>
      <c r="V173" s="55">
        <f t="shared" si="58"/>
        <v>0.99999997934697593</v>
      </c>
      <c r="W173" s="55">
        <f t="shared" si="58"/>
        <v>0.99999999370738979</v>
      </c>
      <c r="X173" s="55">
        <f t="shared" si="58"/>
        <v>0.99999999808275331</v>
      </c>
      <c r="Y173" s="55">
        <f t="shared" si="58"/>
        <v>0.99999999941584905</v>
      </c>
    </row>
    <row r="174" spans="3:25" x14ac:dyDescent="0.2">
      <c r="C174" s="13" t="s">
        <v>222</v>
      </c>
      <c r="E174" s="55">
        <f t="shared" ref="E174:Y174" si="59">E168/(E168+Yn0)</f>
        <v>0.2107569268849406</v>
      </c>
      <c r="F174" s="55">
        <f t="shared" si="59"/>
        <v>0.46707693645069281</v>
      </c>
      <c r="G174" s="55">
        <f t="shared" si="59"/>
        <v>0.7420407878566635</v>
      </c>
      <c r="H174" s="55">
        <f t="shared" si="59"/>
        <v>0.90422603995794892</v>
      </c>
      <c r="I174" s="55">
        <f t="shared" si="59"/>
        <v>0.96873749907013085</v>
      </c>
      <c r="J174" s="55">
        <f t="shared" si="59"/>
        <v>0.99026321846387622</v>
      </c>
      <c r="K174" s="55">
        <f t="shared" si="59"/>
        <v>0.99701315396053536</v>
      </c>
      <c r="L174" s="55">
        <f t="shared" si="59"/>
        <v>0.99908806708373354</v>
      </c>
      <c r="M174" s="55">
        <f t="shared" si="59"/>
        <v>0.99972197392462769</v>
      </c>
      <c r="N174" s="55">
        <f t="shared" si="59"/>
        <v>0.99991527400752933</v>
      </c>
      <c r="O174" s="55">
        <f t="shared" si="59"/>
        <v>0.99997418397210258</v>
      </c>
      <c r="P174" s="55">
        <f t="shared" si="59"/>
        <v>0.9999921341730299</v>
      </c>
      <c r="Q174" s="55">
        <f t="shared" si="59"/>
        <v>0.99999760340893873</v>
      </c>
      <c r="R174" s="55">
        <f t="shared" si="59"/>
        <v>0.99999926979999754</v>
      </c>
      <c r="S174" s="55">
        <f t="shared" si="59"/>
        <v>0.99999977752089853</v>
      </c>
      <c r="T174" s="55">
        <f t="shared" si="59"/>
        <v>0.99999993221455374</v>
      </c>
      <c r="U174" s="55">
        <f t="shared" si="59"/>
        <v>0.99999997934697593</v>
      </c>
      <c r="V174" s="55">
        <f t="shared" si="59"/>
        <v>0.99999999370738979</v>
      </c>
      <c r="W174" s="55">
        <f t="shared" si="59"/>
        <v>0.99999999808275331</v>
      </c>
      <c r="X174" s="55">
        <f t="shared" si="59"/>
        <v>0.99999999941584905</v>
      </c>
      <c r="Y174" s="55">
        <f t="shared" si="59"/>
        <v>0.99999999982201959</v>
      </c>
    </row>
    <row r="175" spans="3:25" x14ac:dyDescent="0.2">
      <c r="C175" s="13" t="s">
        <v>223</v>
      </c>
      <c r="E175" s="55">
        <f t="shared" ref="E175:Y175" si="60">E169/(E169+Yn0)</f>
        <v>0.46707693645069281</v>
      </c>
      <c r="F175" s="55">
        <f t="shared" si="60"/>
        <v>0.7420407878566635</v>
      </c>
      <c r="G175" s="55">
        <f t="shared" si="60"/>
        <v>0.90422603995794892</v>
      </c>
      <c r="H175" s="55">
        <f t="shared" si="60"/>
        <v>0.96873749907013085</v>
      </c>
      <c r="I175" s="55">
        <f t="shared" si="60"/>
        <v>0.99026321846387622</v>
      </c>
      <c r="J175" s="55">
        <f t="shared" si="60"/>
        <v>0.99701315396053536</v>
      </c>
      <c r="K175" s="55">
        <f t="shared" si="60"/>
        <v>0.99908806708373354</v>
      </c>
      <c r="L175" s="55">
        <f t="shared" si="60"/>
        <v>0.99972197392462769</v>
      </c>
      <c r="M175" s="55">
        <f t="shared" si="60"/>
        <v>0.99991527400752933</v>
      </c>
      <c r="N175" s="55">
        <f t="shared" si="60"/>
        <v>0.99997418397210258</v>
      </c>
      <c r="O175" s="55">
        <f t="shared" si="60"/>
        <v>0.9999921341730299</v>
      </c>
      <c r="P175" s="55">
        <f t="shared" si="60"/>
        <v>0.99999760340893873</v>
      </c>
      <c r="Q175" s="55">
        <f t="shared" si="60"/>
        <v>0.99999926979999754</v>
      </c>
      <c r="R175" s="55">
        <f t="shared" si="60"/>
        <v>0.99999977752089853</v>
      </c>
      <c r="S175" s="55">
        <f t="shared" si="60"/>
        <v>0.99999993221455374</v>
      </c>
      <c r="T175" s="55">
        <f t="shared" si="60"/>
        <v>0.99999997934697593</v>
      </c>
      <c r="U175" s="55">
        <f t="shared" si="60"/>
        <v>0.99999999370738979</v>
      </c>
      <c r="V175" s="55">
        <f t="shared" si="60"/>
        <v>0.99999999808275331</v>
      </c>
      <c r="W175" s="55">
        <f t="shared" si="60"/>
        <v>0.99999999941584905</v>
      </c>
      <c r="X175" s="55">
        <f t="shared" si="60"/>
        <v>0.99999999982201959</v>
      </c>
      <c r="Y175" s="55">
        <f t="shared" si="60"/>
        <v>0.99999999994577249</v>
      </c>
    </row>
    <row r="179" spans="3:7" x14ac:dyDescent="0.2">
      <c r="C179" s="95" t="s">
        <v>224</v>
      </c>
      <c r="D179" s="14"/>
      <c r="E179" s="14"/>
      <c r="F179" s="14"/>
      <c r="G179" s="14"/>
    </row>
    <row r="180" spans="3:7" ht="17" x14ac:dyDescent="0.3">
      <c r="C180" s="46" t="s">
        <v>77</v>
      </c>
      <c r="D180" s="96">
        <v>0.1</v>
      </c>
      <c r="E180" s="96">
        <v>0.25</v>
      </c>
      <c r="F180" s="96">
        <v>0.75</v>
      </c>
      <c r="G180" s="96">
        <v>0.9</v>
      </c>
    </row>
    <row r="181" spans="3:7" x14ac:dyDescent="0.2">
      <c r="C181" s="5">
        <v>2030</v>
      </c>
      <c r="D181" s="5">
        <f t="shared" ref="D181:D201" si="61">IF(C181=2030,0,CRITBINOM(C181-2030,p_star,D$180))</f>
        <v>0</v>
      </c>
      <c r="E181" s="5">
        <f t="shared" ref="E181:E201" si="62">IF(C181=2030,0,CRITBINOM(C181-2030,p_star,E$180))</f>
        <v>0</v>
      </c>
      <c r="F181" s="5">
        <f t="shared" ref="F181:F201" si="63">IF(C181=2030,0,CRITBINOM(C181-2030,p_star,F$180))</f>
        <v>0</v>
      </c>
      <c r="G181" s="5">
        <f t="shared" ref="G181:G201" si="64">IF(C181=2030,0,CRITBINOM(C181-2030,p_star,G$180))</f>
        <v>0</v>
      </c>
    </row>
    <row r="182" spans="3:7" x14ac:dyDescent="0.2">
      <c r="C182" s="5">
        <v>2031</v>
      </c>
      <c r="D182" s="5">
        <f t="shared" si="61"/>
        <v>0</v>
      </c>
      <c r="E182" s="5">
        <f t="shared" si="62"/>
        <v>0</v>
      </c>
      <c r="F182" s="5">
        <f t="shared" si="63"/>
        <v>0</v>
      </c>
      <c r="G182" s="5">
        <f t="shared" si="64"/>
        <v>0</v>
      </c>
    </row>
    <row r="183" spans="3:7" x14ac:dyDescent="0.2">
      <c r="C183" s="5">
        <v>2032</v>
      </c>
      <c r="D183" s="5">
        <f t="shared" si="61"/>
        <v>0</v>
      </c>
      <c r="E183" s="5">
        <f t="shared" si="62"/>
        <v>0</v>
      </c>
      <c r="F183" s="5">
        <f t="shared" si="63"/>
        <v>0</v>
      </c>
      <c r="G183" s="5">
        <f t="shared" si="64"/>
        <v>0</v>
      </c>
    </row>
    <row r="184" spans="3:7" x14ac:dyDescent="0.2">
      <c r="C184" s="5">
        <v>2033</v>
      </c>
      <c r="D184" s="5">
        <f t="shared" si="61"/>
        <v>0</v>
      </c>
      <c r="E184" s="5">
        <f t="shared" si="62"/>
        <v>0</v>
      </c>
      <c r="F184" s="5">
        <f t="shared" si="63"/>
        <v>0</v>
      </c>
      <c r="G184" s="5">
        <f t="shared" si="64"/>
        <v>1</v>
      </c>
    </row>
    <row r="185" spans="3:7" x14ac:dyDescent="0.2">
      <c r="C185" s="5">
        <v>2034</v>
      </c>
      <c r="D185" s="5">
        <f t="shared" si="61"/>
        <v>0</v>
      </c>
      <c r="E185" s="5">
        <f t="shared" si="62"/>
        <v>0</v>
      </c>
      <c r="F185" s="5">
        <f t="shared" si="63"/>
        <v>0</v>
      </c>
      <c r="G185" s="5">
        <f t="shared" si="64"/>
        <v>1</v>
      </c>
    </row>
    <row r="186" spans="3:7" x14ac:dyDescent="0.2">
      <c r="C186" s="5">
        <v>2035</v>
      </c>
      <c r="D186" s="5">
        <f t="shared" si="61"/>
        <v>0</v>
      </c>
      <c r="E186" s="5">
        <f t="shared" si="62"/>
        <v>0</v>
      </c>
      <c r="F186" s="5">
        <f t="shared" si="63"/>
        <v>0</v>
      </c>
      <c r="G186" s="5">
        <f t="shared" si="64"/>
        <v>1</v>
      </c>
    </row>
    <row r="187" spans="3:7" x14ac:dyDescent="0.2">
      <c r="C187" s="5">
        <v>2036</v>
      </c>
      <c r="D187" s="5">
        <f t="shared" si="61"/>
        <v>0</v>
      </c>
      <c r="E187" s="5">
        <f t="shared" si="62"/>
        <v>0</v>
      </c>
      <c r="F187" s="5">
        <f t="shared" si="63"/>
        <v>0</v>
      </c>
      <c r="G187" s="5">
        <f t="shared" si="64"/>
        <v>1</v>
      </c>
    </row>
    <row r="188" spans="3:7" x14ac:dyDescent="0.2">
      <c r="C188" s="5">
        <v>2037</v>
      </c>
      <c r="D188" s="5">
        <f t="shared" si="61"/>
        <v>0</v>
      </c>
      <c r="E188" s="5">
        <f t="shared" si="62"/>
        <v>0</v>
      </c>
      <c r="F188" s="5">
        <f t="shared" si="63"/>
        <v>0</v>
      </c>
      <c r="G188" s="5">
        <f t="shared" si="64"/>
        <v>1</v>
      </c>
    </row>
    <row r="189" spans="3:7" x14ac:dyDescent="0.2">
      <c r="C189" s="5">
        <v>2038</v>
      </c>
      <c r="D189" s="5">
        <f t="shared" si="61"/>
        <v>0</v>
      </c>
      <c r="E189" s="5">
        <f t="shared" si="62"/>
        <v>0</v>
      </c>
      <c r="F189" s="5">
        <f t="shared" si="63"/>
        <v>0</v>
      </c>
      <c r="G189" s="5">
        <f t="shared" si="64"/>
        <v>1</v>
      </c>
    </row>
    <row r="190" spans="3:7" x14ac:dyDescent="0.2">
      <c r="C190" s="5">
        <v>2039</v>
      </c>
      <c r="D190" s="5">
        <f t="shared" si="61"/>
        <v>0</v>
      </c>
      <c r="E190" s="5">
        <f t="shared" si="62"/>
        <v>0</v>
      </c>
      <c r="F190" s="5">
        <f t="shared" si="63"/>
        <v>1</v>
      </c>
      <c r="G190" s="5">
        <f t="shared" si="64"/>
        <v>1</v>
      </c>
    </row>
    <row r="191" spans="3:7" x14ac:dyDescent="0.2">
      <c r="C191" s="5">
        <v>2040</v>
      </c>
      <c r="D191" s="5">
        <f t="shared" si="61"/>
        <v>0</v>
      </c>
      <c r="E191" s="5">
        <f t="shared" si="62"/>
        <v>0</v>
      </c>
      <c r="F191" s="5">
        <f t="shared" si="63"/>
        <v>1</v>
      </c>
      <c r="G191" s="5">
        <f t="shared" si="64"/>
        <v>1</v>
      </c>
    </row>
    <row r="192" spans="3:7" x14ac:dyDescent="0.2">
      <c r="C192" s="5">
        <v>2041</v>
      </c>
      <c r="D192" s="5">
        <f t="shared" si="61"/>
        <v>0</v>
      </c>
      <c r="E192" s="5">
        <f t="shared" si="62"/>
        <v>0</v>
      </c>
      <c r="F192" s="5">
        <f t="shared" si="63"/>
        <v>1</v>
      </c>
      <c r="G192" s="5">
        <f t="shared" si="64"/>
        <v>1</v>
      </c>
    </row>
    <row r="193" spans="3:7" x14ac:dyDescent="0.2">
      <c r="C193" s="5">
        <v>2042</v>
      </c>
      <c r="D193" s="5">
        <f t="shared" si="61"/>
        <v>0</v>
      </c>
      <c r="E193" s="5">
        <f t="shared" si="62"/>
        <v>0</v>
      </c>
      <c r="F193" s="5">
        <f t="shared" si="63"/>
        <v>1</v>
      </c>
      <c r="G193" s="5">
        <f t="shared" si="64"/>
        <v>1</v>
      </c>
    </row>
    <row r="194" spans="3:7" x14ac:dyDescent="0.2">
      <c r="C194" s="5">
        <v>2043</v>
      </c>
      <c r="D194" s="5">
        <f t="shared" si="61"/>
        <v>0</v>
      </c>
      <c r="E194" s="5">
        <f t="shared" si="62"/>
        <v>0</v>
      </c>
      <c r="F194" s="5">
        <f t="shared" si="63"/>
        <v>1</v>
      </c>
      <c r="G194" s="5">
        <f t="shared" si="64"/>
        <v>1</v>
      </c>
    </row>
    <row r="195" spans="3:7" x14ac:dyDescent="0.2">
      <c r="C195" s="5">
        <v>2044</v>
      </c>
      <c r="D195" s="5">
        <f t="shared" si="61"/>
        <v>0</v>
      </c>
      <c r="E195" s="5">
        <f t="shared" si="62"/>
        <v>0</v>
      </c>
      <c r="F195" s="5">
        <f t="shared" si="63"/>
        <v>1</v>
      </c>
      <c r="G195" s="5">
        <f t="shared" si="64"/>
        <v>1</v>
      </c>
    </row>
    <row r="196" spans="3:7" x14ac:dyDescent="0.2">
      <c r="C196" s="5">
        <v>2045</v>
      </c>
      <c r="D196" s="5">
        <f t="shared" si="61"/>
        <v>0</v>
      </c>
      <c r="E196" s="5">
        <f t="shared" si="62"/>
        <v>0</v>
      </c>
      <c r="F196" s="5">
        <f t="shared" si="63"/>
        <v>1</v>
      </c>
      <c r="G196" s="5">
        <f t="shared" si="64"/>
        <v>1</v>
      </c>
    </row>
    <row r="197" spans="3:7" x14ac:dyDescent="0.2">
      <c r="C197" s="5">
        <v>2046</v>
      </c>
      <c r="D197" s="5">
        <f t="shared" si="61"/>
        <v>0</v>
      </c>
      <c r="E197" s="5">
        <f t="shared" si="62"/>
        <v>0</v>
      </c>
      <c r="F197" s="5">
        <f t="shared" si="63"/>
        <v>1</v>
      </c>
      <c r="G197" s="5">
        <f t="shared" si="64"/>
        <v>2</v>
      </c>
    </row>
    <row r="198" spans="3:7" x14ac:dyDescent="0.2">
      <c r="C198" s="5">
        <v>2047</v>
      </c>
      <c r="D198" s="5">
        <f t="shared" si="61"/>
        <v>0</v>
      </c>
      <c r="E198" s="5">
        <f t="shared" si="62"/>
        <v>0</v>
      </c>
      <c r="F198" s="5">
        <f t="shared" si="63"/>
        <v>1</v>
      </c>
      <c r="G198" s="5">
        <f t="shared" si="64"/>
        <v>2</v>
      </c>
    </row>
    <row r="199" spans="3:7" x14ac:dyDescent="0.2">
      <c r="C199" s="5">
        <v>2048</v>
      </c>
      <c r="D199" s="5">
        <f t="shared" si="61"/>
        <v>0</v>
      </c>
      <c r="E199" s="5">
        <f t="shared" si="62"/>
        <v>0</v>
      </c>
      <c r="F199" s="5">
        <f t="shared" si="63"/>
        <v>1</v>
      </c>
      <c r="G199" s="5">
        <f t="shared" si="64"/>
        <v>2</v>
      </c>
    </row>
    <row r="200" spans="3:7" x14ac:dyDescent="0.2">
      <c r="C200" s="5">
        <v>2049</v>
      </c>
      <c r="D200" s="5">
        <f t="shared" si="61"/>
        <v>0</v>
      </c>
      <c r="E200" s="5">
        <f t="shared" si="62"/>
        <v>0</v>
      </c>
      <c r="F200" s="5">
        <f t="shared" si="63"/>
        <v>1</v>
      </c>
      <c r="G200" s="5">
        <f t="shared" si="64"/>
        <v>2</v>
      </c>
    </row>
    <row r="201" spans="3:7" x14ac:dyDescent="0.2">
      <c r="C201" s="5">
        <v>2050</v>
      </c>
      <c r="D201" s="5">
        <f t="shared" si="61"/>
        <v>0</v>
      </c>
      <c r="E201" s="5">
        <f t="shared" si="62"/>
        <v>0</v>
      </c>
      <c r="F201" s="5">
        <f t="shared" si="63"/>
        <v>1</v>
      </c>
      <c r="G201" s="5">
        <f t="shared" si="64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Cover</vt:lpstr>
      <vt:lpstr>Summary Dashboard</vt:lpstr>
      <vt:lpstr>Parameters</vt:lpstr>
      <vt:lpstr>Capex Build</vt:lpstr>
      <vt:lpstr>Capital Schedule</vt:lpstr>
      <vt:lpstr>Model 1 - Calibration</vt:lpstr>
      <vt:lpstr>Model 1 - Inv &amp; GDP Paths</vt:lpstr>
      <vt:lpstr>Model 2 - Riskfree and ERP</vt:lpstr>
      <vt:lpstr>Scenario Calculations</vt:lpstr>
      <vt:lpstr>_z1</vt:lpstr>
      <vt:lpstr>alpha</vt:lpstr>
      <vt:lpstr>cost_per_GW</vt:lpstr>
      <vt:lpstr>delta_a</vt:lpstr>
      <vt:lpstr>delta_n</vt:lpstr>
      <vt:lpstr>exp_xi</vt:lpstr>
      <vt:lpstr>GDP_0</vt:lpstr>
      <vt:lpstr>gdp_2022</vt:lpstr>
      <vt:lpstr>I_bar</vt:lpstr>
      <vt:lpstr>I_pre</vt:lpstr>
      <vt:lpstr>I_total_pre</vt:lpstr>
      <vt:lpstr>K0</vt:lpstr>
      <vt:lpstr>Kn0</vt:lpstr>
      <vt:lpstr>mu_c</vt:lpstr>
      <vt:lpstr>p_d</vt:lpstr>
      <vt:lpstr>p_max</vt:lpstr>
      <vt:lpstr>p_star</vt:lpstr>
      <vt:lpstr>p_star_bound</vt:lpstr>
      <vt:lpstr>r_a</vt:lpstr>
      <vt:lpstr>r_n</vt:lpstr>
      <vt:lpstr>rho</vt:lpstr>
      <vt:lpstr>sigma_c</vt:lpstr>
      <vt:lpstr>theta_a</vt:lpstr>
      <vt:lpstr>xi</vt:lpstr>
      <vt:lpstr>xi_d</vt:lpstr>
      <vt:lpstr>Ya0</vt:lpstr>
      <vt:lpstr>Ya0_share</vt:lpstr>
      <vt:lpstr>Yn0</vt:lpstr>
      <vt:lpstr>z0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Ma, Frank</cp:lastModifiedBy>
  <cp:revision>8</cp:revision>
  <dcterms:created xsi:type="dcterms:W3CDTF">2026-05-20T02:53:32Z</dcterms:created>
  <dcterms:modified xsi:type="dcterms:W3CDTF">2026-10-22T21:02:25Z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{54496FA5-9C2C-499C-AAE2-CCFD7F9D6BC7}</vt:lpwstr>
  </property>
</Properties>
</file>