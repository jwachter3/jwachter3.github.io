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.xml" ContentType="application/vnd.openxmlformats-officedocument.drawing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4.xml" ContentType="application/vnd.openxmlformats-officedocument.drawing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5.xml" ContentType="application/vnd.openxmlformats-officedocument.drawing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7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anghema/dev/rare-ai-growth/"/>
    </mc:Choice>
  </mc:AlternateContent>
  <xr:revisionPtr revIDLastSave="0" documentId="13_ncr:1_{702CB901-5359-4C45-A3C4-BD6DE57C17AF}" xr6:coauthVersionLast="47" xr6:coauthVersionMax="47" xr10:uidLastSave="{00000000-0000-0000-0000-000000000000}"/>
  <workbookProtection workbookAlgorithmName="SHA-512" workbookHashValue="9nWo6aanh64ee0oem4T6PIjp/QL++3dTzpBzb0SM9uZmOAkVHl0rlVu34EtEIzN0KEVCcmOGAtvHfl8KKKCvnw==" workbookSaltValue="89zPvceYK1QmBcrLfDWlHQ==" workbookSpinCount="100000" lockStructure="1"/>
  <bookViews>
    <workbookView xWindow="0" yWindow="700" windowWidth="27040" windowHeight="16860" tabRatio="500" xr2:uid="{00000000-000D-0000-FFFF-FFFF00000000}"/>
  </bookViews>
  <sheets>
    <sheet name="Cover" sheetId="1" r:id="rId1"/>
    <sheet name="Summary Dashboard" sheetId="9" r:id="rId2"/>
    <sheet name="Parameters" sheetId="2" r:id="rId3"/>
    <sheet name="CAPEX Build" sheetId="10" r:id="rId4"/>
    <sheet name="CAPEX" sheetId="3" state="hidden" r:id="rId5"/>
    <sheet name="Model 1 - Calibration" sheetId="4" r:id="rId6"/>
    <sheet name="Model 1 Alternative Calibration" sheetId="11" state="hidden" r:id="rId7"/>
    <sheet name="Model 1 - Inv &amp; GDP Paths" sheetId="5" r:id="rId8"/>
    <sheet name="Model 2 - Riskfree and ERP" sheetId="8" r:id="rId9"/>
  </sheets>
  <externalReferences>
    <externalReference r:id="rId10"/>
  </externalReferences>
  <definedNames>
    <definedName name="_xleta.IF" hidden="1" xlm="1">#NAME?</definedName>
    <definedName name="_xleta.LOG" hidden="1" xlm="1">#NAME?</definedName>
    <definedName name="_z1">Parameters!$D$30</definedName>
    <definedName name="alpha" localSheetId="3">[1]Parameters!$D$8</definedName>
    <definedName name="alpha">Parameters!$D$8</definedName>
    <definedName name="beta_ap">Parameters!$D$45</definedName>
    <definedName name="delta_a" localSheetId="3">[1]Parameters!$D$9</definedName>
    <definedName name="delta_a">Parameters!$D$9</definedName>
    <definedName name="delta_n" localSheetId="3">[1]Parameters!$D$10</definedName>
    <definedName name="delta_n">Parameters!$D$10</definedName>
    <definedName name="exp_xi" localSheetId="3">[1]Parameters!$D$27</definedName>
    <definedName name="exp_xi">Parameters!$D$27</definedName>
    <definedName name="GDP_0" localSheetId="3">[1]Parameters!$D$33</definedName>
    <definedName name="GDP_0">Parameters!$D$33</definedName>
    <definedName name="GDP0" localSheetId="3">[1]Parameters!$D$16</definedName>
    <definedName name="GDP0">Parameters!$D$16</definedName>
    <definedName name="I_bar" localSheetId="3">[1]Parameters!$D$25</definedName>
    <definedName name="I_bar">Parameters!$D$25</definedName>
    <definedName name="I_pre" localSheetId="3">[1]Parameters!$D$24</definedName>
    <definedName name="I_pre">Parameters!$D$24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K0" localSheetId="3">[1]Parameters!$D$26</definedName>
    <definedName name="K0">Parameters!$D$26</definedName>
    <definedName name="Kn0">Parameters!$D$34</definedName>
    <definedName name="mu_c" localSheetId="3">[1]Parameters!$D$43</definedName>
    <definedName name="mu_c">Parameters!$D$43</definedName>
    <definedName name="p_d" localSheetId="3">[1]Parameters!$D$40</definedName>
    <definedName name="p_d">Parameters!$D$40</definedName>
    <definedName name="p_max" localSheetId="3">[1]Parameters!$D$13</definedName>
    <definedName name="p_max">Parameters!$D$13</definedName>
    <definedName name="p_star" localSheetId="3">[1]Parameters!$D$35</definedName>
    <definedName name="p_star">Parameters!$D$35</definedName>
    <definedName name="r_a" localSheetId="3">[1]Parameters!$D$11</definedName>
    <definedName name="r_a">Parameters!$D$11</definedName>
    <definedName name="r_n">Parameters!$D$12</definedName>
    <definedName name="rho" localSheetId="3">[1]Parameters!$D$42</definedName>
    <definedName name="rho">Parameters!$D$42</definedName>
    <definedName name="sigma_c" localSheetId="3">[1]Parameters!$D$44</definedName>
    <definedName name="sigma_c">Parameters!$D$44</definedName>
    <definedName name="solver_eng" localSheetId="6" hidden="1">1</definedName>
    <definedName name="solver_lin" localSheetId="6" hidden="1">2</definedName>
    <definedName name="solver_neg" localSheetId="6" hidden="1">1</definedName>
    <definedName name="solver_num" localSheetId="6" hidden="1">0</definedName>
    <definedName name="solver_opt" localSheetId="6" hidden="1">'Model 1 Alternative Calibration'!#REF!</definedName>
    <definedName name="solver_typ" localSheetId="6" hidden="1">1</definedName>
    <definedName name="solver_val" localSheetId="6" hidden="1">0</definedName>
    <definedName name="solver_ver" localSheetId="6" hidden="1">2</definedName>
    <definedName name="theta_a" localSheetId="3">[1]Parameters!$D$14</definedName>
    <definedName name="theta_a">Parameters!$D$14</definedName>
    <definedName name="xi" localSheetId="3">[1]Parameters!$D$28</definedName>
    <definedName name="xi">Parameters!$D$28</definedName>
    <definedName name="xi_d" localSheetId="3">[1]Parameters!$D$41</definedName>
    <definedName name="xi_d">Parameters!$D$41</definedName>
    <definedName name="Ya0" localSheetId="3">[1]Parameters!$D$31</definedName>
    <definedName name="Ya0">Parameters!$D$31</definedName>
    <definedName name="Ya0_share" localSheetId="3">[1]Parameters!$D$15</definedName>
    <definedName name="Ya0_share">Parameters!$D$15</definedName>
    <definedName name="Yn0" localSheetId="3">[1]Parameters!$D$32</definedName>
    <definedName name="Yn0">Parameters!$D$32</definedName>
    <definedName name="z_1">Parameters!$D$30</definedName>
    <definedName name="z0" localSheetId="3">[1]Parameters!$D$29</definedName>
    <definedName name="z0">Parameters!$D$29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269" i="5" l="1"/>
  <c r="E269" i="5"/>
  <c r="F269" i="5"/>
  <c r="G269" i="5"/>
  <c r="H269" i="5"/>
  <c r="I269" i="5"/>
  <c r="J269" i="5"/>
  <c r="K269" i="5"/>
  <c r="L269" i="5"/>
  <c r="D8" i="2"/>
  <c r="E20" i="11"/>
  <c r="J250" i="5"/>
  <c r="K250" i="5"/>
  <c r="L250" i="5"/>
  <c r="J251" i="5"/>
  <c r="K251" i="5"/>
  <c r="L251" i="5"/>
  <c r="J252" i="5"/>
  <c r="K252" i="5"/>
  <c r="L252" i="5"/>
  <c r="J253" i="5"/>
  <c r="K253" i="5"/>
  <c r="L253" i="5"/>
  <c r="J254" i="5"/>
  <c r="K254" i="5"/>
  <c r="L254" i="5"/>
  <c r="J255" i="5"/>
  <c r="K255" i="5"/>
  <c r="L255" i="5"/>
  <c r="J256" i="5"/>
  <c r="K256" i="5"/>
  <c r="L256" i="5"/>
  <c r="J257" i="5"/>
  <c r="K257" i="5"/>
  <c r="L257" i="5"/>
  <c r="J258" i="5"/>
  <c r="K258" i="5"/>
  <c r="L258" i="5"/>
  <c r="J259" i="5"/>
  <c r="K259" i="5"/>
  <c r="L259" i="5"/>
  <c r="J260" i="5"/>
  <c r="K260" i="5"/>
  <c r="L260" i="5"/>
  <c r="J261" i="5"/>
  <c r="K261" i="5"/>
  <c r="L261" i="5"/>
  <c r="J262" i="5"/>
  <c r="K262" i="5"/>
  <c r="L262" i="5"/>
  <c r="J263" i="5"/>
  <c r="K263" i="5"/>
  <c r="L263" i="5"/>
  <c r="J264" i="5"/>
  <c r="K264" i="5"/>
  <c r="L264" i="5"/>
  <c r="J265" i="5"/>
  <c r="K265" i="5"/>
  <c r="L265" i="5"/>
  <c r="J266" i="5"/>
  <c r="K266" i="5"/>
  <c r="L266" i="5"/>
  <c r="J267" i="5"/>
  <c r="K267" i="5"/>
  <c r="L267" i="5"/>
  <c r="J268" i="5"/>
  <c r="K268" i="5"/>
  <c r="L268" i="5"/>
  <c r="L249" i="5"/>
  <c r="K249" i="5"/>
  <c r="J249" i="5"/>
  <c r="L241" i="5" a="1"/>
  <c r="L241" i="5" s="1"/>
  <c r="G250" i="5"/>
  <c r="H250" i="5"/>
  <c r="I250" i="5"/>
  <c r="G251" i="5"/>
  <c r="H251" i="5"/>
  <c r="I251" i="5"/>
  <c r="G252" i="5"/>
  <c r="H252" i="5"/>
  <c r="I252" i="5"/>
  <c r="G253" i="5"/>
  <c r="H253" i="5"/>
  <c r="I253" i="5"/>
  <c r="G254" i="5"/>
  <c r="H254" i="5"/>
  <c r="I254" i="5"/>
  <c r="G255" i="5"/>
  <c r="H255" i="5"/>
  <c r="I255" i="5"/>
  <c r="G256" i="5"/>
  <c r="H256" i="5"/>
  <c r="I256" i="5"/>
  <c r="G257" i="5"/>
  <c r="H257" i="5"/>
  <c r="I257" i="5"/>
  <c r="G258" i="5"/>
  <c r="H258" i="5"/>
  <c r="I258" i="5"/>
  <c r="G259" i="5"/>
  <c r="H259" i="5"/>
  <c r="I259" i="5"/>
  <c r="G260" i="5"/>
  <c r="H260" i="5"/>
  <c r="I260" i="5"/>
  <c r="G261" i="5"/>
  <c r="H261" i="5"/>
  <c r="I261" i="5"/>
  <c r="G262" i="5"/>
  <c r="H262" i="5"/>
  <c r="I262" i="5"/>
  <c r="G263" i="5"/>
  <c r="H263" i="5"/>
  <c r="I263" i="5"/>
  <c r="G264" i="5"/>
  <c r="H264" i="5"/>
  <c r="I264" i="5"/>
  <c r="G265" i="5"/>
  <c r="H265" i="5"/>
  <c r="I265" i="5"/>
  <c r="G266" i="5"/>
  <c r="H266" i="5"/>
  <c r="I266" i="5"/>
  <c r="G267" i="5"/>
  <c r="H267" i="5"/>
  <c r="I267" i="5"/>
  <c r="G268" i="5"/>
  <c r="H268" i="5"/>
  <c r="I268" i="5"/>
  <c r="I249" i="5"/>
  <c r="H249" i="5"/>
  <c r="G249" i="5"/>
  <c r="I241" i="5" a="1"/>
  <c r="I241" i="5" s="1"/>
  <c r="D250" i="5"/>
  <c r="E250" i="5"/>
  <c r="D251" i="5"/>
  <c r="E251" i="5"/>
  <c r="D252" i="5"/>
  <c r="E252" i="5"/>
  <c r="D253" i="5"/>
  <c r="E253" i="5"/>
  <c r="D254" i="5"/>
  <c r="E254" i="5"/>
  <c r="D255" i="5"/>
  <c r="E255" i="5"/>
  <c r="D256" i="5"/>
  <c r="E256" i="5"/>
  <c r="D257" i="5"/>
  <c r="E257" i="5"/>
  <c r="D258" i="5"/>
  <c r="E258" i="5"/>
  <c r="D259" i="5"/>
  <c r="E259" i="5"/>
  <c r="D260" i="5"/>
  <c r="E260" i="5"/>
  <c r="D261" i="5"/>
  <c r="E261" i="5"/>
  <c r="D262" i="5"/>
  <c r="E262" i="5"/>
  <c r="D263" i="5"/>
  <c r="E263" i="5"/>
  <c r="D264" i="5"/>
  <c r="E264" i="5"/>
  <c r="D265" i="5"/>
  <c r="E265" i="5"/>
  <c r="D266" i="5"/>
  <c r="E266" i="5"/>
  <c r="D267" i="5"/>
  <c r="E267" i="5"/>
  <c r="D268" i="5"/>
  <c r="E268" i="5"/>
  <c r="D249" i="5"/>
  <c r="E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49" i="5"/>
  <c r="F241" i="5" a="1"/>
  <c r="F241" i="5" s="1"/>
  <c r="C136" i="10"/>
  <c r="C135" i="10"/>
  <c r="E96" i="10" a="1"/>
  <c r="E96" i="10" s="1"/>
  <c r="E97" i="10" a="1"/>
  <c r="E97" i="10" s="1"/>
  <c r="F96" i="10" a="1"/>
  <c r="F96" i="10" s="1"/>
  <c r="F97" i="10" a="1"/>
  <c r="F97" i="10" s="1"/>
  <c r="G96" i="10" a="1"/>
  <c r="G96" i="10" s="1"/>
  <c r="G97" i="10" a="1"/>
  <c r="G97" i="10" s="1"/>
  <c r="H96" i="10" a="1"/>
  <c r="H96" i="10" s="1"/>
  <c r="H97" i="10" a="1"/>
  <c r="H97" i="10" s="1"/>
  <c r="E90" i="10" a="1"/>
  <c r="E90" i="10" s="1"/>
  <c r="E88" i="10" a="1"/>
  <c r="E88" i="10" s="1"/>
  <c r="E89" i="10" a="1"/>
  <c r="E89" i="10" s="1"/>
  <c r="E91" i="10" a="1"/>
  <c r="E91" i="10" s="1"/>
  <c r="E92" i="10" a="1"/>
  <c r="E92" i="10" s="1"/>
  <c r="F90" i="10" a="1"/>
  <c r="F90" i="10" s="1"/>
  <c r="F88" i="10" a="1"/>
  <c r="F88" i="10" s="1"/>
  <c r="F89" i="10" a="1"/>
  <c r="F89" i="10" s="1"/>
  <c r="F91" i="10" a="1"/>
  <c r="F91" i="10" s="1"/>
  <c r="F92" i="10" a="1"/>
  <c r="F92" i="10" s="1"/>
  <c r="G90" i="10" a="1"/>
  <c r="G90" i="10" s="1"/>
  <c r="G88" i="10" a="1"/>
  <c r="G88" i="10" s="1"/>
  <c r="G89" i="10" a="1"/>
  <c r="G89" i="10" s="1"/>
  <c r="G91" i="10" a="1"/>
  <c r="G91" i="10" s="1"/>
  <c r="G92" i="10" a="1"/>
  <c r="G92" i="10" s="1"/>
  <c r="H90" i="10" a="1"/>
  <c r="H90" i="10" s="1"/>
  <c r="H88" i="10" a="1"/>
  <c r="H88" i="10" s="1"/>
  <c r="H89" i="10" a="1"/>
  <c r="H89" i="10" s="1"/>
  <c r="H91" i="10" a="1"/>
  <c r="H91" i="10" s="1"/>
  <c r="H92" i="10" a="1"/>
  <c r="H92" i="10" s="1"/>
  <c r="C131" i="10"/>
  <c r="C132" i="10"/>
  <c r="C133" i="10"/>
  <c r="C134" i="10"/>
  <c r="E129" i="10"/>
  <c r="F129" i="10"/>
  <c r="G129" i="10"/>
  <c r="H129" i="10"/>
  <c r="I129" i="10"/>
  <c r="D129" i="10"/>
  <c r="C130" i="10"/>
  <c r="G70" i="10"/>
  <c r="G82" i="10" s="1" a="1"/>
  <c r="G82" i="10" s="1"/>
  <c r="F132" i="10" s="1"/>
  <c r="D53" i="10"/>
  <c r="D54" i="10"/>
  <c r="I82" i="10" a="1"/>
  <c r="I82" i="10" s="1"/>
  <c r="H132" i="10" s="1"/>
  <c r="J82" i="10" a="1"/>
  <c r="J82" i="10" s="1"/>
  <c r="I132" i="10" s="1"/>
  <c r="G71" i="10"/>
  <c r="G84" i="10" s="1" a="1"/>
  <c r="G84" i="10" s="1"/>
  <c r="H71" i="10"/>
  <c r="H84" i="10" s="1" a="1"/>
  <c r="H84" i="10" s="1"/>
  <c r="G134" i="10" s="1"/>
  <c r="I84" i="10" a="1"/>
  <c r="I84" i="10" s="1"/>
  <c r="H134" i="10" s="1"/>
  <c r="J84" i="10" a="1"/>
  <c r="J84" i="10" s="1"/>
  <c r="I134" i="10" s="1"/>
  <c r="G80" i="10" a="1"/>
  <c r="G80" i="10" s="1"/>
  <c r="H80" i="10" a="1"/>
  <c r="H80" i="10" s="1"/>
  <c r="G130" i="10" s="1"/>
  <c r="I80" i="10" a="1"/>
  <c r="I80" i="10" s="1"/>
  <c r="J80" i="10" a="1"/>
  <c r="J80" i="10" s="1"/>
  <c r="G81" i="10" a="1"/>
  <c r="G81" i="10" s="1"/>
  <c r="H81" i="10" a="1"/>
  <c r="H81" i="10" s="1"/>
  <c r="I81" i="10" a="1"/>
  <c r="I81" i="10" s="1"/>
  <c r="H131" i="10" s="1"/>
  <c r="J81" i="10" a="1"/>
  <c r="J81" i="10" s="1"/>
  <c r="I131" i="10" s="1"/>
  <c r="G83" i="10" a="1"/>
  <c r="G83" i="10" s="1"/>
  <c r="H83" i="10" a="1"/>
  <c r="H83" i="10" s="1"/>
  <c r="G133" i="10" s="1"/>
  <c r="I83" i="10" a="1"/>
  <c r="I83" i="10" s="1"/>
  <c r="H133" i="10" s="1"/>
  <c r="J83" i="10" a="1"/>
  <c r="J83" i="10" s="1"/>
  <c r="I133" i="10" s="1"/>
  <c r="I88" i="10" a="1"/>
  <c r="I88" i="10" s="1"/>
  <c r="J88" i="10" a="1"/>
  <c r="J88" i="10" s="1"/>
  <c r="I89" i="10" a="1"/>
  <c r="I89" i="10" s="1"/>
  <c r="J89" i="10" a="1"/>
  <c r="J89" i="10" s="1"/>
  <c r="G72" i="10"/>
  <c r="E61" i="10"/>
  <c r="D62" i="10"/>
  <c r="I90" i="10" a="1"/>
  <c r="I90" i="10" s="1"/>
  <c r="J90" i="10" a="1"/>
  <c r="J90" i="10" s="1"/>
  <c r="I91" i="10" a="1"/>
  <c r="I91" i="10" s="1"/>
  <c r="J91" i="10" a="1"/>
  <c r="J91" i="10" s="1"/>
  <c r="I92" i="10" a="1"/>
  <c r="I92" i="10" s="1"/>
  <c r="J92" i="10" a="1"/>
  <c r="J92" i="10" s="1"/>
  <c r="G73" i="10"/>
  <c r="H73" i="10"/>
  <c r="I96" i="10" a="1"/>
  <c r="I96" i="10" s="1"/>
  <c r="J96" i="10" a="1"/>
  <c r="J96" i="10" s="1"/>
  <c r="I97" i="10" a="1"/>
  <c r="I97" i="10" s="1"/>
  <c r="J97" i="10" a="1"/>
  <c r="J97" i="10" s="1"/>
  <c r="F73" i="10"/>
  <c r="E73" i="10"/>
  <c r="F72" i="10"/>
  <c r="E72" i="10"/>
  <c r="F71" i="10"/>
  <c r="F84" i="10" s="1" a="1"/>
  <c r="F84" i="10" s="1"/>
  <c r="E134" i="10" s="1"/>
  <c r="E71" i="10"/>
  <c r="E84" i="10" s="1" a="1"/>
  <c r="E84" i="10" s="1"/>
  <c r="D134" i="10" s="1"/>
  <c r="F83" i="10" a="1"/>
  <c r="F83" i="10" s="1"/>
  <c r="E133" i="10" s="1"/>
  <c r="E83" i="10" a="1"/>
  <c r="E83" i="10" s="1"/>
  <c r="D133" i="10" s="1"/>
  <c r="F70" i="10"/>
  <c r="F82" i="10" s="1" a="1"/>
  <c r="F82" i="10" s="1"/>
  <c r="E132" i="10" s="1"/>
  <c r="E70" i="10"/>
  <c r="E82" i="10" s="1" a="1"/>
  <c r="E82" i="10" s="1"/>
  <c r="D132" i="10" s="1"/>
  <c r="F81" i="10" a="1"/>
  <c r="F81" i="10" s="1"/>
  <c r="E81" i="10" a="1"/>
  <c r="E81" i="10" s="1"/>
  <c r="D131" i="10" s="1"/>
  <c r="F80" i="10" a="1"/>
  <c r="F80" i="10" s="1"/>
  <c r="E130" i="10" s="1"/>
  <c r="E80" i="10" a="1"/>
  <c r="E80" i="10" s="1"/>
  <c r="J73" i="10" a="1"/>
  <c r="J73" i="10" s="1"/>
  <c r="I73" i="10" a="1"/>
  <c r="I73" i="10" s="1"/>
  <c r="J72" i="10" a="1"/>
  <c r="J72" i="10" s="1"/>
  <c r="I72" i="10" a="1"/>
  <c r="I72" i="10" s="1"/>
  <c r="J71" i="10" a="1"/>
  <c r="J71" i="10" s="1"/>
  <c r="I71" i="10" a="1"/>
  <c r="I71" i="10" s="1"/>
  <c r="J70" i="10" a="1"/>
  <c r="J70" i="10" s="1"/>
  <c r="I70" i="10" a="1"/>
  <c r="I70" i="10" s="1"/>
  <c r="E51" i="10"/>
  <c r="J43" i="10"/>
  <c r="I43" i="10"/>
  <c r="H43" i="10"/>
  <c r="G43" i="10"/>
  <c r="F43" i="10"/>
  <c r="E43" i="10"/>
  <c r="K42" i="10"/>
  <c r="K41" i="10"/>
  <c r="J38" i="10"/>
  <c r="I38" i="10"/>
  <c r="H38" i="10"/>
  <c r="G38" i="10"/>
  <c r="F38" i="10"/>
  <c r="E38" i="10"/>
  <c r="K37" i="10"/>
  <c r="K36" i="10"/>
  <c r="K35" i="10"/>
  <c r="K34" i="10"/>
  <c r="K33" i="10"/>
  <c r="J30" i="10"/>
  <c r="I30" i="10"/>
  <c r="H30" i="10"/>
  <c r="G30" i="10"/>
  <c r="F30" i="10"/>
  <c r="E30" i="10"/>
  <c r="K29" i="10"/>
  <c r="K28" i="10"/>
  <c r="K27" i="10"/>
  <c r="K26" i="10"/>
  <c r="K25" i="10"/>
  <c r="F25" i="8"/>
  <c r="E25" i="8"/>
  <c r="D25" i="8"/>
  <c r="F26" i="8"/>
  <c r="E26" i="8"/>
  <c r="D26" i="8"/>
  <c r="F27" i="8"/>
  <c r="E27" i="8"/>
  <c r="D27" i="8"/>
  <c r="F28" i="8"/>
  <c r="E28" i="8"/>
  <c r="D28" i="8"/>
  <c r="F29" i="8"/>
  <c r="E29" i="8"/>
  <c r="D29" i="8"/>
  <c r="D24" i="8"/>
  <c r="E24" i="8"/>
  <c r="F24" i="8"/>
  <c r="D18" i="8"/>
  <c r="D45" i="2"/>
  <c r="C242" i="5"/>
  <c r="C243" i="5" s="1"/>
  <c r="C244" i="5" s="1"/>
  <c r="C245" i="5" s="1"/>
  <c r="C246" i="5" s="1"/>
  <c r="C247" i="5" s="1"/>
  <c r="C248" i="5" s="1"/>
  <c r="C249" i="5" s="1"/>
  <c r="C250" i="5" s="1"/>
  <c r="C251" i="5" s="1"/>
  <c r="C252" i="5" s="1"/>
  <c r="C253" i="5" s="1"/>
  <c r="C254" i="5" s="1"/>
  <c r="C255" i="5" s="1"/>
  <c r="C256" i="5" s="1"/>
  <c r="C257" i="5" s="1"/>
  <c r="C258" i="5" s="1"/>
  <c r="C259" i="5" s="1"/>
  <c r="C260" i="5" s="1"/>
  <c r="C261" i="5" s="1"/>
  <c r="C262" i="5" s="1"/>
  <c r="C263" i="5" s="1"/>
  <c r="C264" i="5" s="1"/>
  <c r="C265" i="5" s="1"/>
  <c r="C266" i="5" s="1"/>
  <c r="C267" i="5" s="1"/>
  <c r="C268" i="5" s="1"/>
  <c r="C269" i="5" s="1"/>
  <c r="D46" i="4"/>
  <c r="D47" i="4"/>
  <c r="D45" i="4"/>
  <c r="F13" i="3"/>
  <c r="G13" i="3"/>
  <c r="G20" i="3" s="1"/>
  <c r="H13" i="3"/>
  <c r="H20" i="3" s="1"/>
  <c r="H24" i="3" s="1"/>
  <c r="I13" i="3"/>
  <c r="I20" i="3" s="1"/>
  <c r="I23" i="3" s="1"/>
  <c r="D13" i="3"/>
  <c r="D20" i="3" s="1"/>
  <c r="D23" i="3" s="1"/>
  <c r="F14" i="5"/>
  <c r="F15" i="5"/>
  <c r="E13" i="3"/>
  <c r="E26" i="5"/>
  <c r="E27" i="5"/>
  <c r="D21" i="4"/>
  <c r="F21" i="4" s="1"/>
  <c r="D15" i="5"/>
  <c r="D14" i="5"/>
  <c r="G15" i="5"/>
  <c r="E15" i="5"/>
  <c r="G14" i="5"/>
  <c r="E14" i="5"/>
  <c r="D10" i="5"/>
  <c r="E25" i="4"/>
  <c r="D25" i="4"/>
  <c r="F25" i="4" s="1"/>
  <c r="E24" i="4"/>
  <c r="D24" i="4"/>
  <c r="F24" i="4" s="1"/>
  <c r="D23" i="4"/>
  <c r="F23" i="4" s="1"/>
  <c r="E23" i="4"/>
  <c r="E22" i="4"/>
  <c r="D22" i="4"/>
  <c r="F22" i="4" s="1"/>
  <c r="E21" i="4"/>
  <c r="D10" i="4"/>
  <c r="I14" i="11" l="1" a="1"/>
  <c r="I14" i="11" s="1"/>
  <c r="H23" i="3"/>
  <c r="K43" i="10"/>
  <c r="D24" i="2"/>
  <c r="D26" i="2" s="1"/>
  <c r="G14" i="11" s="1"/>
  <c r="K30" i="10"/>
  <c r="D15" i="3"/>
  <c r="D48" i="4"/>
  <c r="D49" i="4" s="1"/>
  <c r="D55" i="10"/>
  <c r="H70" i="10" s="1" a="1"/>
  <c r="H70" i="10" s="1"/>
  <c r="D24" i="3"/>
  <c r="G23" i="4"/>
  <c r="H23" i="4" s="1"/>
  <c r="G21" i="4"/>
  <c r="H21" i="4" s="1"/>
  <c r="D63" i="10"/>
  <c r="H72" i="10" s="1" a="1"/>
  <c r="H72" i="10" s="1"/>
  <c r="K72" i="10" s="1"/>
  <c r="K90" i="10"/>
  <c r="G25" i="4"/>
  <c r="H25" i="4" s="1"/>
  <c r="I20" i="5" a="1"/>
  <c r="I20" i="5" s="1"/>
  <c r="K38" i="10"/>
  <c r="K73" i="10"/>
  <c r="K89" i="10"/>
  <c r="F20" i="3"/>
  <c r="J93" i="10"/>
  <c r="K92" i="10"/>
  <c r="E98" i="10"/>
  <c r="E99" i="10" s="1"/>
  <c r="E100" i="10" s="1"/>
  <c r="G23" i="3"/>
  <c r="G24" i="3"/>
  <c r="H130" i="10"/>
  <c r="I85" i="10"/>
  <c r="G93" i="10"/>
  <c r="K88" i="10"/>
  <c r="F85" i="10"/>
  <c r="E131" i="10"/>
  <c r="K84" i="10"/>
  <c r="F134" i="10"/>
  <c r="F133" i="10"/>
  <c r="K83" i="10"/>
  <c r="K80" i="10"/>
  <c r="F130" i="10"/>
  <c r="G85" i="10"/>
  <c r="K96" i="10"/>
  <c r="G98" i="10"/>
  <c r="H93" i="10"/>
  <c r="E93" i="10"/>
  <c r="G22" i="4"/>
  <c r="H22" i="4" s="1"/>
  <c r="J98" i="10"/>
  <c r="F98" i="10"/>
  <c r="I98" i="10"/>
  <c r="F93" i="10"/>
  <c r="E85" i="10"/>
  <c r="D130" i="10"/>
  <c r="I93" i="10"/>
  <c r="G131" i="10"/>
  <c r="K91" i="10"/>
  <c r="K71" i="10"/>
  <c r="K81" i="10"/>
  <c r="F131" i="10"/>
  <c r="K97" i="10"/>
  <c r="G24" i="4"/>
  <c r="H24" i="4" s="1"/>
  <c r="I130" i="10"/>
  <c r="J85" i="10"/>
  <c r="H98" i="10"/>
  <c r="I24" i="3"/>
  <c r="E20" i="3"/>
  <c r="G15" i="11" l="1"/>
  <c r="G16" i="11" s="1"/>
  <c r="G17" i="11" s="1"/>
  <c r="G18" i="11" s="1"/>
  <c r="G19" i="11" s="1"/>
  <c r="G20" i="11" s="1"/>
  <c r="D135" i="10" a="1"/>
  <c r="D135" i="10" s="1"/>
  <c r="K70" i="10"/>
  <c r="H82" i="10" a="1"/>
  <c r="H82" i="10" s="1"/>
  <c r="D34" i="2"/>
  <c r="K98" i="10"/>
  <c r="D8" i="4"/>
  <c r="D26" i="4"/>
  <c r="F24" i="3"/>
  <c r="F23" i="3"/>
  <c r="I99" i="10"/>
  <c r="I100" i="10" s="1"/>
  <c r="I102" i="10" s="1"/>
  <c r="F108" i="10" a="1"/>
  <c r="F108" i="10" s="1"/>
  <c r="H99" i="10"/>
  <c r="H100" i="10" s="1"/>
  <c r="K93" i="10"/>
  <c r="J120" i="10" a="1"/>
  <c r="J120" i="10" s="1"/>
  <c r="J108" i="10" a="1"/>
  <c r="J108" i="10" s="1"/>
  <c r="J99" i="10"/>
  <c r="J100" i="10" s="1"/>
  <c r="J102" i="10" s="1"/>
  <c r="I120" i="10" a="1"/>
  <c r="I120" i="10" s="1"/>
  <c r="I108" i="10" a="1"/>
  <c r="I108" i="10" s="1"/>
  <c r="D11" i="4"/>
  <c r="H32" i="4" s="1"/>
  <c r="F26" i="4"/>
  <c r="G20" i="5"/>
  <c r="D29" i="2"/>
  <c r="D14" i="11" s="1"/>
  <c r="G108" i="10" a="1"/>
  <c r="G108" i="10" s="1"/>
  <c r="G120" i="10" a="1"/>
  <c r="G120" i="10" s="1"/>
  <c r="F99" i="10"/>
  <c r="F100" i="10" s="1"/>
  <c r="F102" i="10" s="1"/>
  <c r="F109" i="10" s="1" a="1"/>
  <c r="F109" i="10" s="1"/>
  <c r="E24" i="3"/>
  <c r="E23" i="3"/>
  <c r="E102" i="10"/>
  <c r="E109" i="10" s="1" a="1"/>
  <c r="E109" i="10" s="1"/>
  <c r="E108" i="10" a="1"/>
  <c r="E108" i="10" s="1"/>
  <c r="G99" i="10"/>
  <c r="G100" i="10" s="1"/>
  <c r="G102" i="10" s="1"/>
  <c r="D15" i="11" l="1"/>
  <c r="D16" i="11" s="1"/>
  <c r="J14" i="11"/>
  <c r="D136" i="10" a="1"/>
  <c r="D136" i="10" s="1"/>
  <c r="G21" i="5"/>
  <c r="G22" i="5" s="1"/>
  <c r="G23" i="5" s="1"/>
  <c r="G24" i="5" s="1"/>
  <c r="G25" i="5" s="1"/>
  <c r="G26" i="5" s="1"/>
  <c r="G132" i="10"/>
  <c r="H85" i="10"/>
  <c r="K82" i="10"/>
  <c r="K85" i="10" s="1"/>
  <c r="D14" i="10" s="1" a="1"/>
  <c r="D14" i="10" s="1"/>
  <c r="I109" i="10" a="1"/>
  <c r="I109" i="10" s="1"/>
  <c r="I121" i="10" a="1"/>
  <c r="I121" i="10" s="1"/>
  <c r="J109" i="10" a="1"/>
  <c r="J109" i="10" s="1"/>
  <c r="J121" i="10" a="1"/>
  <c r="J121" i="10" s="1"/>
  <c r="F113" i="10"/>
  <c r="F115" i="10"/>
  <c r="E114" i="10"/>
  <c r="E112" i="10"/>
  <c r="D20" i="5"/>
  <c r="J20" i="5" s="1"/>
  <c r="D31" i="2"/>
  <c r="G112" i="10"/>
  <c r="G114" i="10"/>
  <c r="G121" i="10" a="1"/>
  <c r="G121" i="10" s="1"/>
  <c r="G109" i="10" a="1"/>
  <c r="G109" i="10" s="1"/>
  <c r="G32" i="4"/>
  <c r="I32" i="4"/>
  <c r="R32" i="4"/>
  <c r="K99" i="10"/>
  <c r="K100" i="10" s="1"/>
  <c r="F114" i="10"/>
  <c r="F112" i="10"/>
  <c r="E115" i="10"/>
  <c r="E113" i="10"/>
  <c r="J112" i="10"/>
  <c r="J114" i="10"/>
  <c r="I114" i="10"/>
  <c r="I112" i="10"/>
  <c r="J15" i="11" l="1"/>
  <c r="K102" i="10"/>
  <c r="D15" i="10" s="1" a="1"/>
  <c r="D15" i="10" s="1"/>
  <c r="D17" i="10" s="1" a="1"/>
  <c r="D17" i="10" s="1"/>
  <c r="G123" i="10" s="1" a="1"/>
  <c r="G123" i="10" s="1"/>
  <c r="H120" i="10" a="1"/>
  <c r="H120" i="10" s="1"/>
  <c r="K120" i="10" s="1"/>
  <c r="H108" i="10" a="1"/>
  <c r="H108" i="10" s="1"/>
  <c r="H102" i="10"/>
  <c r="D32" i="2"/>
  <c r="D33" i="2" s="1"/>
  <c r="D21" i="5"/>
  <c r="J113" i="10"/>
  <c r="J115" i="10"/>
  <c r="S32" i="4"/>
  <c r="J32" i="4"/>
  <c r="F32" i="4"/>
  <c r="Q32" i="4"/>
  <c r="I113" i="10"/>
  <c r="I115" i="10"/>
  <c r="G115" i="10"/>
  <c r="G113" i="10"/>
  <c r="K14" i="11" l="1"/>
  <c r="M14" i="11" s="1"/>
  <c r="K15" i="11"/>
  <c r="L15" i="11" s="1"/>
  <c r="D25" i="2"/>
  <c r="D14" i="4" s="1"/>
  <c r="D27" i="2" s="1"/>
  <c r="H112" i="10"/>
  <c r="H114" i="10"/>
  <c r="H109" i="10" a="1"/>
  <c r="H109" i="10" s="1"/>
  <c r="H121" i="10" a="1"/>
  <c r="H121" i="10" s="1"/>
  <c r="K121" i="10" s="1"/>
  <c r="P32" i="4"/>
  <c r="E32" i="4"/>
  <c r="O32" i="4" s="1"/>
  <c r="K32" i="4"/>
  <c r="U32" i="4" s="1"/>
  <c r="T32" i="4"/>
  <c r="K20" i="5"/>
  <c r="M20" i="5" s="1"/>
  <c r="J21" i="5"/>
  <c r="M15" i="11" l="1"/>
  <c r="D22" i="5"/>
  <c r="D23" i="5" s="1"/>
  <c r="D24" i="5" s="1"/>
  <c r="F20" i="11"/>
  <c r="F14" i="11"/>
  <c r="H14" i="11" s="1"/>
  <c r="F15" i="11"/>
  <c r="H15" i="11" s="1"/>
  <c r="F18" i="11"/>
  <c r="F17" i="11"/>
  <c r="F19" i="11"/>
  <c r="F16" i="11"/>
  <c r="E26" i="4"/>
  <c r="D9" i="4"/>
  <c r="D36" i="4" s="1"/>
  <c r="I36" i="4" s="1"/>
  <c r="S36" i="4" s="1"/>
  <c r="F26" i="5"/>
  <c r="F25" i="5"/>
  <c r="F20" i="5"/>
  <c r="H20" i="5" s="1"/>
  <c r="D30" i="2"/>
  <c r="F22" i="5"/>
  <c r="F24" i="5"/>
  <c r="D15" i="4"/>
  <c r="D28" i="2" s="1"/>
  <c r="E12" i="8" s="1"/>
  <c r="F23" i="5"/>
  <c r="D50" i="4"/>
  <c r="D35" i="2" s="1"/>
  <c r="F27" i="5"/>
  <c r="F21" i="5"/>
  <c r="H21" i="5" s="1"/>
  <c r="G26" i="4"/>
  <c r="H113" i="10"/>
  <c r="H115" i="10"/>
  <c r="K21" i="5"/>
  <c r="L21" i="5" s="1"/>
  <c r="H22" i="5" l="1"/>
  <c r="J22" i="5"/>
  <c r="K22" i="5" s="1"/>
  <c r="L22" i="5" s="1"/>
  <c r="E29" i="5"/>
  <c r="F29" i="5" s="1"/>
  <c r="J16" i="11"/>
  <c r="H16" i="11"/>
  <c r="D17" i="11"/>
  <c r="H36" i="4"/>
  <c r="R36" i="4" s="1"/>
  <c r="G36" i="4"/>
  <c r="Q36" i="4" s="1"/>
  <c r="K36" i="4"/>
  <c r="U36" i="4" s="1"/>
  <c r="N36" i="4"/>
  <c r="D37" i="4"/>
  <c r="F37" i="4" s="1"/>
  <c r="P37" i="4" s="1"/>
  <c r="E36" i="4"/>
  <c r="O36" i="4" s="1"/>
  <c r="D35" i="4"/>
  <c r="D34" i="4" s="1"/>
  <c r="N34" i="4" s="1"/>
  <c r="F36" i="4"/>
  <c r="P36" i="4" s="1"/>
  <c r="J36" i="4"/>
  <c r="T36" i="4" s="1"/>
  <c r="F10" i="8"/>
  <c r="F11" i="8"/>
  <c r="F9" i="8"/>
  <c r="E8" i="8"/>
  <c r="H26" i="4"/>
  <c r="E30" i="5"/>
  <c r="F30" i="5" s="1"/>
  <c r="E28" i="5"/>
  <c r="F28" i="5" s="1"/>
  <c r="D80" i="5"/>
  <c r="D81" i="5" s="1"/>
  <c r="F87" i="5" s="1"/>
  <c r="G87" i="5" s="1"/>
  <c r="H87" i="5" s="1"/>
  <c r="I87" i="5" s="1"/>
  <c r="F12" i="8"/>
  <c r="M21" i="5"/>
  <c r="H23" i="5"/>
  <c r="J23" i="5"/>
  <c r="D21" i="8" l="1"/>
  <c r="J17" i="11"/>
  <c r="H17" i="11"/>
  <c r="D18" i="11"/>
  <c r="K16" i="11"/>
  <c r="L16" i="11" s="1"/>
  <c r="G37" i="4"/>
  <c r="Q37" i="4" s="1"/>
  <c r="J37" i="4"/>
  <c r="T37" i="4" s="1"/>
  <c r="N37" i="4"/>
  <c r="E37" i="4"/>
  <c r="O37" i="4" s="1"/>
  <c r="I37" i="4"/>
  <c r="S37" i="4" s="1"/>
  <c r="D38" i="4"/>
  <c r="I38" i="4" s="1"/>
  <c r="S38" i="4" s="1"/>
  <c r="K37" i="4"/>
  <c r="U37" i="4" s="1"/>
  <c r="H37" i="4"/>
  <c r="R37" i="4" s="1"/>
  <c r="K35" i="4"/>
  <c r="U35" i="4" s="1"/>
  <c r="J35" i="4"/>
  <c r="T35" i="4" s="1"/>
  <c r="I34" i="4"/>
  <c r="S34" i="4" s="1"/>
  <c r="K34" i="4"/>
  <c r="U34" i="4" s="1"/>
  <c r="F35" i="4"/>
  <c r="P35" i="4" s="1"/>
  <c r="G34" i="4"/>
  <c r="Q34" i="4" s="1"/>
  <c r="F34" i="4"/>
  <c r="P34" i="4" s="1"/>
  <c r="E35" i="4"/>
  <c r="O35" i="4" s="1"/>
  <c r="N35" i="4"/>
  <c r="G35" i="4"/>
  <c r="Q35" i="4" s="1"/>
  <c r="E34" i="4"/>
  <c r="O34" i="4" s="1"/>
  <c r="D33" i="4"/>
  <c r="J33" i="4" s="1"/>
  <c r="T33" i="4" s="1"/>
  <c r="J34" i="4"/>
  <c r="T34" i="4" s="1"/>
  <c r="H34" i="4"/>
  <c r="R34" i="4" s="1"/>
  <c r="H35" i="4"/>
  <c r="R35" i="4" s="1"/>
  <c r="I35" i="4"/>
  <c r="S35" i="4" s="1"/>
  <c r="F88" i="5"/>
  <c r="G88" i="5" s="1"/>
  <c r="H88" i="5" s="1"/>
  <c r="I88" i="5" s="1"/>
  <c r="D11" i="8" s="1"/>
  <c r="E11" i="8" s="1"/>
  <c r="F85" i="5"/>
  <c r="G85" i="5" s="1"/>
  <c r="H85" i="5" s="1"/>
  <c r="I85" i="5" s="1"/>
  <c r="D9" i="8" s="1"/>
  <c r="E9" i="8" s="1"/>
  <c r="F86" i="5"/>
  <c r="G86" i="5" s="1"/>
  <c r="H86" i="5" s="1"/>
  <c r="I86" i="5" s="1"/>
  <c r="D10" i="8" s="1"/>
  <c r="E10" i="8" s="1"/>
  <c r="M22" i="5"/>
  <c r="K23" i="5"/>
  <c r="L23" i="5" s="1"/>
  <c r="J24" i="5"/>
  <c r="H24" i="5"/>
  <c r="D25" i="5"/>
  <c r="H25" i="5" s="1"/>
  <c r="M16" i="11" l="1"/>
  <c r="D19" i="11"/>
  <c r="J18" i="11"/>
  <c r="H18" i="11"/>
  <c r="K17" i="11"/>
  <c r="L17" i="11" s="1"/>
  <c r="G38" i="4"/>
  <c r="Q38" i="4" s="1"/>
  <c r="K38" i="4"/>
  <c r="U38" i="4" s="1"/>
  <c r="N38" i="4"/>
  <c r="H38" i="4"/>
  <c r="R38" i="4" s="1"/>
  <c r="J38" i="4"/>
  <c r="T38" i="4" s="1"/>
  <c r="F38" i="4"/>
  <c r="P38" i="4" s="1"/>
  <c r="D39" i="4"/>
  <c r="J39" i="4" s="1"/>
  <c r="T39" i="4" s="1"/>
  <c r="E38" i="4"/>
  <c r="O38" i="4" s="1"/>
  <c r="F33" i="4"/>
  <c r="P33" i="4" s="1"/>
  <c r="K33" i="4"/>
  <c r="U33" i="4" s="1"/>
  <c r="I33" i="4"/>
  <c r="S33" i="4" s="1"/>
  <c r="H33" i="4"/>
  <c r="R33" i="4" s="1"/>
  <c r="G33" i="4"/>
  <c r="Q33" i="4" s="1"/>
  <c r="N33" i="4"/>
  <c r="E33" i="4"/>
  <c r="O33" i="4" s="1"/>
  <c r="D20" i="8"/>
  <c r="H26" i="8" s="1"/>
  <c r="M23" i="5"/>
  <c r="K24" i="5"/>
  <c r="L24" i="5" s="1"/>
  <c r="D26" i="5"/>
  <c r="J25" i="5"/>
  <c r="M17" i="11" l="1"/>
  <c r="K18" i="11"/>
  <c r="L18" i="11" s="1"/>
  <c r="H19" i="11"/>
  <c r="D9" i="11" s="1"/>
  <c r="D20" i="11"/>
  <c r="J19" i="11"/>
  <c r="K39" i="4"/>
  <c r="U39" i="4" s="1"/>
  <c r="F39" i="4"/>
  <c r="P39" i="4" s="1"/>
  <c r="E39" i="4"/>
  <c r="O39" i="4" s="1"/>
  <c r="I39" i="4"/>
  <c r="S39" i="4" s="1"/>
  <c r="N39" i="4"/>
  <c r="G39" i="4"/>
  <c r="Q39" i="4" s="1"/>
  <c r="H39" i="4"/>
  <c r="R39" i="4" s="1"/>
  <c r="G25" i="8"/>
  <c r="G28" i="8"/>
  <c r="I24" i="8"/>
  <c r="I29" i="8"/>
  <c r="G26" i="8"/>
  <c r="G27" i="8"/>
  <c r="I28" i="8"/>
  <c r="H25" i="8"/>
  <c r="G24" i="8"/>
  <c r="G29" i="8"/>
  <c r="H28" i="8"/>
  <c r="H27" i="8"/>
  <c r="H29" i="8"/>
  <c r="I26" i="8"/>
  <c r="I25" i="8"/>
  <c r="I27" i="8"/>
  <c r="H24" i="8"/>
  <c r="M24" i="5"/>
  <c r="K25" i="5"/>
  <c r="L25" i="5" s="1"/>
  <c r="H26" i="5"/>
  <c r="I26" i="5" s="1"/>
  <c r="G27" i="5" s="1"/>
  <c r="J26" i="5"/>
  <c r="D27" i="5"/>
  <c r="K19" i="11" l="1"/>
  <c r="L19" i="11" s="1"/>
  <c r="J20" i="11"/>
  <c r="H20" i="11"/>
  <c r="I20" i="11" s="1"/>
  <c r="M18" i="11"/>
  <c r="J28" i="8"/>
  <c r="K25" i="8"/>
  <c r="J24" i="8"/>
  <c r="J25" i="8"/>
  <c r="K24" i="8"/>
  <c r="J29" i="8"/>
  <c r="K29" i="8"/>
  <c r="J27" i="8"/>
  <c r="K28" i="8"/>
  <c r="K27" i="8"/>
  <c r="J26" i="8"/>
  <c r="K26" i="8"/>
  <c r="J27" i="5"/>
  <c r="D28" i="5"/>
  <c r="H27" i="5"/>
  <c r="I27" i="5" s="1"/>
  <c r="G28" i="5" s="1"/>
  <c r="K26" i="5"/>
  <c r="L26" i="5" s="1"/>
  <c r="M25" i="5"/>
  <c r="K20" i="11" l="1"/>
  <c r="L20" i="11" s="1"/>
  <c r="M19" i="11"/>
  <c r="M26" i="5"/>
  <c r="D29" i="5"/>
  <c r="H28" i="5"/>
  <c r="I28" i="5" s="1"/>
  <c r="G29" i="5" s="1"/>
  <c r="J28" i="5"/>
  <c r="K27" i="5"/>
  <c r="L27" i="5" s="1"/>
  <c r="M20" i="11" l="1"/>
  <c r="M27" i="5"/>
  <c r="K28" i="5"/>
  <c r="L28" i="5" s="1"/>
  <c r="D30" i="5"/>
  <c r="H29" i="5"/>
  <c r="I29" i="5" s="1"/>
  <c r="G30" i="5" s="1"/>
  <c r="J29" i="5"/>
  <c r="M28" i="5" l="1"/>
  <c r="K29" i="5"/>
  <c r="L29" i="5" s="1"/>
  <c r="J30" i="5"/>
  <c r="H30" i="5"/>
  <c r="I30" i="5" s="1"/>
  <c r="E84" i="5"/>
  <c r="F84" i="5" s="1"/>
  <c r="M29" i="5" l="1"/>
  <c r="K30" i="5"/>
  <c r="L30" i="5" s="1"/>
  <c r="M30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D53" authorId="0" shapeId="0" xr:uid="{05536DEE-0A02-E64F-B783-772816C717F4}">
      <text>
        <r>
          <rPr>
            <sz val="9"/>
            <color rgb="FF000000"/>
            <rFont val="Arial"/>
            <family val="2"/>
          </rPr>
          <t>Q1+Q2 FY26 actuals</t>
        </r>
      </text>
    </comment>
    <comment ref="D54" authorId="0" shapeId="0" xr:uid="{1B021C51-F85A-F546-83B4-548FFA946ACB}">
      <text>
        <r>
          <rPr>
            <sz val="9"/>
            <color rgb="FF000000"/>
            <rFont val="Arial"/>
            <family val="2"/>
          </rPr>
          <t>No quarterly data for FY25</t>
        </r>
      </text>
    </comment>
    <comment ref="D55" authorId="0" shapeId="0" xr:uid="{C581B0C8-2740-E342-AD2F-8589AE205254}">
      <text>
        <r>
          <rPr>
            <sz val="9"/>
            <color rgb="FF000000"/>
            <rFont val="Arial"/>
            <family val="2"/>
          </rPr>
          <t>Used in Section 2 row 72</t>
        </r>
      </text>
    </comment>
    <comment ref="D62" authorId="0" shapeId="0" xr:uid="{FAEA7529-6CFB-B34B-B9AB-4FF92662C1FB}">
      <text>
        <r>
          <rPr>
            <sz val="9"/>
            <color rgb="FF000000"/>
            <rFont val="Arial"/>
            <family val="2"/>
          </rPr>
          <t>FY25 = 1.6, halved</t>
        </r>
      </text>
    </comment>
    <comment ref="D63" authorId="0" shapeId="0" xr:uid="{BB5BD328-A9AC-284C-AFD7-DF8367F22BFD}">
      <text>
        <r>
          <rPr>
            <sz val="9"/>
            <color rgb="FF000000"/>
            <rFont val="Arial"/>
            <family val="2"/>
          </rPr>
          <t>Used in Section 2 row 74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<sst xmlns="http://schemas.openxmlformats.org/spreadsheetml/2006/main" count="587" uniqueCount="326">
  <si>
    <t>AI Transition Explainer Model</t>
  </si>
  <si>
    <t>Companion to Wachter and Wachter (2026): What Investment Data Implies about the AI Transition</t>
  </si>
  <si>
    <t>Sheet Index</t>
  </si>
  <si>
    <t>Tab Name</t>
  </si>
  <si>
    <t>Description</t>
  </si>
  <si>
    <t>Cover</t>
  </si>
  <si>
    <t>Parameters</t>
  </si>
  <si>
    <t>All model assumptions and calibrated parameters (named ranges)</t>
  </si>
  <si>
    <t>CAPEX Data</t>
  </si>
  <si>
    <t>Boom-size identification, sensitivity, p* calibration</t>
  </si>
  <si>
    <t>Conventions</t>
  </si>
  <si>
    <t>Named Range</t>
  </si>
  <si>
    <t>Default</t>
  </si>
  <si>
    <t>alpha</t>
  </si>
  <si>
    <t>Capital share (Cobb-Douglas)</t>
  </si>
  <si>
    <t>delta_a</t>
  </si>
  <si>
    <t>AI-capital depreciation rate (4-yr useful life)</t>
  </si>
  <si>
    <t>delta_n</t>
  </si>
  <si>
    <t>Non-AI capital depreciation rate (standard BEA)</t>
  </si>
  <si>
    <t>r_a</t>
  </si>
  <si>
    <t>Required real return on AI-sector capital</t>
  </si>
  <si>
    <t>r_n</t>
  </si>
  <si>
    <t>Required real return on non-AI capital</t>
  </si>
  <si>
    <t>p_max</t>
  </si>
  <si>
    <t>Window boom probability (maximum uncertainty)</t>
  </si>
  <si>
    <t>p_star</t>
  </si>
  <si>
    <t>theta_a</t>
  </si>
  <si>
    <t>Partial-adjustment speed (years to close 1/θ of gap)</t>
  </si>
  <si>
    <t>Ya0_share</t>
  </si>
  <si>
    <t>Pre-boom AI output share of GDP</t>
  </si>
  <si>
    <t>GDP0</t>
  </si>
  <si>
    <t>Pre-boom nominal GDP ($B, ~2022)</t>
  </si>
  <si>
    <t>Value</t>
  </si>
  <si>
    <t>Formula / Description</t>
  </si>
  <si>
    <t>I_pre</t>
  </si>
  <si>
    <t>Pre-boom annual AI capex ($B) — 2022 Total</t>
  </si>
  <si>
    <t>I_bar</t>
  </si>
  <si>
    <t>Cumulative 2024–2027 investment ($B)</t>
  </si>
  <si>
    <t>K0</t>
  </si>
  <si>
    <t>Pre-boom AI capital stock ($B) = I_pre/δ_a</t>
  </si>
  <si>
    <t>exp_xi</t>
  </si>
  <si>
    <t>xi</t>
  </si>
  <si>
    <t>z0</t>
  </si>
  <si>
    <t>Pre-boom AI productivity level</t>
  </si>
  <si>
    <t>z1</t>
  </si>
  <si>
    <t>Post-boom AI productivity level</t>
  </si>
  <si>
    <t>Ya0</t>
  </si>
  <si>
    <t>Pre-boom AI output ($B)</t>
  </si>
  <si>
    <t>Yn0</t>
  </si>
  <si>
    <t>Non-AI output, fixed ($B)</t>
  </si>
  <si>
    <t>GDP_0</t>
  </si>
  <si>
    <t>Model-consistent pre-boom GDP ($B)</t>
  </si>
  <si>
    <t>Kn0</t>
  </si>
  <si>
    <t>Non-AI capital stock ($B)</t>
  </si>
  <si>
    <t>p_d</t>
  </si>
  <si>
    <t>Annual disaster probability (Barro 2006)</t>
  </si>
  <si>
    <t>xi_d</t>
  </si>
  <si>
    <t>Log disaster size (Wachter 2013)</t>
  </si>
  <si>
    <t>rho</t>
  </si>
  <si>
    <t>Time discount rate</t>
  </si>
  <si>
    <t>mu_c</t>
  </si>
  <si>
    <t>Normal-times consumption growth mean</t>
  </si>
  <si>
    <t>sigma_c</t>
  </si>
  <si>
    <t>Normal-times consumption growth volatility</t>
  </si>
  <si>
    <t>beta_ap</t>
  </si>
  <si>
    <t>Note</t>
  </si>
  <si>
    <t>Company</t>
  </si>
  <si>
    <t>2022</t>
  </si>
  <si>
    <t>2023</t>
  </si>
  <si>
    <t>2024</t>
  </si>
  <si>
    <t>2025</t>
  </si>
  <si>
    <t>2026f</t>
  </si>
  <si>
    <t>Amazon</t>
  </si>
  <si>
    <t>Alphabet</t>
  </si>
  <si>
    <t>Total</t>
  </si>
  <si>
    <t>Metric</t>
  </si>
  <si>
    <t>AI capex ($B)</t>
  </si>
  <si>
    <t>U.S. nominal GDP ($T)</t>
  </si>
  <si>
    <t>U.S. gross private fixed investment ($T)</t>
  </si>
  <si>
    <t>Share of GDP (%)</t>
  </si>
  <si>
    <t>Share of PFI (%)</t>
  </si>
  <si>
    <t>Input</t>
  </si>
  <si>
    <t>Output</t>
  </si>
  <si>
    <t>I_pre ($B)</t>
  </si>
  <si>
    <t>I_bar ($B)</t>
  </si>
  <si>
    <t>δ_a</t>
  </si>
  <si>
    <t>K₀ = I_pre/δ_a</t>
  </si>
  <si>
    <t>Section B — Per-Firm Calibration Table (Table 5 from paper)</t>
  </si>
  <si>
    <t>Firm</t>
  </si>
  <si>
    <t>Ī_i ($B)</t>
  </si>
  <si>
    <t>K_i ($B)</t>
  </si>
  <si>
    <t>Microsoft</t>
  </si>
  <si>
    <t>Meta</t>
  </si>
  <si>
    <t>Oracle</t>
  </si>
  <si>
    <t>Aggregate</t>
  </si>
  <si>
    <t>S&amp;P 500 D/P (%)</t>
  </si>
  <si>
    <t>May 2026 trailing yield</t>
  </si>
  <si>
    <t>TIPS yield, 30yr (%)</t>
  </si>
  <si>
    <t>Approx. real risk-free rate</t>
  </si>
  <si>
    <t>Equity premium assumption</t>
  </si>
  <si>
    <t>Historical ERP</t>
  </si>
  <si>
    <t>Implied real discount rate r</t>
  </si>
  <si>
    <t>TIPS + ERP</t>
  </si>
  <si>
    <t>Implied long-run growth g</t>
  </si>
  <si>
    <t>r − D/P</t>
  </si>
  <si>
    <t>Implied p*</t>
  </si>
  <si>
    <t>Year</t>
  </si>
  <si>
    <t>Moderate</t>
  </si>
  <si>
    <t>Transformative-a</t>
  </si>
  <si>
    <t>Transformative-b</t>
  </si>
  <si>
    <t>Singularity</t>
  </si>
  <si>
    <t>Scenario</t>
  </si>
  <si>
    <t>x</t>
  </si>
  <si>
    <t>Boom-Size Identification (Section 3 of paper)</t>
  </si>
  <si>
    <t>e^xi_i</t>
  </si>
  <si>
    <t>xi_i</t>
  </si>
  <si>
    <t>K_0</t>
  </si>
  <si>
    <t>Implied productivity multiplier e^xi</t>
  </si>
  <si>
    <t>Log boom size xi</t>
  </si>
  <si>
    <t>I*</t>
  </si>
  <si>
    <t>Summary Dashboard</t>
  </si>
  <si>
    <t>All dollar values in $B unless otherwise noted in column headers.</t>
  </si>
  <si>
    <t>Yellow fill with blue text: User-editable inputs</t>
  </si>
  <si>
    <t>Blue text: Hard-coded source data</t>
  </si>
  <si>
    <t>Black text: Formulas</t>
  </si>
  <si>
    <t>Green text: links to another sheet</t>
  </si>
  <si>
    <t>Capital Expenditure by Firm ($B)</t>
  </si>
  <si>
    <t>AI Investment Relative to the U.S. Economy</t>
  </si>
  <si>
    <t>Wachter and Wachter (2026): What Investment Data Implies about the AI Transition</t>
  </si>
  <si>
    <t>Calibrated Parameters</t>
  </si>
  <si>
    <t>Assumed Parameters</t>
  </si>
  <si>
    <t>Sensitivity Table</t>
  </si>
  <si>
    <t>Identifying p* from valuations</t>
  </si>
  <si>
    <t>z_at</t>
  </si>
  <si>
    <t>p_t</t>
  </si>
  <si>
    <t>omega(p_t)</t>
  </si>
  <si>
    <t>Y_a</t>
  </si>
  <si>
    <t>Investment Friction</t>
  </si>
  <si>
    <t>feeds exp_xi</t>
  </si>
  <si>
    <t>feeds xi</t>
  </si>
  <si>
    <t>K_t (entry)</t>
  </si>
  <si>
    <t>Scenario Assumptions</t>
  </si>
  <si>
    <t>Toggles</t>
  </si>
  <si>
    <t>Selected Scenario</t>
  </si>
  <si>
    <t>Model 1 - Calibration</t>
  </si>
  <si>
    <t>K* (z, p)</t>
  </si>
  <si>
    <t>Disaster &amp; Asset-Pricing Parameters</t>
  </si>
  <si>
    <t>2027f</t>
  </si>
  <si>
    <t>GDP ($T)</t>
  </si>
  <si>
    <t>AI Share</t>
  </si>
  <si>
    <t>Cum. GDP Growth</t>
  </si>
  <si>
    <t>Model 1 - Investment and GDP Paths</t>
  </si>
  <si>
    <t>Investment and GDP Paths</t>
  </si>
  <si>
    <t>Investment I* ($B)</t>
  </si>
  <si>
    <t>GDP Growth (%)</t>
  </si>
  <si>
    <t>AI Share (%)</t>
  </si>
  <si>
    <t>Scenario Analysis</t>
  </si>
  <si>
    <t>Press Alt + F8, and click RunOpenModelScenarioAnalysis. VBA script toggles through settings and outputs results below</t>
  </si>
  <si>
    <t>Value Creation</t>
  </si>
  <si>
    <t>Omega_star</t>
  </si>
  <si>
    <t>K_star</t>
  </si>
  <si>
    <t>Capital Claim on Y_a</t>
  </si>
  <si>
    <t>Y_a/Y</t>
  </si>
  <si>
    <t>Long Run GDP</t>
  </si>
  <si>
    <t>Investment Paths</t>
  </si>
  <si>
    <t>GDP Growth Paths</t>
  </si>
  <si>
    <t>Moderate - GDP Growth (%)</t>
  </si>
  <si>
    <t>Mean</t>
  </si>
  <si>
    <t>P10</t>
  </si>
  <si>
    <t>P25</t>
  </si>
  <si>
    <t>P75</t>
  </si>
  <si>
    <t>P90</t>
  </si>
  <si>
    <t>Moderate - AI Share (%)</t>
  </si>
  <si>
    <t>Transformative - GDP Growth (%)</t>
  </si>
  <si>
    <t>Transformative - AI Share (%)</t>
  </si>
  <si>
    <t>Singularity - GDP Growth (%)</t>
  </si>
  <si>
    <t>Singularity - AI Share (%)</t>
  </si>
  <si>
    <t>Model 2</t>
  </si>
  <si>
    <t>Chart Helper</t>
  </si>
  <si>
    <t>Moderate (P90 - P10)</t>
  </si>
  <si>
    <t>Moderate (P10)</t>
  </si>
  <si>
    <t>Moderate (Mean)</t>
  </si>
  <si>
    <t>Transformative (P10)</t>
  </si>
  <si>
    <t>Transformative (P90 - P10)</t>
  </si>
  <si>
    <t>Transformative (Mean)</t>
  </si>
  <si>
    <t>Singularity (P10)</t>
  </si>
  <si>
    <t>Singularity (P90 - P10)</t>
  </si>
  <si>
    <t>Singularity (Mean)</t>
  </si>
  <si>
    <t>Model 1 - Inv &amp; GDP Paths</t>
  </si>
  <si>
    <t>Dashboard</t>
  </si>
  <si>
    <t>Summary tables and charts</t>
  </si>
  <si>
    <t>Four investment/output/GDP scenario</t>
  </si>
  <si>
    <t>Equilibrium rf and ERP vs. γ</t>
  </si>
  <si>
    <t>Press Alt + F8, and click RunMonteCarlo. VBA script runs simulation and returns output to the cells below</t>
  </si>
  <si>
    <t>Consumption Boom Size</t>
  </si>
  <si>
    <t>s_a</t>
  </si>
  <si>
    <t>xi_b</t>
  </si>
  <si>
    <t>No AI</t>
  </si>
  <si>
    <t>Transformative</t>
  </si>
  <si>
    <t>Absorbing limit</t>
  </si>
  <si>
    <t>Discount factor</t>
  </si>
  <si>
    <t>Risk-free rate and ERP</t>
  </si>
  <si>
    <t>gamma</t>
  </si>
  <si>
    <t>r_f</t>
  </si>
  <si>
    <t>ERP</t>
  </si>
  <si>
    <t>Phi_d(1)</t>
  </si>
  <si>
    <t>Phi_d(-gamma)</t>
  </si>
  <si>
    <t>Phi_d(1- gamma)</t>
  </si>
  <si>
    <t>Phi_b(1)</t>
  </si>
  <si>
    <t>Phi_b(-gamma)</t>
  </si>
  <si>
    <t>Phi_b(1- gamma)</t>
  </si>
  <si>
    <t>p_b</t>
  </si>
  <si>
    <t>Absorbing Limit</t>
  </si>
  <si>
    <t>Press Alt + F8, and click RunRAModelScenarioAnalysis. VBA script toggles through settings and outputs results below</t>
  </si>
  <si>
    <t>Risk-free and ERP</t>
  </si>
  <si>
    <t>Wachter &amp; Wachter (2026) — What Investment Data Implies about the AI Transition</t>
  </si>
  <si>
    <t>No</t>
  </si>
  <si>
    <t>Include Tier 1 neoclouds? (Yes/No)</t>
  </si>
  <si>
    <t>Include Tier 2 neoclouds? (Yes/No)</t>
  </si>
  <si>
    <t>Tier 2 haircut (decimal)</t>
  </si>
  <si>
    <t>I_bar source</t>
  </si>
  <si>
    <t>5-firm</t>
  </si>
  <si>
    <t>I_BAR SUMMARY ($B cumulative 2024–2027)</t>
  </si>
  <si>
    <t>FY end</t>
  </si>
  <si>
    <t>2027e</t>
  </si>
  <si>
    <t>Cum. 2024–27</t>
  </si>
  <si>
    <t>Dec 31</t>
  </si>
  <si>
    <t>Jun 30</t>
  </si>
  <si>
    <t>May 31</t>
  </si>
  <si>
    <t>Hyperscaler subtotal</t>
  </si>
  <si>
    <t>CoreWeave</t>
  </si>
  <si>
    <t>IREN</t>
  </si>
  <si>
    <t>Crusoe</t>
  </si>
  <si>
    <t>Lambda</t>
  </si>
  <si>
    <t>Tier 1 subtotal</t>
  </si>
  <si>
    <t>Tier 2 gross subtotal</t>
  </si>
  <si>
    <t>Quarter</t>
  </si>
  <si>
    <t>Period</t>
  </si>
  <si>
    <t>Capex ($B)</t>
  </si>
  <si>
    <t>Type</t>
  </si>
  <si>
    <t>Source</t>
  </si>
  <si>
    <t>Q1 FY26</t>
  </si>
  <si>
    <t>Jul–Sep 2025</t>
  </si>
  <si>
    <t>Actual</t>
  </si>
  <si>
    <t>8-K Q1 FY26 EX-99.1</t>
  </si>
  <si>
    <t>Q2 FY26</t>
  </si>
  <si>
    <t>Oct–Dec 2025</t>
  </si>
  <si>
    <t>8-K Q2 FY26 EX-99.1</t>
  </si>
  <si>
    <t>Q3 FY26</t>
  </si>
  <si>
    <t>Jan–Mar 2026</t>
  </si>
  <si>
    <t>8-K Q3 FY26 EX-99.1</t>
  </si>
  <si>
    <t>Q4 FY26 (est.)</t>
  </si>
  <si>
    <t>Apr–Jun 2026</t>
  </si>
  <si>
    <t>Estimated</t>
  </si>
  <si>
    <t>FY26 total (E26) minus 9-month actual</t>
  </si>
  <si>
    <t>H1 FY26 (Jul–Dec 2025, CY2025 tail)</t>
  </si>
  <si>
    <t>H2 FY25 (Jan–Jun 2025, CY2025 head) — even split</t>
  </si>
  <si>
    <t>Microsoft CY2025 (calendarized)</t>
  </si>
  <si>
    <t>9M FY26 total</t>
  </si>
  <si>
    <t>Jul 2025–Mar 2026</t>
  </si>
  <si>
    <t>10-Q Q3 FY26</t>
  </si>
  <si>
    <t>H1 FY26 (Q1+Q2, Jul–Dec 2025)</t>
  </si>
  <si>
    <t>Jul–Dec 2025</t>
  </si>
  <si>
    <t>Derived</t>
  </si>
  <si>
    <t>9M minus Q3</t>
  </si>
  <si>
    <t>H2 FY25 (Jan–Jun 2025) — even split</t>
  </si>
  <si>
    <t>IREN CY2025 (calendarized)</t>
  </si>
  <si>
    <t>IREN (CY)</t>
  </si>
  <si>
    <t>Toggle B6 controls FY vs. CY for non-Dec firms (2022–2025). Toggles B7/B8 control neocloud inclusion. B9 controls Tier 2 haircut.</t>
  </si>
  <si>
    <t>Tier 2 net subtotal</t>
  </si>
  <si>
    <t>Grand total (all selected)</t>
  </si>
  <si>
    <t>Item</t>
  </si>
  <si>
    <t>U.S. gross PFI ($T)</t>
  </si>
  <si>
    <t>5-firm share of GDP (%)</t>
  </si>
  <si>
    <t>5-firm share of PFI (%)</t>
  </si>
  <si>
    <t>Series</t>
  </si>
  <si>
    <t>Cumulative</t>
  </si>
  <si>
    <t>5-firm capex</t>
  </si>
  <si>
    <t>Active I_bar (B16):</t>
  </si>
  <si>
    <t>Updated CAPEX</t>
  </si>
  <si>
    <t>Calendarize</t>
  </si>
  <si>
    <t>Hyperscalers</t>
  </si>
  <si>
    <t>Tier 1 Neoclouds</t>
  </si>
  <si>
    <t>Tier 2 Neoclouds</t>
  </si>
  <si>
    <t>Dec-31 FY firms are omitted since their CY equals FY. Columns G and H (2026f, 2027e) are unaffected by this toggle for all firms.</t>
  </si>
  <si>
    <t>Microsoft (CY)</t>
  </si>
  <si>
    <t>Oracle (CY)</t>
  </si>
  <si>
    <t>Applied Digital (CY)</t>
  </si>
  <si>
    <t>xAI / SpaceX AI</t>
  </si>
  <si>
    <t>Applied Digital</t>
  </si>
  <si>
    <t>Hut 8</t>
  </si>
  <si>
    <t>Microsoft (FY Jun 30), quarterly actuals for FY2026</t>
  </si>
  <si>
    <t>IREN (FY Jun 30), quarterly actuals for FY2026</t>
  </si>
  <si>
    <t>Parameters and Toggles</t>
  </si>
  <si>
    <t>Raw Data (FY, as reported)</t>
  </si>
  <si>
    <t>Calendarization Helpers (quarterly actuals)</t>
  </si>
  <si>
    <t>Calendarized CAPEX (calendar year; non-Dec FY firms only)</t>
  </si>
  <si>
    <t>Active CAPEX Table (feeds all downstream calculations)</t>
  </si>
  <si>
    <t>Tier 2 haircut</t>
  </si>
  <si>
    <t>AI capex, 5-firm ($B)</t>
  </si>
  <si>
    <t>AI capex, grand total ($B)</t>
  </si>
  <si>
    <t>AI Investment Relative to US Economy</t>
  </si>
  <si>
    <t>I_bar (cumulative AI capex 2024–2027, $B)</t>
  </si>
  <si>
    <t>Active I_bar</t>
  </si>
  <si>
    <t>I_bar, 5-firms</t>
  </si>
  <si>
    <t>I_bar, all-firms as per settings above</t>
  </si>
  <si>
    <t>Universe total share of GDP (%)</t>
  </si>
  <si>
    <t>Universe total share of PFI (%)</t>
  </si>
  <si>
    <t>No friction / Moderate</t>
  </si>
  <si>
    <t>No friction / Trans-a</t>
  </si>
  <si>
    <t>No friction / Trans-b</t>
  </si>
  <si>
    <t>No friction / Singularity</t>
  </si>
  <si>
    <t>Friction / Moderate</t>
  </si>
  <si>
    <t>Friction / Trans-a</t>
  </si>
  <si>
    <t>Friction / Trans-b</t>
  </si>
  <si>
    <t>Friction / Singularity</t>
  </si>
  <si>
    <t>Universe total capex (per toggles)</t>
  </si>
  <si>
    <t>CAPEX Build</t>
  </si>
  <si>
    <t>Bottom up CAPEX estimation, 2022-2027</t>
  </si>
  <si>
    <t>Model 2 - Riskfree and ERP</t>
  </si>
  <si>
    <t>Legend</t>
  </si>
  <si>
    <t>local exp_xi</t>
  </si>
  <si>
    <t>K_t mismatch</t>
  </si>
  <si>
    <t>Goal Seek Helpers</t>
  </si>
  <si>
    <t>Usage Guide</t>
  </si>
  <si>
    <t>After editing user-input cells, click Alt-F8 and select RunAll to propagate changes through the model.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</si>
</sst>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00"/>
    <numFmt numFmtId="165" formatCode="0.00\×"/>
    <numFmt numFmtId="166" formatCode="#,##0.0"/>
    <numFmt numFmtId="167" formatCode="0.0%"/>
  </numFmts>
  <fonts count="35" x14ac:knownFonts="1">
    <font>
      <sz val="11"/>
      <color theme="1"/>
      <name val="Calibri"/>
      <family val="2"/>
      <charset val="1"/>
    </font>
    <font>
      <b/>
      <sz val="13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  <font>
      <sz val="10"/>
      <color rgb="FF0000FF"/>
      <name val="Arial"/>
      <family val="2"/>
    </font>
    <font>
      <sz val="10"/>
      <color rgb="FF008000"/>
      <name val="Arial"/>
      <family val="2"/>
    </font>
    <font>
      <i/>
      <sz val="10"/>
      <color rgb="FF595959"/>
      <name val="Arial"/>
      <family val="2"/>
    </font>
    <font>
      <i/>
      <sz val="9"/>
      <color rgb="FF595959"/>
      <name val="Arial"/>
      <family val="2"/>
    </font>
    <font>
      <sz val="10"/>
      <name val="Arial"/>
      <family val="2"/>
    </font>
    <font>
      <b/>
      <u val="singleAccounting"/>
      <sz val="10"/>
      <name val="Arial"/>
      <family val="2"/>
    </font>
    <font>
      <sz val="10"/>
      <color rgb="FF000FFF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charset val="1"/>
    </font>
    <font>
      <sz val="11"/>
      <color rgb="FF008000"/>
      <name val="Calibri"/>
      <family val="2"/>
      <charset val="1"/>
    </font>
    <font>
      <b/>
      <sz val="10"/>
      <color rgb="FF000000"/>
      <name val="Arial"/>
      <family val="2"/>
    </font>
    <font>
      <b/>
      <u val="singleAccounting"/>
      <sz val="10"/>
      <color rgb="FFFFFFFF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u val="singleAccounting"/>
      <sz val="10"/>
      <color theme="1"/>
      <name val="Arial"/>
      <family val="2"/>
    </font>
    <font>
      <i/>
      <sz val="10"/>
      <color rgb="FF008000"/>
      <name val="Arial"/>
      <family val="2"/>
    </font>
    <font>
      <sz val="11"/>
      <color theme="1"/>
      <name val="Calibri"/>
      <family val="2"/>
    </font>
    <font>
      <b/>
      <u/>
      <sz val="10"/>
      <name val="Arial"/>
      <family val="2"/>
    </font>
    <font>
      <sz val="9"/>
      <color rgb="FF000000"/>
      <name val="Arial"/>
      <family val="2"/>
    </font>
    <font>
      <i/>
      <sz val="10"/>
      <color rgb="FF808080"/>
      <name val="Arial"/>
      <family val="2"/>
    </font>
    <font>
      <i/>
      <sz val="10"/>
      <color theme="1"/>
      <name val="Arial"/>
      <family val="2"/>
    </font>
    <font>
      <sz val="10"/>
      <color rgb="FFFF0000"/>
      <name val="Arial"/>
      <family val="2"/>
    </font>
    <font>
      <b/>
      <sz val="13"/>
      <color theme="1"/>
      <name val="Arial"/>
      <family val="2"/>
    </font>
    <font>
      <sz val="13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0" tint="-0.249977111117893"/>
      <name val="Arial"/>
      <family val="2"/>
    </font>
    <font>
      <sz val="10"/>
      <color theme="0" tint="-0.34998626667073579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011F5B"/>
        <bgColor indexed="64"/>
      </patternFill>
    </fill>
    <fill>
      <patternFill patternType="solid">
        <fgColor rgb="FF011F5B"/>
        <bgColor rgb="FF7D5FA0"/>
      </patternFill>
    </fill>
    <fill>
      <patternFill patternType="solid">
        <fgColor rgb="FFFFFF00"/>
        <bgColor indexed="64"/>
      </patternFill>
    </fill>
    <fill>
      <patternFill patternType="solid">
        <fgColor rgb="FF1F3864"/>
      </patternFill>
    </fill>
    <fill>
      <patternFill patternType="solid">
        <fgColor rgb="FFFFFF99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99"/>
        <bgColor rgb="FFFFFF00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9" fontId="15" fillId="0" borderId="0" applyFont="0" applyFill="0" applyBorder="0" applyAlignment="0" applyProtection="0"/>
    <xf numFmtId="0" fontId="24" fillId="0" borderId="0"/>
  </cellStyleXfs>
  <cellXfs count="171">
    <xf numFmtId="0" fontId="0" fillId="0" borderId="0" xfId="0"/>
    <xf numFmtId="0" fontId="9" fillId="0" borderId="0" xfId="0" applyFont="1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3" fontId="7" fillId="0" borderId="0" xfId="0" applyNumberFormat="1" applyFont="1"/>
    <xf numFmtId="164" fontId="7" fillId="0" borderId="0" xfId="0" applyNumberFormat="1" applyFont="1"/>
    <xf numFmtId="164" fontId="4" fillId="0" borderId="0" xfId="0" applyNumberFormat="1" applyFont="1"/>
    <xf numFmtId="10" fontId="4" fillId="0" borderId="0" xfId="0" applyNumberFormat="1" applyFont="1"/>
    <xf numFmtId="3" fontId="6" fillId="0" borderId="0" xfId="0" applyNumberFormat="1" applyFont="1"/>
    <xf numFmtId="166" fontId="6" fillId="0" borderId="0" xfId="0" applyNumberFormat="1" applyFont="1"/>
    <xf numFmtId="4" fontId="6" fillId="0" borderId="0" xfId="0" applyNumberFormat="1" applyFont="1"/>
    <xf numFmtId="165" fontId="4" fillId="0" borderId="0" xfId="0" applyNumberFormat="1" applyFont="1"/>
    <xf numFmtId="10" fontId="7" fillId="0" borderId="0" xfId="0" applyNumberFormat="1" applyFont="1"/>
    <xf numFmtId="3" fontId="4" fillId="0" borderId="0" xfId="0" applyNumberFormat="1" applyFont="1"/>
    <xf numFmtId="0" fontId="10" fillId="0" borderId="0" xfId="0" applyFont="1"/>
    <xf numFmtId="0" fontId="0" fillId="2" borderId="0" xfId="0" applyFill="1"/>
    <xf numFmtId="44" fontId="11" fillId="0" borderId="0" xfId="0" applyNumberFormat="1" applyFont="1" applyAlignment="1">
      <alignment horizontal="center" wrapText="1"/>
    </xf>
    <xf numFmtId="0" fontId="10" fillId="0" borderId="1" xfId="0" applyFont="1" applyBorder="1"/>
    <xf numFmtId="3" fontId="4" fillId="0" borderId="1" xfId="0" applyNumberFormat="1" applyFont="1" applyBorder="1"/>
    <xf numFmtId="0" fontId="3" fillId="0" borderId="2" xfId="0" applyFont="1" applyBorder="1"/>
    <xf numFmtId="3" fontId="4" fillId="0" borderId="2" xfId="0" applyNumberFormat="1" applyFont="1" applyBorder="1"/>
    <xf numFmtId="0" fontId="5" fillId="3" borderId="0" xfId="0" applyFont="1" applyFill="1" applyAlignment="1">
      <alignment horizontal="left"/>
    </xf>
    <xf numFmtId="3" fontId="7" fillId="0" borderId="1" xfId="0" applyNumberFormat="1" applyFont="1" applyBorder="1"/>
    <xf numFmtId="165" fontId="7" fillId="0" borderId="1" xfId="0" applyNumberFormat="1" applyFont="1" applyBorder="1"/>
    <xf numFmtId="164" fontId="7" fillId="0" borderId="1" xfId="0" applyNumberFormat="1" applyFont="1" applyBorder="1"/>
    <xf numFmtId="0" fontId="5" fillId="0" borderId="0" xfId="0" applyFont="1" applyAlignment="1">
      <alignment horizontal="left"/>
    </xf>
    <xf numFmtId="3" fontId="10" fillId="0" borderId="0" xfId="0" applyNumberFormat="1" applyFont="1"/>
    <xf numFmtId="165" fontId="4" fillId="0" borderId="3" xfId="0" applyNumberFormat="1" applyFont="1" applyBorder="1"/>
    <xf numFmtId="0" fontId="4" fillId="0" borderId="0" xfId="0" applyFont="1" applyAlignment="1">
      <alignment horizontal="left" indent="1"/>
    </xf>
    <xf numFmtId="0" fontId="12" fillId="4" borderId="0" xfId="0" applyFont="1" applyFill="1" applyAlignment="1">
      <alignment horizontal="left" indent="1"/>
    </xf>
    <xf numFmtId="0" fontId="12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13" fillId="0" borderId="0" xfId="0" applyFont="1"/>
    <xf numFmtId="0" fontId="13" fillId="2" borderId="0" xfId="0" applyFont="1" applyFill="1"/>
    <xf numFmtId="165" fontId="4" fillId="0" borderId="2" xfId="0" applyNumberFormat="1" applyFont="1" applyBorder="1"/>
    <xf numFmtId="0" fontId="3" fillId="0" borderId="0" xfId="0" applyFont="1" applyAlignment="1">
      <alignment horizontal="left"/>
    </xf>
    <xf numFmtId="3" fontId="13" fillId="0" borderId="0" xfId="0" applyNumberFormat="1" applyFont="1"/>
    <xf numFmtId="2" fontId="4" fillId="0" borderId="0" xfId="0" applyNumberFormat="1" applyFont="1"/>
    <xf numFmtId="2" fontId="12" fillId="0" borderId="0" xfId="0" applyNumberFormat="1" applyFont="1"/>
    <xf numFmtId="1" fontId="4" fillId="0" borderId="0" xfId="0" applyNumberFormat="1" applyFont="1"/>
    <xf numFmtId="44" fontId="11" fillId="0" borderId="0" xfId="0" applyNumberFormat="1" applyFont="1" applyAlignment="1">
      <alignment horizontal="centerContinuous"/>
    </xf>
    <xf numFmtId="0" fontId="17" fillId="0" borderId="0" xfId="0" applyFont="1"/>
    <xf numFmtId="165" fontId="7" fillId="0" borderId="0" xfId="0" applyNumberFormat="1" applyFo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left" indent="1"/>
    </xf>
    <xf numFmtId="44" fontId="4" fillId="0" borderId="0" xfId="0" applyNumberFormat="1" applyFont="1" applyAlignment="1">
      <alignment horizontal="center"/>
    </xf>
    <xf numFmtId="44" fontId="10" fillId="0" borderId="0" xfId="0" applyNumberFormat="1" applyFont="1" applyAlignment="1">
      <alignment horizontal="center"/>
    </xf>
    <xf numFmtId="44" fontId="11" fillId="0" borderId="0" xfId="0" applyNumberFormat="1" applyFont="1" applyAlignment="1">
      <alignment horizontal="center"/>
    </xf>
    <xf numFmtId="1" fontId="13" fillId="0" borderId="0" xfId="0" applyNumberFormat="1" applyFont="1"/>
    <xf numFmtId="1" fontId="7" fillId="0" borderId="0" xfId="0" applyNumberFormat="1" applyFont="1"/>
    <xf numFmtId="0" fontId="5" fillId="0" borderId="0" xfId="0" applyFont="1" applyAlignment="1">
      <alignment horizontal="left" vertical="center"/>
    </xf>
    <xf numFmtId="10" fontId="10" fillId="0" borderId="0" xfId="0" applyNumberFormat="1" applyFont="1"/>
    <xf numFmtId="10" fontId="16" fillId="0" borderId="0" xfId="0" applyNumberFormat="1" applyFont="1"/>
    <xf numFmtId="44" fontId="18" fillId="0" borderId="0" xfId="0" applyNumberFormat="1" applyFont="1" applyAlignment="1">
      <alignment horizontal="centerContinuous"/>
    </xf>
    <xf numFmtId="0" fontId="5" fillId="0" borderId="0" xfId="0" applyFont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14" fillId="0" borderId="3" xfId="0" applyFont="1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3" fillId="0" borderId="4" xfId="0" applyFont="1" applyBorder="1" applyAlignment="1">
      <alignment horizontal="centerContinuous"/>
    </xf>
    <xf numFmtId="0" fontId="5" fillId="0" borderId="5" xfId="0" applyFont="1" applyBorder="1" applyAlignment="1">
      <alignment horizontal="centerContinuous"/>
    </xf>
    <xf numFmtId="0" fontId="10" fillId="0" borderId="5" xfId="0" applyFont="1" applyBorder="1" applyAlignment="1">
      <alignment horizontal="centerContinuous"/>
    </xf>
    <xf numFmtId="0" fontId="0" fillId="0" borderId="5" xfId="0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3" fontId="10" fillId="0" borderId="11" xfId="0" applyNumberFormat="1" applyFont="1" applyBorder="1"/>
    <xf numFmtId="3" fontId="10" fillId="0" borderId="12" xfId="0" applyNumberFormat="1" applyFont="1" applyBorder="1"/>
    <xf numFmtId="3" fontId="10" fillId="0" borderId="7" xfId="0" applyNumberFormat="1" applyFont="1" applyBorder="1"/>
    <xf numFmtId="3" fontId="10" fillId="0" borderId="10" xfId="0" applyNumberFormat="1" applyFont="1" applyBorder="1"/>
    <xf numFmtId="3" fontId="10" fillId="0" borderId="6" xfId="0" applyNumberFormat="1" applyFont="1" applyBorder="1"/>
    <xf numFmtId="3" fontId="10" fillId="0" borderId="8" xfId="0" applyNumberFormat="1" applyFont="1" applyBorder="1"/>
    <xf numFmtId="9" fontId="13" fillId="0" borderId="0" xfId="1" applyFont="1"/>
    <xf numFmtId="10" fontId="13" fillId="0" borderId="0" xfId="0" applyNumberFormat="1" applyFont="1"/>
    <xf numFmtId="44" fontId="2" fillId="0" borderId="0" xfId="0" applyNumberFormat="1" applyFont="1" applyAlignment="1">
      <alignment horizontal="left"/>
    </xf>
    <xf numFmtId="2" fontId="10" fillId="0" borderId="0" xfId="0" applyNumberFormat="1" applyFont="1"/>
    <xf numFmtId="2" fontId="3" fillId="0" borderId="0" xfId="0" applyNumberFormat="1" applyFont="1"/>
    <xf numFmtId="2" fontId="10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right" wrapText="1"/>
    </xf>
    <xf numFmtId="1" fontId="10" fillId="0" borderId="0" xfId="0" applyNumberFormat="1" applyFont="1" applyAlignment="1">
      <alignment horizontal="right"/>
    </xf>
    <xf numFmtId="167" fontId="10" fillId="0" borderId="0" xfId="0" applyNumberFormat="1" applyFont="1" applyAlignment="1">
      <alignment horizontal="right" wrapText="1"/>
    </xf>
    <xf numFmtId="167" fontId="10" fillId="0" borderId="0" xfId="0" applyNumberFormat="1" applyFont="1" applyAlignment="1">
      <alignment horizontal="right"/>
    </xf>
    <xf numFmtId="164" fontId="13" fillId="0" borderId="0" xfId="0" applyNumberFormat="1" applyFont="1"/>
    <xf numFmtId="0" fontId="13" fillId="0" borderId="0" xfId="0" applyFont="1" applyAlignment="1">
      <alignment horizontal="right"/>
    </xf>
    <xf numFmtId="3" fontId="19" fillId="0" borderId="0" xfId="0" applyNumberFormat="1" applyFont="1"/>
    <xf numFmtId="1" fontId="19" fillId="0" borderId="0" xfId="0" applyNumberFormat="1" applyFont="1"/>
    <xf numFmtId="0" fontId="19" fillId="0" borderId="0" xfId="0" applyFont="1"/>
    <xf numFmtId="167" fontId="13" fillId="0" borderId="0" xfId="1" applyNumberFormat="1" applyFont="1"/>
    <xf numFmtId="0" fontId="20" fillId="0" borderId="0" xfId="0" applyFont="1"/>
    <xf numFmtId="0" fontId="21" fillId="2" borderId="0" xfId="0" applyFont="1" applyFill="1"/>
    <xf numFmtId="0" fontId="8" fillId="0" borderId="0" xfId="0" applyFont="1"/>
    <xf numFmtId="44" fontId="22" fillId="0" borderId="0" xfId="0" applyNumberFormat="1" applyFont="1" applyAlignment="1">
      <alignment horizontal="center"/>
    </xf>
    <xf numFmtId="10" fontId="13" fillId="0" borderId="0" xfId="1" applyNumberFormat="1" applyFont="1"/>
    <xf numFmtId="10" fontId="12" fillId="0" borderId="0" xfId="0" applyNumberFormat="1" applyFont="1" applyAlignment="1">
      <alignment horizontal="right" vertical="top"/>
    </xf>
    <xf numFmtId="164" fontId="10" fillId="0" borderId="0" xfId="0" applyNumberFormat="1" applyFont="1" applyAlignment="1">
      <alignment horizontal="right"/>
    </xf>
    <xf numFmtId="10" fontId="23" fillId="0" borderId="0" xfId="0" applyNumberFormat="1" applyFont="1" applyAlignment="1">
      <alignment horizontal="right" vertical="top"/>
    </xf>
    <xf numFmtId="10" fontId="7" fillId="0" borderId="0" xfId="0" applyNumberFormat="1" applyFont="1" applyAlignment="1">
      <alignment horizontal="right"/>
    </xf>
    <xf numFmtId="0" fontId="13" fillId="0" borderId="0" xfId="0" applyFont="1" applyAlignment="1">
      <alignment horizontal="center"/>
    </xf>
    <xf numFmtId="164" fontId="13" fillId="0" borderId="0" xfId="0" applyNumberFormat="1" applyFont="1" applyAlignment="1">
      <alignment horizontal="center"/>
    </xf>
    <xf numFmtId="164" fontId="2" fillId="0" borderId="0" xfId="1" applyNumberFormat="1" applyFont="1" applyAlignment="1">
      <alignment horizontal="center" vertical="top"/>
    </xf>
    <xf numFmtId="10" fontId="2" fillId="0" borderId="0" xfId="1" applyNumberFormat="1" applyFont="1" applyAlignment="1">
      <alignment horizontal="center" vertical="top"/>
    </xf>
    <xf numFmtId="49" fontId="20" fillId="0" borderId="0" xfId="0" applyNumberFormat="1" applyFont="1" applyAlignment="1">
      <alignment horizontal="center"/>
    </xf>
    <xf numFmtId="44" fontId="22" fillId="0" borderId="0" xfId="0" applyNumberFormat="1" applyFont="1" applyAlignment="1">
      <alignment horizontal="centerContinuous"/>
    </xf>
    <xf numFmtId="10" fontId="13" fillId="0" borderId="0" xfId="0" applyNumberFormat="1" applyFont="1" applyAlignment="1">
      <alignment horizontal="center"/>
    </xf>
    <xf numFmtId="0" fontId="13" fillId="0" borderId="0" xfId="2" applyFont="1"/>
    <xf numFmtId="166" fontId="13" fillId="0" borderId="0" xfId="2" applyNumberFormat="1" applyFont="1"/>
    <xf numFmtId="44" fontId="25" fillId="0" borderId="0" xfId="2" applyNumberFormat="1" applyFont="1" applyAlignment="1">
      <alignment horizontal="center" wrapText="1"/>
    </xf>
    <xf numFmtId="0" fontId="27" fillId="0" borderId="0" xfId="2" applyFont="1"/>
    <xf numFmtId="0" fontId="20" fillId="0" borderId="0" xfId="2" applyFont="1"/>
    <xf numFmtId="0" fontId="20" fillId="0" borderId="14" xfId="2" applyFont="1" applyBorder="1"/>
    <xf numFmtId="3" fontId="13" fillId="0" borderId="0" xfId="2" applyNumberFormat="1" applyFont="1"/>
    <xf numFmtId="166" fontId="20" fillId="0" borderId="0" xfId="2" applyNumberFormat="1" applyFont="1"/>
    <xf numFmtId="3" fontId="20" fillId="0" borderId="0" xfId="2" applyNumberFormat="1" applyFont="1"/>
    <xf numFmtId="4" fontId="13" fillId="0" borderId="0" xfId="2" applyNumberFormat="1" applyFont="1"/>
    <xf numFmtId="4" fontId="20" fillId="0" borderId="0" xfId="2" applyNumberFormat="1" applyFont="1"/>
    <xf numFmtId="0" fontId="29" fillId="0" borderId="0" xfId="2" applyFont="1"/>
    <xf numFmtId="166" fontId="29" fillId="0" borderId="0" xfId="2" applyNumberFormat="1" applyFont="1"/>
    <xf numFmtId="3" fontId="29" fillId="0" borderId="0" xfId="2" applyNumberFormat="1" applyFont="1"/>
    <xf numFmtId="167" fontId="13" fillId="0" borderId="0" xfId="2" applyNumberFormat="1" applyFont="1"/>
    <xf numFmtId="0" fontId="20" fillId="0" borderId="1" xfId="2" applyFont="1" applyBorder="1"/>
    <xf numFmtId="0" fontId="13" fillId="0" borderId="1" xfId="2" applyFont="1" applyBorder="1"/>
    <xf numFmtId="166" fontId="20" fillId="0" borderId="1" xfId="2" applyNumberFormat="1" applyFont="1" applyBorder="1"/>
    <xf numFmtId="3" fontId="20" fillId="0" borderId="1" xfId="2" applyNumberFormat="1" applyFont="1" applyBorder="1"/>
    <xf numFmtId="3" fontId="12" fillId="0" borderId="0" xfId="2" applyNumberFormat="1" applyFont="1"/>
    <xf numFmtId="0" fontId="5" fillId="5" borderId="0" xfId="2" applyFont="1" applyFill="1"/>
    <xf numFmtId="0" fontId="13" fillId="5" borderId="0" xfId="2" applyFont="1" applyFill="1"/>
    <xf numFmtId="0" fontId="13" fillId="7" borderId="0" xfId="2" applyFont="1" applyFill="1"/>
    <xf numFmtId="44" fontId="20" fillId="0" borderId="0" xfId="0" applyNumberFormat="1" applyFont="1"/>
    <xf numFmtId="0" fontId="20" fillId="0" borderId="0" xfId="0" applyFont="1" applyAlignment="1">
      <alignment horizontal="left" indent="1"/>
    </xf>
    <xf numFmtId="0" fontId="33" fillId="0" borderId="0" xfId="0" applyFont="1" applyAlignment="1">
      <alignment horizontal="left" indent="2"/>
    </xf>
    <xf numFmtId="0" fontId="13" fillId="0" borderId="0" xfId="0" applyFont="1" applyAlignment="1">
      <alignment horizontal="left" indent="1"/>
    </xf>
    <xf numFmtId="0" fontId="13" fillId="0" borderId="0" xfId="0" applyFont="1" applyAlignment="1">
      <alignment horizontal="left" indent="2"/>
    </xf>
    <xf numFmtId="0" fontId="4" fillId="0" borderId="0" xfId="0" applyFont="1" applyAlignment="1">
      <alignment horizontal="left" indent="2"/>
    </xf>
    <xf numFmtId="166" fontId="12" fillId="0" borderId="0" xfId="2" applyNumberFormat="1" applyFont="1"/>
    <xf numFmtId="0" fontId="12" fillId="0" borderId="0" xfId="2" applyFont="1"/>
    <xf numFmtId="4" fontId="12" fillId="0" borderId="0" xfId="2" applyNumberFormat="1" applyFont="1"/>
    <xf numFmtId="10" fontId="34" fillId="7" borderId="0" xfId="1" applyNumberFormat="1" applyFont="1" applyFill="1"/>
    <xf numFmtId="167" fontId="13" fillId="0" borderId="0" xfId="1" applyNumberFormat="1" applyFont="1" applyFill="1" applyBorder="1"/>
    <xf numFmtId="10" fontId="34" fillId="0" borderId="0" xfId="1" applyNumberFormat="1" applyFont="1" applyFill="1" applyBorder="1"/>
    <xf numFmtId="10" fontId="13" fillId="0" borderId="0" xfId="1" applyNumberFormat="1" applyFont="1" applyFill="1" applyBorder="1"/>
    <xf numFmtId="0" fontId="20" fillId="0" borderId="0" xfId="0" applyFont="1" applyAlignment="1">
      <alignment horizontal="left"/>
    </xf>
    <xf numFmtId="1" fontId="20" fillId="0" borderId="0" xfId="0" applyNumberFormat="1" applyFont="1" applyAlignment="1">
      <alignment horizontal="left"/>
    </xf>
    <xf numFmtId="3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2" fontId="20" fillId="0" borderId="0" xfId="0" applyNumberFormat="1" applyFont="1" applyAlignment="1">
      <alignment horizontal="left"/>
    </xf>
    <xf numFmtId="1" fontId="4" fillId="10" borderId="2" xfId="0" applyNumberFormat="1" applyFont="1" applyFill="1" applyBorder="1"/>
    <xf numFmtId="1" fontId="13" fillId="10" borderId="2" xfId="0" applyNumberFormat="1" applyFont="1" applyFill="1" applyBorder="1"/>
    <xf numFmtId="2" fontId="6" fillId="8" borderId="0" xfId="0" applyNumberFormat="1" applyFont="1" applyFill="1" applyProtection="1">
      <protection locked="0"/>
    </xf>
    <xf numFmtId="10" fontId="6" fillId="8" borderId="0" xfId="0" applyNumberFormat="1" applyFont="1" applyFill="1" applyProtection="1">
      <protection locked="0"/>
    </xf>
    <xf numFmtId="3" fontId="6" fillId="8" borderId="0" xfId="0" applyNumberFormat="1" applyFont="1" applyFill="1" applyProtection="1">
      <protection locked="0"/>
    </xf>
    <xf numFmtId="164" fontId="6" fillId="8" borderId="0" xfId="0" applyNumberFormat="1" applyFont="1" applyFill="1" applyProtection="1">
      <protection locked="0"/>
    </xf>
    <xf numFmtId="0" fontId="12" fillId="9" borderId="2" xfId="2" applyFont="1" applyFill="1" applyBorder="1" applyAlignment="1" applyProtection="1">
      <alignment horizontal="center"/>
      <protection locked="0"/>
    </xf>
    <xf numFmtId="0" fontId="12" fillId="6" borderId="2" xfId="2" applyFont="1" applyFill="1" applyBorder="1" applyAlignment="1" applyProtection="1">
      <alignment horizontal="center"/>
      <protection locked="0"/>
    </xf>
    <xf numFmtId="9" fontId="12" fillId="6" borderId="2" xfId="2" applyNumberFormat="1" applyFont="1" applyFill="1" applyBorder="1" applyAlignment="1" applyProtection="1">
      <alignment horizontal="center"/>
      <protection locked="0"/>
    </xf>
    <xf numFmtId="0" fontId="12" fillId="9" borderId="2" xfId="0" applyFont="1" applyFill="1" applyBorder="1" applyAlignment="1" applyProtection="1">
      <alignment horizontal="center"/>
      <protection locked="0"/>
    </xf>
    <xf numFmtId="0" fontId="12" fillId="9" borderId="2" xfId="0" applyFont="1" applyFill="1" applyBorder="1" applyAlignment="1" applyProtection="1">
      <alignment horizontal="center" vertical="top"/>
      <protection locked="0"/>
    </xf>
    <xf numFmtId="10" fontId="13" fillId="0" borderId="0" xfId="1" applyNumberFormat="1" applyFont="1" applyAlignment="1">
      <alignment horizontal="center"/>
    </xf>
    <xf numFmtId="0" fontId="5" fillId="3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7" fillId="0" borderId="0" xfId="2" applyFont="1"/>
    <xf numFmtId="0" fontId="13" fillId="0" borderId="0" xfId="2" applyFont="1"/>
    <xf numFmtId="0" fontId="32" fillId="0" borderId="0" xfId="2" applyFont="1"/>
    <xf numFmtId="0" fontId="20" fillId="0" borderId="0" xfId="2" applyFont="1"/>
    <xf numFmtId="0" fontId="28" fillId="0" borderId="0" xfId="2" applyFont="1"/>
    <xf numFmtId="0" fontId="30" fillId="0" borderId="0" xfId="2" applyFont="1"/>
    <xf numFmtId="0" fontId="31" fillId="0" borderId="0" xfId="2" applyFont="1"/>
  </cellXfs>
  <cellStyles count="3">
    <cellStyle name="Normal" xfId="0" builtinId="0"/>
    <cellStyle name="Normal 2" xfId="2" xr:uid="{379C80D9-A0DA-1347-8626-9F6D9260304E}"/>
    <cellStyle name="Percent" xfId="1" builtinId="5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4F81BD"/>
      <rgbColor rgb="FFC0C0C0"/>
      <rgbColor rgb="FF878787"/>
      <rgbColor rgb="FF8064A2"/>
      <rgbColor rgb="FFBE4B48"/>
      <rgbColor rgb="FFFFFACD"/>
      <rgbColor rgb="FFCCE5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A7EBB"/>
      <rgbColor rgb="FF4BACC6"/>
      <rgbColor rgb="FF98B855"/>
      <rgbColor rgb="FFFFCC00"/>
      <rgbColor rgb="FFF79646"/>
      <rgbColor rgb="FFFF6600"/>
      <rgbColor rgb="FF7D5FA0"/>
      <rgbColor rgb="FF9BBB59"/>
      <rgbColor rgb="FF003366"/>
      <rgbColor rgb="FF46AAC4"/>
      <rgbColor rgb="FF003300"/>
      <rgbColor rgb="FF333300"/>
      <rgbColor rgb="FF993300"/>
      <rgbColor rgb="FFC0504D"/>
      <rgbColor rgb="FF333399"/>
      <rgbColor rgb="FF595959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000FFF"/>
      <color rgb="FF008000"/>
      <color rgb="FF011F5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 No frction / Moderate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'Model 1 - Inv &amp; GDP Paths'!$D$35</c:f>
              <c:strCache>
                <c:ptCount val="1"/>
                <c:pt idx="0">
                  <c:v> No friction / Moderate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BFB-4A73-92AE-7131855A3E20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BFB-4A73-92AE-7131855A3E20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BFB-4A73-92AE-7131855A3E20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BFB-4A73-92AE-7131855A3E20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BFB-4A73-92AE-7131855A3E20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BFB-4A73-92AE-7131855A3E20}"/>
              </c:ext>
            </c:extLst>
          </c:dPt>
          <c:dPt>
            <c:idx val="6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BFB-4A73-92AE-7131855A3E20}"/>
              </c:ext>
            </c:extLst>
          </c:dPt>
          <c:dPt>
            <c:idx val="7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BFB-4A73-92AE-7131855A3E20}"/>
              </c:ext>
            </c:extLst>
          </c:dPt>
          <c:dPt>
            <c:idx val="8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BFB-4A73-92AE-7131855A3E20}"/>
              </c:ext>
            </c:extLst>
          </c:dPt>
          <c:dPt>
            <c:idx val="9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BFB-4A73-92AE-7131855A3E20}"/>
              </c:ext>
            </c:extLst>
          </c:dPt>
          <c:dPt>
            <c:idx val="1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BFB-4A73-92AE-7131855A3E20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Paths'!$D$36:$D$46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1710.7740214727385</c:v>
                </c:pt>
                <c:pt idx="7">
                  <c:v>740.22921965389924</c:v>
                </c:pt>
                <c:pt idx="8">
                  <c:v>-461.21010315164585</c:v>
                </c:pt>
                <c:pt idx="9">
                  <c:v>439.86938895251274</c:v>
                </c:pt>
                <c:pt idx="10">
                  <c:v>439.86938895251274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FB-4A73-92AE-7131855A3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-1239.9537980583882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7-EBFB-4A73-92AE-7131855A3E20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2509.6312629718686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BFB-4A73-92AE-7131855A3E20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6747.0916074552442</c:v>
                      </c:pt>
                      <c:pt idx="9">
                        <c:v>3179.3410818617995</c:v>
                      </c:pt>
                      <c:pt idx="10">
                        <c:v>3179.3410818617995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BFB-4A73-92AE-7131855A3E20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387.67758374680818</c:v>
                      </c:pt>
                      <c:pt idx="9">
                        <c:v>405.07485214870968</c:v>
                      </c:pt>
                      <c:pt idx="10">
                        <c:v>416.67303108331066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BFB-4A73-92AE-7131855A3E20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1239.0845183424146</c:v>
                      </c:pt>
                      <c:pt idx="9">
                        <c:v>1220.2495890560735</c:v>
                      </c:pt>
                      <c:pt idx="10">
                        <c:v>1207.6929695318461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BFB-4A73-92AE-7131855A3E20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1377.958039121313</c:v>
                      </c:pt>
                      <c:pt idx="9">
                        <c:v>1312.8319362420057</c:v>
                      </c:pt>
                      <c:pt idx="10">
                        <c:v>1269.4145343224677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BFB-4A73-92AE-7131855A3E2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3901.4329868469586</c:v>
                      </c:pt>
                      <c:pt idx="9">
                        <c:v>3660.7356851852392</c:v>
                      </c:pt>
                      <c:pt idx="10">
                        <c:v>3500.2708174107593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BFB-4A73-92AE-7131855A3E20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8000"/>
          <c:min val="-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 No friction / Trans-a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'Model 1 - Inv &amp; GDP Paths'!$E$35</c:f>
              <c:strCache>
                <c:ptCount val="1"/>
                <c:pt idx="0">
                  <c:v> No friction / Trans-a 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79-4135-8413-CD31C9D7E48A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79-4135-8413-CD31C9D7E48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79-4135-8413-CD31C9D7E48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79-4135-8413-CD31C9D7E48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79-4135-8413-CD31C9D7E48A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79-4135-8413-CD31C9D7E48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79-4135-8413-CD31C9D7E48A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79-4135-8413-CD31C9D7E48A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379-4135-8413-CD31C9D7E48A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379-4135-8413-CD31C9D7E48A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379-4135-8413-CD31C9D7E48A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Paths'!$E$36:$E$46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1710.7740214727385</c:v>
                </c:pt>
                <c:pt idx="7">
                  <c:v>5739.6759676942411</c:v>
                </c:pt>
                <c:pt idx="8">
                  <c:v>-1239.9537980583882</c:v>
                </c:pt>
                <c:pt idx="9">
                  <c:v>1182.5797304833914</c:v>
                </c:pt>
                <c:pt idx="10">
                  <c:v>1182.5797304833914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16-E379-4135-8413-CD31C9D7E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E379-4135-8413-CD31C9D7E48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E379-4135-8413-CD31C9D7E48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E379-4135-8413-CD31C9D7E48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E379-4135-8413-CD31C9D7E48A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E379-4135-8413-CD31C9D7E48A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E379-4135-8413-CD31C9D7E48A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-461.21010315164585</c:v>
                      </c:pt>
                      <c:pt idx="9">
                        <c:v>439.86938895251274</c:v>
                      </c:pt>
                      <c:pt idx="10">
                        <c:v>439.86938895251274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E379-4135-8413-CD31C9D7E48A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2509.6312629718686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379-4135-8413-CD31C9D7E48A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6747.0916074552442</c:v>
                      </c:pt>
                      <c:pt idx="9">
                        <c:v>3179.3410818617995</c:v>
                      </c:pt>
                      <c:pt idx="10">
                        <c:v>3179.3410818617995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379-4135-8413-CD31C9D7E48A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387.67758374680818</c:v>
                      </c:pt>
                      <c:pt idx="9">
                        <c:v>405.07485214870968</c:v>
                      </c:pt>
                      <c:pt idx="10">
                        <c:v>416.67303108331066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379-4135-8413-CD31C9D7E48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1239.0845183424146</c:v>
                      </c:pt>
                      <c:pt idx="9">
                        <c:v>1220.2495890560735</c:v>
                      </c:pt>
                      <c:pt idx="10">
                        <c:v>1207.6929695318461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379-4135-8413-CD31C9D7E48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1377.958039121313</c:v>
                      </c:pt>
                      <c:pt idx="9">
                        <c:v>1312.8319362420057</c:v>
                      </c:pt>
                      <c:pt idx="10">
                        <c:v>1269.4145343224677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379-4135-8413-CD31C9D7E48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3901.4329868469586</c:v>
                      </c:pt>
                      <c:pt idx="9">
                        <c:v>3660.7356851852392</c:v>
                      </c:pt>
                      <c:pt idx="10">
                        <c:v>3500.2708174107593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379-4135-8413-CD31C9D7E48A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'Model 1 - Inv &amp; GDP Paths'!$F$35</c:f>
              <c:strCache>
                <c:ptCount val="1"/>
                <c:pt idx="0">
                  <c:v> No friction / Trans-b 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6A4-4187-9255-0454AFFADDE8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6A4-4187-9255-0454AFFADDE8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6A4-4187-9255-0454AFFADDE8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6A4-4187-9255-0454AFFADDE8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6A4-4187-9255-0454AFFADDE8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6A4-4187-9255-0454AFFADD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6A4-4187-9255-0454AFFADD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6A4-4187-9255-0454AFFADD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F6A4-4187-9255-0454AFFADD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F6A4-4187-9255-0454AFFADD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F6A4-4187-9255-0454AFFADDE8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Paths'!$F$36:$F$46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1710.7740214727385</c:v>
                </c:pt>
                <c:pt idx="7">
                  <c:v>740.22921965389924</c:v>
                </c:pt>
                <c:pt idx="8">
                  <c:v>2509.6312629718686</c:v>
                </c:pt>
                <c:pt idx="9">
                  <c:v>1182.5797304833914</c:v>
                </c:pt>
                <c:pt idx="10">
                  <c:v>1182.5797304833914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16-F6A4-4187-9255-0454AFFAD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F6A4-4187-9255-0454AFFADDE8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F6A4-4187-9255-0454AFFADDE8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F6A4-4187-9255-0454AFFADDE8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F6A4-4187-9255-0454AFFADDE8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F6A4-4187-9255-0454AFFADDE8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F6A4-4187-9255-0454AFFADDE8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-461.21010315164585</c:v>
                      </c:pt>
                      <c:pt idx="9">
                        <c:v>439.86938895251274</c:v>
                      </c:pt>
                      <c:pt idx="10">
                        <c:v>439.86938895251274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F6A4-4187-9255-0454AFFADDE8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-1239.9537980583882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6A4-4187-9255-0454AFFADDE8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6747.0916074552442</c:v>
                      </c:pt>
                      <c:pt idx="9">
                        <c:v>3179.3410818617995</c:v>
                      </c:pt>
                      <c:pt idx="10">
                        <c:v>3179.3410818617995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6A4-4187-9255-0454AFFADDE8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387.67758374680818</c:v>
                      </c:pt>
                      <c:pt idx="9">
                        <c:v>405.07485214870968</c:v>
                      </c:pt>
                      <c:pt idx="10">
                        <c:v>416.67303108331066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6A4-4187-9255-0454AFFADDE8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1239.0845183424146</c:v>
                      </c:pt>
                      <c:pt idx="9">
                        <c:v>1220.2495890560735</c:v>
                      </c:pt>
                      <c:pt idx="10">
                        <c:v>1207.6929695318461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6A4-4187-9255-0454AFFADDE8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1377.958039121313</c:v>
                      </c:pt>
                      <c:pt idx="9">
                        <c:v>1312.8319362420057</c:v>
                      </c:pt>
                      <c:pt idx="10">
                        <c:v>1269.4145343224677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6A4-4187-9255-0454AFFADDE8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3901.4329868469586</c:v>
                      </c:pt>
                      <c:pt idx="9">
                        <c:v>3660.7356851852392</c:v>
                      </c:pt>
                      <c:pt idx="10">
                        <c:v>3500.2708174107593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6A4-4187-9255-0454AFFADDE8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8000"/>
          <c:min val="-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'Model 1 - Inv &amp; GDP Paths'!$G$35</c:f>
              <c:strCache>
                <c:ptCount val="1"/>
                <c:pt idx="0">
                  <c:v> No friction / Singularity </c:v>
                </c:pt>
              </c:strCache>
              <c:extLst xmlns:c15="http://schemas.microsoft.com/office/drawing/2012/chart"/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5CF-4EF1-9B37-894F05D252A8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5CF-4EF1-9B37-894F05D252A8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5CF-4EF1-9B37-894F05D252A8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5CF-4EF1-9B37-894F05D252A8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5CF-4EF1-9B37-894F05D252A8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5CF-4EF1-9B37-894F05D252A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5CF-4EF1-9B37-894F05D252A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5CF-4EF1-9B37-894F05D252A8}"/>
              </c:ext>
            </c:extLst>
          </c:dPt>
          <c:dPt>
            <c:idx val="8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85CF-4EF1-9B37-894F05D252A8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85CF-4EF1-9B37-894F05D252A8}"/>
              </c:ext>
            </c:extLst>
          </c:dPt>
          <c:dPt>
            <c:idx val="1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85CF-4EF1-9B37-894F05D252A8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Paths'!$G$36:$G$46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1710.7740214727385</c:v>
                </c:pt>
                <c:pt idx="7">
                  <c:v>5739.6759676942411</c:v>
                </c:pt>
                <c:pt idx="8">
                  <c:v>6747.0916074552442</c:v>
                </c:pt>
                <c:pt idx="9">
                  <c:v>3179.3410818617995</c:v>
                </c:pt>
                <c:pt idx="10">
                  <c:v>3179.3410818617995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16-85CF-4EF1-9B37-894F05D25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85CF-4EF1-9B37-894F05D252A8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85CF-4EF1-9B37-894F05D252A8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85CF-4EF1-9B37-894F05D252A8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85CF-4EF1-9B37-894F05D252A8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85CF-4EF1-9B37-894F05D252A8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85CF-4EF1-9B37-894F05D252A8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-461.21010315164585</c:v>
                      </c:pt>
                      <c:pt idx="9">
                        <c:v>439.86938895251274</c:v>
                      </c:pt>
                      <c:pt idx="10">
                        <c:v>439.86938895251274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85CF-4EF1-9B37-894F05D252A8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85CF-4EF1-9B37-894F05D252A8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85CF-4EF1-9B37-894F05D252A8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85CF-4EF1-9B37-894F05D252A8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85CF-4EF1-9B37-894F05D252A8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85CF-4EF1-9B37-894F05D252A8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85CF-4EF1-9B37-894F05D252A8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-1239.9537980583882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5CF-4EF1-9B37-894F05D252A8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2509.6312629718686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5CF-4EF1-9B37-894F05D252A8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387.67758374680818</c:v>
                      </c:pt>
                      <c:pt idx="9">
                        <c:v>405.07485214870968</c:v>
                      </c:pt>
                      <c:pt idx="10">
                        <c:v>416.67303108331066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5CF-4EF1-9B37-894F05D252A8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1239.0845183424146</c:v>
                      </c:pt>
                      <c:pt idx="9">
                        <c:v>1220.2495890560735</c:v>
                      </c:pt>
                      <c:pt idx="10">
                        <c:v>1207.6929695318461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5CF-4EF1-9B37-894F05D252A8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1377.958039121313</c:v>
                      </c:pt>
                      <c:pt idx="9">
                        <c:v>1312.8319362420057</c:v>
                      </c:pt>
                      <c:pt idx="10">
                        <c:v>1269.4145343224677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5CF-4EF1-9B37-894F05D252A8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3901.4329868469586</c:v>
                      </c:pt>
                      <c:pt idx="9">
                        <c:v>3660.7356851852392</c:v>
                      </c:pt>
                      <c:pt idx="10">
                        <c:v>3500.2708174107593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5CF-4EF1-9B37-894F05D252A8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in val="-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'Model 1 - Inv &amp; GDP Paths'!$H$35</c:f>
              <c:strCache>
                <c:ptCount val="1"/>
                <c:pt idx="0">
                  <c:v> Friction / Moderate 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906-40C3-A1D1-674D2B8903EA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906-40C3-A1D1-674D2B8903E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906-40C3-A1D1-674D2B8903E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906-40C3-A1D1-674D2B8903E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906-40C3-A1D1-674D2B8903EA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906-40C3-A1D1-674D2B8903EA}"/>
              </c:ext>
            </c:extLst>
          </c:dPt>
          <c:dPt>
            <c:idx val="6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906-40C3-A1D1-674D2B8903EA}"/>
              </c:ext>
            </c:extLst>
          </c:dPt>
          <c:dPt>
            <c:idx val="7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906-40C3-A1D1-674D2B8903EA}"/>
              </c:ext>
            </c:extLst>
          </c:dPt>
          <c:dPt>
            <c:idx val="8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906-40C3-A1D1-674D2B8903EA}"/>
              </c:ext>
            </c:extLst>
          </c:dPt>
          <c:dPt>
            <c:idx val="9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6906-40C3-A1D1-674D2B8903EA}"/>
              </c:ext>
            </c:extLst>
          </c:dPt>
          <c:dPt>
            <c:idx val="1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6906-40C3-A1D1-674D2B8903EA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Paths'!$H$36:$H$46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848.06753096710338</c:v>
                </c:pt>
                <c:pt idx="7">
                  <c:v>812.12142719603526</c:v>
                </c:pt>
                <c:pt idx="8">
                  <c:v>387.67758374680818</c:v>
                </c:pt>
                <c:pt idx="9">
                  <c:v>405.07485214870968</c:v>
                </c:pt>
                <c:pt idx="10">
                  <c:v>416.67303108331066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6906-40C3-A1D1-674D2B890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6906-40C3-A1D1-674D2B8903E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6906-40C3-A1D1-674D2B8903E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6906-40C3-A1D1-674D2B8903E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6906-40C3-A1D1-674D2B8903EA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6906-40C3-A1D1-674D2B8903EA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6906-40C3-A1D1-674D2B8903EA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-461.21010315164585</c:v>
                      </c:pt>
                      <c:pt idx="9">
                        <c:v>439.86938895251274</c:v>
                      </c:pt>
                      <c:pt idx="10">
                        <c:v>439.86938895251274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6906-40C3-A1D1-674D2B8903EA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-1239.9537980583882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906-40C3-A1D1-674D2B8903EA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2509.6312629718686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6906-40C3-A1D1-674D2B8903EA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6747.0916074552442</c:v>
                      </c:pt>
                      <c:pt idx="9">
                        <c:v>3179.3410818617995</c:v>
                      </c:pt>
                      <c:pt idx="10">
                        <c:v>3179.3410818617995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6906-40C3-A1D1-674D2B8903E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1239.0845183424146</c:v>
                      </c:pt>
                      <c:pt idx="9">
                        <c:v>1220.2495890560735</c:v>
                      </c:pt>
                      <c:pt idx="10">
                        <c:v>1207.6929695318461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6906-40C3-A1D1-674D2B8903E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1377.958039121313</c:v>
                      </c:pt>
                      <c:pt idx="9">
                        <c:v>1312.8319362420057</c:v>
                      </c:pt>
                      <c:pt idx="10">
                        <c:v>1269.4145343224677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6906-40C3-A1D1-674D2B8903E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3901.4329868469586</c:v>
                      </c:pt>
                      <c:pt idx="9">
                        <c:v>3660.7356851852392</c:v>
                      </c:pt>
                      <c:pt idx="10">
                        <c:v>3500.2708174107593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6906-40C3-A1D1-674D2B8903EA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'Model 1 - Inv &amp; GDP Paths'!$I$35</c:f>
              <c:strCache>
                <c:ptCount val="1"/>
                <c:pt idx="0">
                  <c:v> Friction / Trans-a </c:v>
                </c:pt>
              </c:strCache>
              <c:extLst xmlns:c15="http://schemas.microsoft.com/office/drawing/2012/chart"/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908-441A-A3A8-21D8B0303563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908-441A-A3A8-21D8B0303563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908-441A-A3A8-21D8B0303563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908-441A-A3A8-21D8B0303563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908-441A-A3A8-21D8B0303563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908-441A-A3A8-21D8B030356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908-441A-A3A8-21D8B030356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908-441A-A3A8-21D8B030356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1908-441A-A3A8-21D8B030356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1908-441A-A3A8-21D8B0303563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1908-441A-A3A8-21D8B0303563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Paths'!$I$36:$I$46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848.06753096710338</c:v>
                </c:pt>
                <c:pt idx="7">
                  <c:v>2478.6036765428157</c:v>
                </c:pt>
                <c:pt idx="8">
                  <c:v>1239.0845183424146</c:v>
                </c:pt>
                <c:pt idx="9">
                  <c:v>1220.2495890560735</c:v>
                </c:pt>
                <c:pt idx="10">
                  <c:v>1207.6929695318461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1908-441A-A3A8-21D8B0303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1908-441A-A3A8-21D8B0303563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1908-441A-A3A8-21D8B0303563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1908-441A-A3A8-21D8B0303563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1908-441A-A3A8-21D8B0303563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1908-441A-A3A8-21D8B0303563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1908-441A-A3A8-21D8B0303563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-461.21010315164585</c:v>
                      </c:pt>
                      <c:pt idx="9">
                        <c:v>439.86938895251274</c:v>
                      </c:pt>
                      <c:pt idx="10">
                        <c:v>439.86938895251274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1908-441A-A3A8-21D8B0303563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1908-441A-A3A8-21D8B0303563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1908-441A-A3A8-21D8B0303563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1908-441A-A3A8-21D8B0303563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1908-441A-A3A8-21D8B0303563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1908-441A-A3A8-21D8B0303563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1908-441A-A3A8-21D8B0303563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-1239.9537980583882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908-441A-A3A8-21D8B0303563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2509.6312629718686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908-441A-A3A8-21D8B0303563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6747.0916074552442</c:v>
                      </c:pt>
                      <c:pt idx="9">
                        <c:v>3179.3410818617995</c:v>
                      </c:pt>
                      <c:pt idx="10">
                        <c:v>3179.3410818617995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908-441A-A3A8-21D8B0303563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387.67758374680818</c:v>
                      </c:pt>
                      <c:pt idx="9">
                        <c:v>405.07485214870968</c:v>
                      </c:pt>
                      <c:pt idx="10">
                        <c:v>416.67303108331066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908-441A-A3A8-21D8B0303563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1377.958039121313</c:v>
                      </c:pt>
                      <c:pt idx="9">
                        <c:v>1312.8319362420057</c:v>
                      </c:pt>
                      <c:pt idx="10">
                        <c:v>1269.4145343224677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908-441A-A3A8-21D8B030356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3901.4329868469586</c:v>
                      </c:pt>
                      <c:pt idx="9">
                        <c:v>3660.7356851852392</c:v>
                      </c:pt>
                      <c:pt idx="10">
                        <c:v>3500.2708174107593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908-441A-A3A8-21D8B0303563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6"/>
          <c:order val="6"/>
          <c:tx>
            <c:strRef>
              <c:f>'Model 1 - Inv &amp; GDP Paths'!$J$35</c:f>
              <c:strCache>
                <c:ptCount val="1"/>
                <c:pt idx="0">
                  <c:v> Friction / Trans-b 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3B0-4FFD-8C6E-8DB2470BEFD9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B0-4FFD-8C6E-8DB2470BEFD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3B0-4FFD-8C6E-8DB2470BEFD9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3B0-4FFD-8C6E-8DB2470BEFD9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3B0-4FFD-8C6E-8DB2470BEFD9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3B0-4FFD-8C6E-8DB2470BEFD9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3B0-4FFD-8C6E-8DB2470BEFD9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3B0-4FFD-8C6E-8DB2470BEFD9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3B0-4FFD-8C6E-8DB2470BEFD9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63B0-4FFD-8C6E-8DB2470BEFD9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63B0-4FFD-8C6E-8DB2470BEFD9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Paths'!$J$36:$J$46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848.06753096710338</c:v>
                </c:pt>
                <c:pt idx="7">
                  <c:v>812.12142719603526</c:v>
                </c:pt>
                <c:pt idx="8">
                  <c:v>1377.958039121313</c:v>
                </c:pt>
                <c:pt idx="9">
                  <c:v>1312.8319362420057</c:v>
                </c:pt>
                <c:pt idx="10">
                  <c:v>1269.4145343224677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63B0-4FFD-8C6E-8DB2470BE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63B0-4FFD-8C6E-8DB2470BEFD9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63B0-4FFD-8C6E-8DB2470BEFD9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63B0-4FFD-8C6E-8DB2470BEFD9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63B0-4FFD-8C6E-8DB2470BEFD9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63B0-4FFD-8C6E-8DB2470BEFD9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63B0-4FFD-8C6E-8DB2470BEFD9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-461.21010315164585</c:v>
                      </c:pt>
                      <c:pt idx="9">
                        <c:v>439.86938895251274</c:v>
                      </c:pt>
                      <c:pt idx="10">
                        <c:v>439.86938895251274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63B0-4FFD-8C6E-8DB2470BEFD9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-1239.9537980583882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3B0-4FFD-8C6E-8DB2470BEFD9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6-63B0-4FFD-8C6E-8DB2470BEFD9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8-63B0-4FFD-8C6E-8DB2470BEFD9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A-63B0-4FFD-8C6E-8DB2470BEFD9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C-63B0-4FFD-8C6E-8DB2470BEFD9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E-63B0-4FFD-8C6E-8DB2470BEFD9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0-63B0-4FFD-8C6E-8DB2470BEFD9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2509.6312629718686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63B0-4FFD-8C6E-8DB2470BEFD9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6747.0916074552442</c:v>
                      </c:pt>
                      <c:pt idx="9">
                        <c:v>3179.3410818617995</c:v>
                      </c:pt>
                      <c:pt idx="10">
                        <c:v>3179.3410818617995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63B0-4FFD-8C6E-8DB2470BEFD9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387.67758374680818</c:v>
                      </c:pt>
                      <c:pt idx="9">
                        <c:v>405.07485214870968</c:v>
                      </c:pt>
                      <c:pt idx="10">
                        <c:v>416.67303108331066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63B0-4FFD-8C6E-8DB2470BEFD9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1239.0845183424146</c:v>
                      </c:pt>
                      <c:pt idx="9">
                        <c:v>1220.2495890560735</c:v>
                      </c:pt>
                      <c:pt idx="10">
                        <c:v>1207.6929695318461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63B0-4FFD-8C6E-8DB2470BEFD9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3901.4329868469586</c:v>
                      </c:pt>
                      <c:pt idx="9">
                        <c:v>3660.7356851852392</c:v>
                      </c:pt>
                      <c:pt idx="10">
                        <c:v>3500.2708174107593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63B0-4FFD-8C6E-8DB2470BEFD9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7"/>
          <c:order val="7"/>
          <c:tx>
            <c:strRef>
              <c:f>'Model 1 - Inv &amp; GDP Paths'!$K$35</c:f>
              <c:strCache>
                <c:ptCount val="1"/>
                <c:pt idx="0">
                  <c:v> Friction / Singularity 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8F8-4E53-AC98-C997A6ED2A6A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F8-4E53-AC98-C997A6ED2A6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F8-4E53-AC98-C997A6ED2A6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8F8-4E53-AC98-C997A6ED2A6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F8-4E53-AC98-C997A6ED2A6A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F8-4E53-AC98-C997A6ED2A6A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8F8-4E53-AC98-C997A6ED2A6A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A8F8-4E53-AC98-C997A6ED2A6A}"/>
              </c:ext>
            </c:extLst>
          </c:dPt>
          <c:dPt>
            <c:idx val="8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8F8-4E53-AC98-C997A6ED2A6A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8F8-4E53-AC98-C997A6ED2A6A}"/>
              </c:ext>
            </c:extLst>
          </c:dPt>
          <c:dPt>
            <c:idx val="1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8F8-4E53-AC98-C997A6ED2A6A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Paths'!$K$36:$K$46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848.06753096710338</c:v>
                </c:pt>
                <c:pt idx="7">
                  <c:v>2478.6036765428157</c:v>
                </c:pt>
                <c:pt idx="8">
                  <c:v>3901.4329868469586</c:v>
                </c:pt>
                <c:pt idx="9">
                  <c:v>3660.7356851852392</c:v>
                </c:pt>
                <c:pt idx="10">
                  <c:v>3500.2708174107593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A8F8-4E53-AC98-C997A6ED2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A8F8-4E53-AC98-C997A6ED2A6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A8F8-4E53-AC98-C997A6ED2A6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A8F8-4E53-AC98-C997A6ED2A6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A8F8-4E53-AC98-C997A6ED2A6A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A8F8-4E53-AC98-C997A6ED2A6A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A8F8-4E53-AC98-C997A6ED2A6A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-461.21010315164585</c:v>
                      </c:pt>
                      <c:pt idx="9">
                        <c:v>439.86938895251274</c:v>
                      </c:pt>
                      <c:pt idx="10">
                        <c:v>439.86938895251274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A8F8-4E53-AC98-C997A6ED2A6A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A8F8-4E53-AC98-C997A6ED2A6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A8F8-4E53-AC98-C997A6ED2A6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A8F8-4E53-AC98-C997A6ED2A6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A8F8-4E53-AC98-C997A6ED2A6A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A8F8-4E53-AC98-C997A6ED2A6A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A8F8-4E53-AC98-C997A6ED2A6A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-1239.9537980583882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8F8-4E53-AC98-C997A6ED2A6A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2509.6312629718686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8F8-4E53-AC98-C997A6ED2A6A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A8F8-4E53-AC98-C997A6ED2A6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A8F8-4E53-AC98-C997A6ED2A6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7-A8F8-4E53-AC98-C997A6ED2A6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9-A8F8-4E53-AC98-C997A6ED2A6A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B-A8F8-4E53-AC98-C997A6ED2A6A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D-A8F8-4E53-AC98-C997A6ED2A6A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6747.0916074552442</c:v>
                      </c:pt>
                      <c:pt idx="9">
                        <c:v>3179.3410818617995</c:v>
                      </c:pt>
                      <c:pt idx="10">
                        <c:v>3179.3410818617995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8F8-4E53-AC98-C997A6ED2A6A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387.67758374680818</c:v>
                      </c:pt>
                      <c:pt idx="9">
                        <c:v>405.07485214870968</c:v>
                      </c:pt>
                      <c:pt idx="10">
                        <c:v>416.67303108331066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8F8-4E53-AC98-C997A6ED2A6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1239.0845183424146</c:v>
                      </c:pt>
                      <c:pt idx="9">
                        <c:v>1220.2495890560735</c:v>
                      </c:pt>
                      <c:pt idx="10">
                        <c:v>1207.6929695318461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8F8-4E53-AC98-C997A6ED2A6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1377.958039121313</c:v>
                      </c:pt>
                      <c:pt idx="9">
                        <c:v>1312.8319362420057</c:v>
                      </c:pt>
                      <c:pt idx="10">
                        <c:v>1269.4145343224677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8F8-4E53-AC98-C997A6ED2A6A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0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Cumulative GDP Growth Rate - Frictionless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'Model 1 - Inv &amp; GDP Paths'!$D$50</c:f>
              <c:strCache>
                <c:ptCount val="1"/>
                <c:pt idx="0">
                  <c:v> No friction / Moderate 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Paths'!$D$51:$D$61</c:f>
              <c:numCache>
                <c:formatCode>0.0%</c:formatCode>
                <c:ptCount val="11"/>
                <c:pt idx="1">
                  <c:v>0</c:v>
                </c:pt>
                <c:pt idx="2">
                  <c:v>2.8776061433620326E-2</c:v>
                </c:pt>
                <c:pt idx="3">
                  <c:v>3.1030770278702269E-2</c:v>
                </c:pt>
                <c:pt idx="4">
                  <c:v>3.6775947322711167E-2</c:v>
                </c:pt>
                <c:pt idx="5">
                  <c:v>4.8142579130469265E-2</c:v>
                </c:pt>
                <c:pt idx="6">
                  <c:v>5.2342857142857246E-2</c:v>
                </c:pt>
                <c:pt idx="7">
                  <c:v>6.9935590906174294E-2</c:v>
                </c:pt>
                <c:pt idx="8">
                  <c:v>6.9935590906174294E-2</c:v>
                </c:pt>
                <c:pt idx="9">
                  <c:v>5.3858790033896042E-2</c:v>
                </c:pt>
                <c:pt idx="10">
                  <c:v>5.3858790033896042E-2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23-4CCE-AEE7-9F527160253E}"/>
            </c:ext>
          </c:extLst>
        </c:ser>
        <c:ser>
          <c:idx val="2"/>
          <c:order val="2"/>
          <c:tx>
            <c:strRef>
              <c:f>'Model 1 - Inv &amp; GDP Paths'!$E$50</c:f>
              <c:strCache>
                <c:ptCount val="1"/>
                <c:pt idx="0">
                  <c:v> No friction / Trans-a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Paths'!$E$51:$E$61</c:f>
              <c:numCache>
                <c:formatCode>0.0%</c:formatCode>
                <c:ptCount val="11"/>
                <c:pt idx="1">
                  <c:v>0</c:v>
                </c:pt>
                <c:pt idx="2">
                  <c:v>2.8776061433620326E-2</c:v>
                </c:pt>
                <c:pt idx="3">
                  <c:v>3.1030770278702269E-2</c:v>
                </c:pt>
                <c:pt idx="4">
                  <c:v>3.6775947322711167E-2</c:v>
                </c:pt>
                <c:pt idx="5">
                  <c:v>4.8142579130469265E-2</c:v>
                </c:pt>
                <c:pt idx="6">
                  <c:v>5.2342857142857246E-2</c:v>
                </c:pt>
                <c:pt idx="7">
                  <c:v>0.16415609695538524</c:v>
                </c:pt>
                <c:pt idx="8">
                  <c:v>0.24036324301687606</c:v>
                </c:pt>
                <c:pt idx="9">
                  <c:v>0.19714109726163587</c:v>
                </c:pt>
                <c:pt idx="10">
                  <c:v>0.19714109726163587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23-4CCE-AEE7-9F527160253E}"/>
            </c:ext>
          </c:extLst>
        </c:ser>
        <c:ser>
          <c:idx val="3"/>
          <c:order val="3"/>
          <c:tx>
            <c:strRef>
              <c:f>'Model 1 - Inv &amp; GDP Paths'!$F$50</c:f>
              <c:strCache>
                <c:ptCount val="1"/>
                <c:pt idx="0">
                  <c:v> No friction / Trans-b 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Paths'!$F$51:$F$61</c:f>
              <c:numCache>
                <c:formatCode>0.0%</c:formatCode>
                <c:ptCount val="11"/>
                <c:pt idx="1">
                  <c:v>0</c:v>
                </c:pt>
                <c:pt idx="2">
                  <c:v>2.8776061433620326E-2</c:v>
                </c:pt>
                <c:pt idx="3">
                  <c:v>3.1030770278702269E-2</c:v>
                </c:pt>
                <c:pt idx="4">
                  <c:v>3.6775947322711167E-2</c:v>
                </c:pt>
                <c:pt idx="5">
                  <c:v>4.8142579130469265E-2</c:v>
                </c:pt>
                <c:pt idx="6">
                  <c:v>5.2342857142857246E-2</c:v>
                </c:pt>
                <c:pt idx="7">
                  <c:v>6.9935590906174294E-2</c:v>
                </c:pt>
                <c:pt idx="8">
                  <c:v>0.16415609695538524</c:v>
                </c:pt>
                <c:pt idx="9">
                  <c:v>0.19714109726163587</c:v>
                </c:pt>
                <c:pt idx="10">
                  <c:v>0.19714109726163587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23-4CCE-AEE7-9F527160253E}"/>
            </c:ext>
          </c:extLst>
        </c:ser>
        <c:ser>
          <c:idx val="4"/>
          <c:order val="4"/>
          <c:tx>
            <c:strRef>
              <c:f>'Model 1 - Inv &amp; GDP Paths'!$G$50</c:f>
              <c:strCache>
                <c:ptCount val="1"/>
                <c:pt idx="0">
                  <c:v> No friction / Singularity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Paths'!$G$51:$G$61</c:f>
              <c:numCache>
                <c:formatCode>0.0%</c:formatCode>
                <c:ptCount val="11"/>
                <c:pt idx="1">
                  <c:v>0</c:v>
                </c:pt>
                <c:pt idx="2">
                  <c:v>2.8776061433620326E-2</c:v>
                </c:pt>
                <c:pt idx="3">
                  <c:v>3.1030770278702269E-2</c:v>
                </c:pt>
                <c:pt idx="4">
                  <c:v>3.6775947322711167E-2</c:v>
                </c:pt>
                <c:pt idx="5">
                  <c:v>4.8142579130469265E-2</c:v>
                </c:pt>
                <c:pt idx="6">
                  <c:v>5.2342857142857246E-2</c:v>
                </c:pt>
                <c:pt idx="7">
                  <c:v>0.16415609695538524</c:v>
                </c:pt>
                <c:pt idx="8">
                  <c:v>0.49367311964871785</c:v>
                </c:pt>
                <c:pt idx="9">
                  <c:v>0.58235260895132823</c:v>
                </c:pt>
                <c:pt idx="10">
                  <c:v>0.58235260895132823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23-4CCE-AEE7-9F5271602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3920111"/>
        <c:axId val="141581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Paths'!$C$50</c15:sqref>
                        </c15:formulaRef>
                      </c:ext>
                    </c:extLst>
                    <c:strCache>
                      <c:ptCount val="1"/>
                      <c:pt idx="0">
                        <c:v> Year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223-4CCE-AEE7-9F527160253E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Paths'!$H$50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Paths'!$H$51:$H$61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1">
                        <c:v>0</c:v>
                      </c:pt>
                      <c:pt idx="2">
                        <c:v>2.8776061433620326E-2</c:v>
                      </c:pt>
                      <c:pt idx="3">
                        <c:v>3.1030770278702269E-2</c:v>
                      </c:pt>
                      <c:pt idx="4">
                        <c:v>3.6775947322711167E-2</c:v>
                      </c:pt>
                      <c:pt idx="5">
                        <c:v>4.8142579130469265E-2</c:v>
                      </c:pt>
                      <c:pt idx="6">
                        <c:v>5.2342857142857246E-2</c:v>
                      </c:pt>
                      <c:pt idx="7">
                        <c:v>5.8988138675475588E-2</c:v>
                      </c:pt>
                      <c:pt idx="8">
                        <c:v>6.2924525211707882E-2</c:v>
                      </c:pt>
                      <c:pt idx="9">
                        <c:v>6.0100871607313922E-2</c:v>
                      </c:pt>
                      <c:pt idx="10">
                        <c:v>5.8116580805594786E-2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223-4CCE-AEE7-9F527160253E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Paths'!$I$50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Paths'!$I$51:$I$61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1">
                        <c:v>0</c:v>
                      </c:pt>
                      <c:pt idx="2">
                        <c:v>2.8776061433620326E-2</c:v>
                      </c:pt>
                      <c:pt idx="3">
                        <c:v>3.1030770278702269E-2</c:v>
                      </c:pt>
                      <c:pt idx="4">
                        <c:v>3.6775947322711167E-2</c:v>
                      </c:pt>
                      <c:pt idx="5">
                        <c:v>4.8142579130469265E-2</c:v>
                      </c:pt>
                      <c:pt idx="6">
                        <c:v>5.2342857142857246E-2</c:v>
                      </c:pt>
                      <c:pt idx="7">
                        <c:v>0.14298950913667774</c:v>
                      </c:pt>
                      <c:pt idx="8">
                        <c:v>0.18567353652827379</c:v>
                      </c:pt>
                      <c:pt idx="9">
                        <c:v>0.18962927658282358</c:v>
                      </c:pt>
                      <c:pt idx="10">
                        <c:v>0.19218960983633826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223-4CCE-AEE7-9F527160253E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Paths'!$J$50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Paths'!$J$51:$J$61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1">
                        <c:v>0</c:v>
                      </c:pt>
                      <c:pt idx="2">
                        <c:v>2.8776061433620326E-2</c:v>
                      </c:pt>
                      <c:pt idx="3">
                        <c:v>3.1030770278702269E-2</c:v>
                      </c:pt>
                      <c:pt idx="4">
                        <c:v>3.6775947322711167E-2</c:v>
                      </c:pt>
                      <c:pt idx="5">
                        <c:v>4.8142579130469265E-2</c:v>
                      </c:pt>
                      <c:pt idx="6">
                        <c:v>5.2342857142857246E-2</c:v>
                      </c:pt>
                      <c:pt idx="7">
                        <c:v>5.8988138675475588E-2</c:v>
                      </c:pt>
                      <c:pt idx="8">
                        <c:v>0.15060040065296043</c:v>
                      </c:pt>
                      <c:pt idx="9">
                        <c:v>0.16858877251219262</c:v>
                      </c:pt>
                      <c:pt idx="10">
                        <c:v>0.17898205493881303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223-4CCE-AEE7-9F527160253E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Paths'!$K$50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Paths'!$K$51:$K$61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1">
                        <c:v>0</c:v>
                      </c:pt>
                      <c:pt idx="2">
                        <c:v>2.8776061433620326E-2</c:v>
                      </c:pt>
                      <c:pt idx="3">
                        <c:v>3.1030770278702269E-2</c:v>
                      </c:pt>
                      <c:pt idx="4">
                        <c:v>3.6775947322711167E-2</c:v>
                      </c:pt>
                      <c:pt idx="5">
                        <c:v>4.8142579130469265E-2</c:v>
                      </c:pt>
                      <c:pt idx="6">
                        <c:v>5.2342857142857246E-2</c:v>
                      </c:pt>
                      <c:pt idx="7">
                        <c:v>0.14298950913667774</c:v>
                      </c:pt>
                      <c:pt idx="8">
                        <c:v>0.38793212614849182</c:v>
                      </c:pt>
                      <c:pt idx="9">
                        <c:v>0.47023815709428707</c:v>
                      </c:pt>
                      <c:pt idx="10">
                        <c:v>0.51286420505788666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223-4CCE-AEE7-9F527160253E}"/>
                  </c:ext>
                </c:extLst>
              </c15:ser>
            </c15:filteredLineSeries>
          </c:ext>
        </c:extLst>
      </c:lineChart>
      <c:catAx>
        <c:axId val="2103920111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58112"/>
        <c:crosses val="autoZero"/>
        <c:auto val="1"/>
        <c:lblAlgn val="ctr"/>
        <c:lblOffset val="100"/>
        <c:noMultiLvlLbl val="0"/>
      </c:catAx>
      <c:valAx>
        <c:axId val="1415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20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0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Cumulative GDP Growth Rate - With Friction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'Model 1 - Inv &amp; GDP Paths'!$H$50</c:f>
              <c:strCache>
                <c:ptCount val="1"/>
                <c:pt idx="0">
                  <c:v> Friction / Moderate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Paths'!$H$51:$H$61</c:f>
              <c:numCache>
                <c:formatCode>0.0%</c:formatCode>
                <c:ptCount val="11"/>
                <c:pt idx="1">
                  <c:v>0</c:v>
                </c:pt>
                <c:pt idx="2">
                  <c:v>2.8776061433620326E-2</c:v>
                </c:pt>
                <c:pt idx="3">
                  <c:v>3.1030770278702269E-2</c:v>
                </c:pt>
                <c:pt idx="4">
                  <c:v>3.6775947322711167E-2</c:v>
                </c:pt>
                <c:pt idx="5">
                  <c:v>4.8142579130469265E-2</c:v>
                </c:pt>
                <c:pt idx="6">
                  <c:v>5.2342857142857246E-2</c:v>
                </c:pt>
                <c:pt idx="7">
                  <c:v>5.8988138675475588E-2</c:v>
                </c:pt>
                <c:pt idx="8">
                  <c:v>6.2924525211707882E-2</c:v>
                </c:pt>
                <c:pt idx="9">
                  <c:v>6.0100871607313922E-2</c:v>
                </c:pt>
                <c:pt idx="10">
                  <c:v>5.8116580805594786E-2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39-477E-BEBC-7836A6322999}"/>
            </c:ext>
          </c:extLst>
        </c:ser>
        <c:ser>
          <c:idx val="6"/>
          <c:order val="6"/>
          <c:tx>
            <c:strRef>
              <c:f>'Model 1 - Inv &amp; GDP Paths'!$I$50</c:f>
              <c:strCache>
                <c:ptCount val="1"/>
                <c:pt idx="0">
                  <c:v> Friction / Trans-a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Paths'!$I$51:$I$61</c:f>
              <c:numCache>
                <c:formatCode>0.0%</c:formatCode>
                <c:ptCount val="11"/>
                <c:pt idx="1">
                  <c:v>0</c:v>
                </c:pt>
                <c:pt idx="2">
                  <c:v>2.8776061433620326E-2</c:v>
                </c:pt>
                <c:pt idx="3">
                  <c:v>3.1030770278702269E-2</c:v>
                </c:pt>
                <c:pt idx="4">
                  <c:v>3.6775947322711167E-2</c:v>
                </c:pt>
                <c:pt idx="5">
                  <c:v>4.8142579130469265E-2</c:v>
                </c:pt>
                <c:pt idx="6">
                  <c:v>5.2342857142857246E-2</c:v>
                </c:pt>
                <c:pt idx="7">
                  <c:v>0.14298950913667774</c:v>
                </c:pt>
                <c:pt idx="8">
                  <c:v>0.18567353652827379</c:v>
                </c:pt>
                <c:pt idx="9">
                  <c:v>0.18962927658282358</c:v>
                </c:pt>
                <c:pt idx="10">
                  <c:v>0.19218960983633826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39-477E-BEBC-7836A6322999}"/>
            </c:ext>
          </c:extLst>
        </c:ser>
        <c:ser>
          <c:idx val="7"/>
          <c:order val="7"/>
          <c:tx>
            <c:strRef>
              <c:f>'Model 1 - Inv &amp; GDP Paths'!$J$50</c:f>
              <c:strCache>
                <c:ptCount val="1"/>
                <c:pt idx="0">
                  <c:v> Friction / Trans-b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Paths'!$J$51:$J$61</c:f>
              <c:numCache>
                <c:formatCode>0.0%</c:formatCode>
                <c:ptCount val="11"/>
                <c:pt idx="1">
                  <c:v>0</c:v>
                </c:pt>
                <c:pt idx="2">
                  <c:v>2.8776061433620326E-2</c:v>
                </c:pt>
                <c:pt idx="3">
                  <c:v>3.1030770278702269E-2</c:v>
                </c:pt>
                <c:pt idx="4">
                  <c:v>3.6775947322711167E-2</c:v>
                </c:pt>
                <c:pt idx="5">
                  <c:v>4.8142579130469265E-2</c:v>
                </c:pt>
                <c:pt idx="6">
                  <c:v>5.2342857142857246E-2</c:v>
                </c:pt>
                <c:pt idx="7">
                  <c:v>5.8988138675475588E-2</c:v>
                </c:pt>
                <c:pt idx="8">
                  <c:v>0.15060040065296043</c:v>
                </c:pt>
                <c:pt idx="9">
                  <c:v>0.16858877251219262</c:v>
                </c:pt>
                <c:pt idx="10">
                  <c:v>0.17898205493881303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39-477E-BEBC-7836A6322999}"/>
            </c:ext>
          </c:extLst>
        </c:ser>
        <c:ser>
          <c:idx val="8"/>
          <c:order val="8"/>
          <c:tx>
            <c:strRef>
              <c:f>'Model 1 - Inv &amp; GDP Paths'!$K$50</c:f>
              <c:strCache>
                <c:ptCount val="1"/>
                <c:pt idx="0">
                  <c:v> Friction / Singularity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Paths'!$K$51:$K$61</c:f>
              <c:numCache>
                <c:formatCode>0.0%</c:formatCode>
                <c:ptCount val="11"/>
                <c:pt idx="1">
                  <c:v>0</c:v>
                </c:pt>
                <c:pt idx="2">
                  <c:v>2.8776061433620326E-2</c:v>
                </c:pt>
                <c:pt idx="3">
                  <c:v>3.1030770278702269E-2</c:v>
                </c:pt>
                <c:pt idx="4">
                  <c:v>3.6775947322711167E-2</c:v>
                </c:pt>
                <c:pt idx="5">
                  <c:v>4.8142579130469265E-2</c:v>
                </c:pt>
                <c:pt idx="6">
                  <c:v>5.2342857142857246E-2</c:v>
                </c:pt>
                <c:pt idx="7">
                  <c:v>0.14298950913667774</c:v>
                </c:pt>
                <c:pt idx="8">
                  <c:v>0.38793212614849182</c:v>
                </c:pt>
                <c:pt idx="9">
                  <c:v>0.47023815709428707</c:v>
                </c:pt>
                <c:pt idx="10">
                  <c:v>0.51286420505788666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39-477E-BEBC-7836A6322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3920111"/>
        <c:axId val="141581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Paths'!$C$50</c15:sqref>
                        </c15:formulaRef>
                      </c:ext>
                    </c:extLst>
                    <c:strCache>
                      <c:ptCount val="1"/>
                      <c:pt idx="0">
                        <c:v> Year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5A39-477E-BEBC-7836A6322999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Paths'!$D$50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Paths'!$D$51:$D$61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1">
                        <c:v>0</c:v>
                      </c:pt>
                      <c:pt idx="2">
                        <c:v>2.8776061433620326E-2</c:v>
                      </c:pt>
                      <c:pt idx="3">
                        <c:v>3.1030770278702269E-2</c:v>
                      </c:pt>
                      <c:pt idx="4">
                        <c:v>3.6775947322711167E-2</c:v>
                      </c:pt>
                      <c:pt idx="5">
                        <c:v>4.8142579130469265E-2</c:v>
                      </c:pt>
                      <c:pt idx="6">
                        <c:v>5.2342857142857246E-2</c:v>
                      </c:pt>
                      <c:pt idx="7">
                        <c:v>6.9935590906174294E-2</c:v>
                      </c:pt>
                      <c:pt idx="8">
                        <c:v>6.9935590906174294E-2</c:v>
                      </c:pt>
                      <c:pt idx="9">
                        <c:v>5.3858790033896042E-2</c:v>
                      </c:pt>
                      <c:pt idx="10">
                        <c:v>5.3858790033896042E-2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A39-477E-BEBC-7836A6322999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Paths'!$E$50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Paths'!$E$51:$E$61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1">
                        <c:v>0</c:v>
                      </c:pt>
                      <c:pt idx="2">
                        <c:v>2.8776061433620326E-2</c:v>
                      </c:pt>
                      <c:pt idx="3">
                        <c:v>3.1030770278702269E-2</c:v>
                      </c:pt>
                      <c:pt idx="4">
                        <c:v>3.6775947322711167E-2</c:v>
                      </c:pt>
                      <c:pt idx="5">
                        <c:v>4.8142579130469265E-2</c:v>
                      </c:pt>
                      <c:pt idx="6">
                        <c:v>5.2342857142857246E-2</c:v>
                      </c:pt>
                      <c:pt idx="7">
                        <c:v>0.16415609695538524</c:v>
                      </c:pt>
                      <c:pt idx="8">
                        <c:v>0.24036324301687606</c:v>
                      </c:pt>
                      <c:pt idx="9">
                        <c:v>0.19714109726163587</c:v>
                      </c:pt>
                      <c:pt idx="10">
                        <c:v>0.19714109726163587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A39-477E-BEBC-7836A632299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Paths'!$F$50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Paths'!$F$51:$F$61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1">
                        <c:v>0</c:v>
                      </c:pt>
                      <c:pt idx="2">
                        <c:v>2.8776061433620326E-2</c:v>
                      </c:pt>
                      <c:pt idx="3">
                        <c:v>3.1030770278702269E-2</c:v>
                      </c:pt>
                      <c:pt idx="4">
                        <c:v>3.6775947322711167E-2</c:v>
                      </c:pt>
                      <c:pt idx="5">
                        <c:v>4.8142579130469265E-2</c:v>
                      </c:pt>
                      <c:pt idx="6">
                        <c:v>5.2342857142857246E-2</c:v>
                      </c:pt>
                      <c:pt idx="7">
                        <c:v>6.9935590906174294E-2</c:v>
                      </c:pt>
                      <c:pt idx="8">
                        <c:v>0.16415609695538524</c:v>
                      </c:pt>
                      <c:pt idx="9">
                        <c:v>0.19714109726163587</c:v>
                      </c:pt>
                      <c:pt idx="10">
                        <c:v>0.19714109726163587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A39-477E-BEBC-7836A632299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Paths'!$G$50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Paths'!$G$51:$G$61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1">
                        <c:v>0</c:v>
                      </c:pt>
                      <c:pt idx="2">
                        <c:v>2.8776061433620326E-2</c:v>
                      </c:pt>
                      <c:pt idx="3">
                        <c:v>3.1030770278702269E-2</c:v>
                      </c:pt>
                      <c:pt idx="4">
                        <c:v>3.6775947322711167E-2</c:v>
                      </c:pt>
                      <c:pt idx="5">
                        <c:v>4.8142579130469265E-2</c:v>
                      </c:pt>
                      <c:pt idx="6">
                        <c:v>5.2342857142857246E-2</c:v>
                      </c:pt>
                      <c:pt idx="7">
                        <c:v>0.16415609695538524</c:v>
                      </c:pt>
                      <c:pt idx="8">
                        <c:v>0.49367311964871785</c:v>
                      </c:pt>
                      <c:pt idx="9">
                        <c:v>0.58235260895132823</c:v>
                      </c:pt>
                      <c:pt idx="10">
                        <c:v>0.58235260895132823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A39-477E-BEBC-7836A6322999}"/>
                  </c:ext>
                </c:extLst>
              </c15:ser>
            </c15:filteredLineSeries>
          </c:ext>
        </c:extLst>
      </c:lineChart>
      <c:catAx>
        <c:axId val="2103920111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58112"/>
        <c:crosses val="autoZero"/>
        <c:auto val="1"/>
        <c:lblAlgn val="ctr"/>
        <c:lblOffset val="100"/>
        <c:noMultiLvlLbl val="0"/>
      </c:catAx>
      <c:valAx>
        <c:axId val="14158112"/>
        <c:scaling>
          <c:orientation val="minMax"/>
          <c:max val="0.70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20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0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Post-window AI Share of Output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1"/>
          <c:tx>
            <c:strRef>
              <c:f>'Model 1 - Inv &amp; GDP Paths'!$C$85</c:f>
              <c:strCache>
                <c:ptCount val="1"/>
                <c:pt idx="0">
                  <c:v>Moderate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Paths'!$D$83:$I$83</c15:sqref>
                  </c15:fullRef>
                </c:ext>
              </c:extLst>
              <c:f>'Model 1 - Inv &amp; GDP Paths'!$I$83</c:f>
              <c:strCache>
                <c:ptCount val="1"/>
                <c:pt idx="0">
                  <c:v> Y_a/Y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Paths'!$D$85:$I$85</c15:sqref>
                  </c15:fullRef>
                </c:ext>
              </c:extLst>
              <c:f>'Model 1 - Inv &amp; GDP Paths'!$I$85</c:f>
              <c:numCache>
                <c:formatCode>#,##0</c:formatCode>
                <c:ptCount val="1"/>
                <c:pt idx="0" formatCode="0.0%">
                  <c:v>8.052197394602234E-2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C-4C65-B011-58F2E983EDF1}"/>
            </c:ext>
          </c:extLst>
        </c:ser>
        <c:ser>
          <c:idx val="11"/>
          <c:order val="2"/>
          <c:tx>
            <c:strRef>
              <c:f>'Model 1 - Inv &amp; GDP Paths'!$C$86</c:f>
              <c:strCache>
                <c:ptCount val="1"/>
                <c:pt idx="0">
                  <c:v>Transformative-a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Paths'!$D$83:$I$83</c15:sqref>
                  </c15:fullRef>
                </c:ext>
              </c:extLst>
              <c:f>'Model 1 - Inv &amp; GDP Paths'!$I$83</c:f>
              <c:strCache>
                <c:ptCount val="1"/>
                <c:pt idx="0">
                  <c:v> Y_a/Y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Paths'!$D$86:$I$86</c15:sqref>
                  </c15:fullRef>
                </c:ext>
              </c:extLst>
              <c:f>'Model 1 - Inv &amp; GDP Paths'!$I$86</c:f>
              <c:numCache>
                <c:formatCode>#,##0</c:formatCode>
                <c:ptCount val="1"/>
                <c:pt idx="0" formatCode="0.0%">
                  <c:v>0.19057160244810753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C-4C65-B011-58F2E983EDF1}"/>
            </c:ext>
          </c:extLst>
        </c:ser>
        <c:ser>
          <c:idx val="12"/>
          <c:order val="3"/>
          <c:tx>
            <c:strRef>
              <c:f>'Model 1 - Inv &amp; GDP Paths'!$C$87</c:f>
              <c:strCache>
                <c:ptCount val="1"/>
                <c:pt idx="0">
                  <c:v>Transformative-b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Paths'!$D$83:$I$83</c15:sqref>
                  </c15:fullRef>
                </c:ext>
              </c:extLst>
              <c:f>'Model 1 - Inv &amp; GDP Paths'!$I$83</c:f>
              <c:strCache>
                <c:ptCount val="1"/>
                <c:pt idx="0">
                  <c:v> Y_a/Y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Paths'!$D$87:$I$87</c15:sqref>
                  </c15:fullRef>
                </c:ext>
              </c:extLst>
              <c:f>'Model 1 - Inv &amp; GDP Paths'!$I$87</c:f>
              <c:numCache>
                <c:formatCode>#,##0</c:formatCode>
                <c:ptCount val="1"/>
                <c:pt idx="0" formatCode="0.0%">
                  <c:v>0.19057160244810753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C-4C65-B011-58F2E983EDF1}"/>
            </c:ext>
          </c:extLst>
        </c:ser>
        <c:ser>
          <c:idx val="13"/>
          <c:order val="4"/>
          <c:tx>
            <c:strRef>
              <c:f>'Model 1 - Inv &amp; GDP Paths'!$C$88</c:f>
              <c:strCache>
                <c:ptCount val="1"/>
                <c:pt idx="0">
                  <c:v>Singularity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Paths'!$D$83:$I$83</c15:sqref>
                  </c15:fullRef>
                </c:ext>
              </c:extLst>
              <c:f>'Model 1 - Inv &amp; GDP Paths'!$I$83</c:f>
              <c:strCache>
                <c:ptCount val="1"/>
                <c:pt idx="0">
                  <c:v> Y_a/Y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Paths'!$D$88:$I$88</c15:sqref>
                  </c15:fullRef>
                </c:ext>
              </c:extLst>
              <c:f>'Model 1 - Inv &amp; GDP Paths'!$I$88</c:f>
              <c:numCache>
                <c:formatCode>#,##0</c:formatCode>
                <c:ptCount val="1"/>
                <c:pt idx="0" formatCode="0.0%">
                  <c:v>0.38762068927090471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C-4C65-B011-58F2E983E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3920111"/>
        <c:axId val="14158112"/>
        <c:extLst>
          <c:ext xmlns:c15="http://schemas.microsoft.com/office/drawing/2012/chart" uri="{02D57815-91ED-43cb-92C2-25804820EDAC}">
            <c15:filteredBarSeries>
              <c15:ser>
                <c:idx val="9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'Model 1 - Inv &amp; GDP Paths'!$D$83:$I$83</c15:sqref>
                        </c15:fullRef>
                        <c15:formulaRef>
                          <c15:sqref>'Model 1 - Inv &amp; GDP Paths'!$I$83</c15:sqref>
                        </c15:formulaRef>
                      </c:ext>
                    </c:extLst>
                    <c:strCache>
                      <c:ptCount val="1"/>
                      <c:pt idx="0">
                        <c:v> Y_a/Y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Paths'!$D$84:$I$84</c15:sqref>
                        </c15:fullRef>
                        <c15:formulaRef>
                          <c15:sqref>'Model 1 - Inv &amp; GDP Paths'!$I$84</c15:sqref>
                        </c15:formulaRef>
                      </c:ext>
                    </c:extLst>
                    <c:numCache>
                      <c:formatCode>#,##0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C6FC-4C65-B011-58F2E983EDF1}"/>
                  </c:ext>
                </c:extLst>
              </c15:ser>
            </c15:filteredBarSeries>
          </c:ext>
        </c:extLst>
      </c:barChart>
      <c:catAx>
        <c:axId val="2103920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58112"/>
        <c:crosses val="autoZero"/>
        <c:auto val="1"/>
        <c:lblAlgn val="ctr"/>
        <c:lblOffset val="100"/>
        <c:noMultiLvlLbl val="0"/>
      </c:catAx>
      <c:valAx>
        <c:axId val="1415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20111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rgbClr val="D9D9D9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Run Cumulative GDP Growth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Moderate</c:v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Paths'!$C$51:$C$61,'Model 1 - Inv &amp; GDP Paths'!$C$97:$C$114)</c15:sqref>
                  </c15:fullRef>
                </c:ext>
              </c:extLst>
              <c:f>('Model 1 - Inv &amp; GDP Paths'!$C$52:$C$61,'Model 1 - Inv &amp; GDP Paths'!$C$97:$C$114)</c:f>
              <c:numCache>
                <c:formatCode>0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 formatCode="General">
                  <c:v>2032</c:v>
                </c:pt>
                <c:pt idx="11" formatCode="General">
                  <c:v>2033</c:v>
                </c:pt>
                <c:pt idx="12" formatCode="General">
                  <c:v>2034</c:v>
                </c:pt>
                <c:pt idx="13" formatCode="General">
                  <c:v>2035</c:v>
                </c:pt>
                <c:pt idx="14" formatCode="General">
                  <c:v>2036</c:v>
                </c:pt>
                <c:pt idx="15" formatCode="General">
                  <c:v>2037</c:v>
                </c:pt>
                <c:pt idx="16" formatCode="General">
                  <c:v>2038</c:v>
                </c:pt>
                <c:pt idx="17" formatCode="General">
                  <c:v>2039</c:v>
                </c:pt>
                <c:pt idx="18" formatCode="General">
                  <c:v>2040</c:v>
                </c:pt>
                <c:pt idx="19" formatCode="General">
                  <c:v>2041</c:v>
                </c:pt>
                <c:pt idx="20" formatCode="General">
                  <c:v>2042</c:v>
                </c:pt>
                <c:pt idx="21" formatCode="General">
                  <c:v>2043</c:v>
                </c:pt>
                <c:pt idx="22" formatCode="General">
                  <c:v>2044</c:v>
                </c:pt>
                <c:pt idx="23" formatCode="General">
                  <c:v>2045</c:v>
                </c:pt>
                <c:pt idx="24" formatCode="General">
                  <c:v>2046</c:v>
                </c:pt>
                <c:pt idx="25" formatCode="General">
                  <c:v>2047</c:v>
                </c:pt>
                <c:pt idx="26" formatCode="General">
                  <c:v>2048</c:v>
                </c:pt>
                <c:pt idx="27" formatCode="General">
                  <c:v>2049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Paths'!$D$51:$D$61,'Model 1 - Inv &amp; GDP Paths'!$D$97:$D$114)</c15:sqref>
                  </c15:fullRef>
                </c:ext>
              </c:extLst>
              <c:f>('Model 1 - Inv &amp; GDP Paths'!$D$52:$D$61,'Model 1 - Inv &amp; GDP Paths'!$D$97:$D$114)</c:f>
              <c:numCache>
                <c:formatCode>0.0%</c:formatCode>
                <c:ptCount val="28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6.9935590906174294E-2</c:v>
                </c:pt>
                <c:pt idx="7">
                  <c:v>6.9935590906174294E-2</c:v>
                </c:pt>
                <c:pt idx="8">
                  <c:v>5.3858790033896042E-2</c:v>
                </c:pt>
                <c:pt idx="9">
                  <c:v>5.3858790033896042E-2</c:v>
                </c:pt>
                <c:pt idx="10" formatCode="0.00%">
                  <c:v>7.1998743389561359E-2</c:v>
                </c:pt>
                <c:pt idx="11" formatCode="0.00%">
                  <c:v>7.8774534566617926E-2</c:v>
                </c:pt>
                <c:pt idx="12" formatCode="0.00%">
                  <c:v>8.6930196112816979E-2</c:v>
                </c:pt>
                <c:pt idx="13" formatCode="0.00%">
                  <c:v>9.4611375327338265E-2</c:v>
                </c:pt>
                <c:pt idx="14" formatCode="0.00%">
                  <c:v>0.10351306421659272</c:v>
                </c:pt>
                <c:pt idx="15" formatCode="0.00%">
                  <c:v>0.1120427395715396</c:v>
                </c:pt>
                <c:pt idx="16" formatCode="0.00%">
                  <c:v>0.12108497512997747</c:v>
                </c:pt>
                <c:pt idx="17" formatCode="0.00%">
                  <c:v>0.13055840160571053</c:v>
                </c:pt>
                <c:pt idx="18" formatCode="0.00%">
                  <c:v>0.14252405228460763</c:v>
                </c:pt>
                <c:pt idx="19" formatCode="0.00%">
                  <c:v>0.154695432920475</c:v>
                </c:pt>
                <c:pt idx="20" formatCode="0.00%">
                  <c:v>0.16578175224167085</c:v>
                </c:pt>
                <c:pt idx="21" formatCode="0.00%">
                  <c:v>0.17915364901595343</c:v>
                </c:pt>
                <c:pt idx="22" formatCode="0.00%">
                  <c:v>0.19352503670362006</c:v>
                </c:pt>
                <c:pt idx="23" formatCode="0.00%">
                  <c:v>0.20646375580929743</c:v>
                </c:pt>
                <c:pt idx="24" formatCode="0.00%">
                  <c:v>0.22088786316876227</c:v>
                </c:pt>
                <c:pt idx="25" formatCode="0.00%">
                  <c:v>0.23793472815818972</c:v>
                </c:pt>
                <c:pt idx="26" formatCode="0.00%">
                  <c:v>0.25940773802529482</c:v>
                </c:pt>
                <c:pt idx="27" formatCode="0.00%">
                  <c:v>0.27668737052530495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03-4B39-8AD9-57C109D7A59D}"/>
            </c:ext>
          </c:extLst>
        </c:ser>
        <c:ser>
          <c:idx val="1"/>
          <c:order val="1"/>
          <c:tx>
            <c:v>Transformative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Paths'!$C$51:$C$61,'Model 1 - Inv &amp; GDP Paths'!$C$97:$C$114)</c15:sqref>
                  </c15:fullRef>
                </c:ext>
              </c:extLst>
              <c:f>('Model 1 - Inv &amp; GDP Paths'!$C$52:$C$61,'Model 1 - Inv &amp; GDP Paths'!$C$97:$C$114)</c:f>
              <c:numCache>
                <c:formatCode>0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 formatCode="General">
                  <c:v>2032</c:v>
                </c:pt>
                <c:pt idx="11" formatCode="General">
                  <c:v>2033</c:v>
                </c:pt>
                <c:pt idx="12" formatCode="General">
                  <c:v>2034</c:v>
                </c:pt>
                <c:pt idx="13" formatCode="General">
                  <c:v>2035</c:v>
                </c:pt>
                <c:pt idx="14" formatCode="General">
                  <c:v>2036</c:v>
                </c:pt>
                <c:pt idx="15" formatCode="General">
                  <c:v>2037</c:v>
                </c:pt>
                <c:pt idx="16" formatCode="General">
                  <c:v>2038</c:v>
                </c:pt>
                <c:pt idx="17" formatCode="General">
                  <c:v>2039</c:v>
                </c:pt>
                <c:pt idx="18" formatCode="General">
                  <c:v>2040</c:v>
                </c:pt>
                <c:pt idx="19" formatCode="General">
                  <c:v>2041</c:v>
                </c:pt>
                <c:pt idx="20" formatCode="General">
                  <c:v>2042</c:v>
                </c:pt>
                <c:pt idx="21" formatCode="General">
                  <c:v>2043</c:v>
                </c:pt>
                <c:pt idx="22" formatCode="General">
                  <c:v>2044</c:v>
                </c:pt>
                <c:pt idx="23" formatCode="General">
                  <c:v>2045</c:v>
                </c:pt>
                <c:pt idx="24" formatCode="General">
                  <c:v>2046</c:v>
                </c:pt>
                <c:pt idx="25" formatCode="General">
                  <c:v>2047</c:v>
                </c:pt>
                <c:pt idx="26" formatCode="General">
                  <c:v>2048</c:v>
                </c:pt>
                <c:pt idx="27" formatCode="General">
                  <c:v>2049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Paths'!$E$51:$E$61,'Model 1 - Inv &amp; GDP Paths'!$D$146:$D$163)</c15:sqref>
                  </c15:fullRef>
                </c:ext>
              </c:extLst>
              <c:f>('Model 1 - Inv &amp; GDP Paths'!$E$52:$E$61,'Model 1 - Inv &amp; GDP Paths'!$D$146:$D$163)</c:f>
              <c:numCache>
                <c:formatCode>0.0%</c:formatCode>
                <c:ptCount val="28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0.16415609695538524</c:v>
                </c:pt>
                <c:pt idx="7">
                  <c:v>0.24036324301687606</c:v>
                </c:pt>
                <c:pt idx="8">
                  <c:v>0.19714109726163587</c:v>
                </c:pt>
                <c:pt idx="9">
                  <c:v>0.19714109726163587</c:v>
                </c:pt>
                <c:pt idx="10" formatCode="0.00%">
                  <c:v>0.24568077595889509</c:v>
                </c:pt>
                <c:pt idx="11" formatCode="0.00%">
                  <c:v>0.26084983723538269</c:v>
                </c:pt>
                <c:pt idx="12" formatCode="0.00%">
                  <c:v>0.27865397914865259</c:v>
                </c:pt>
                <c:pt idx="13" formatCode="0.00%">
                  <c:v>0.29749375422284335</c:v>
                </c:pt>
                <c:pt idx="14" formatCode="0.00%">
                  <c:v>0.31989657807650668</c:v>
                </c:pt>
                <c:pt idx="15" formatCode="0.00%">
                  <c:v>0.34243340625691326</c:v>
                </c:pt>
                <c:pt idx="16" formatCode="0.00%">
                  <c:v>0.36696400258215656</c:v>
                </c:pt>
                <c:pt idx="17" formatCode="0.00%">
                  <c:v>0.39352148109407881</c:v>
                </c:pt>
                <c:pt idx="18" formatCode="0.00%">
                  <c:v>0.42219494628152276</c:v>
                </c:pt>
                <c:pt idx="19" formatCode="0.00%">
                  <c:v>0.45071357423796071</c:v>
                </c:pt>
                <c:pt idx="20" formatCode="0.00%">
                  <c:v>0.48708445729558497</c:v>
                </c:pt>
                <c:pt idx="21" formatCode="0.00%">
                  <c:v>0.52508510385239271</c:v>
                </c:pt>
                <c:pt idx="22" formatCode="0.00%">
                  <c:v>0.56124905425791627</c:v>
                </c:pt>
                <c:pt idx="23" formatCode="0.00%">
                  <c:v>0.60025656489282309</c:v>
                </c:pt>
                <c:pt idx="24" formatCode="0.00%">
                  <c:v>0.64901380975047962</c:v>
                </c:pt>
                <c:pt idx="25" formatCode="0.00%">
                  <c:v>0.69416825507390811</c:v>
                </c:pt>
                <c:pt idx="26" formatCode="0.00%">
                  <c:v>0.75285529813368712</c:v>
                </c:pt>
                <c:pt idx="27" formatCode="0.00%">
                  <c:v>0.81056372758329165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03-4B39-8AD9-57C109D7A59D}"/>
            </c:ext>
          </c:extLst>
        </c:ser>
        <c:ser>
          <c:idx val="2"/>
          <c:order val="2"/>
          <c:tx>
            <c:v>Singularity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Paths'!$C$51:$C$61,'Model 1 - Inv &amp; GDP Paths'!$C$97:$C$114)</c15:sqref>
                  </c15:fullRef>
                </c:ext>
              </c:extLst>
              <c:f>('Model 1 - Inv &amp; GDP Paths'!$C$52:$C$61,'Model 1 - Inv &amp; GDP Paths'!$C$97:$C$114)</c:f>
              <c:numCache>
                <c:formatCode>0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 formatCode="General">
                  <c:v>2032</c:v>
                </c:pt>
                <c:pt idx="11" formatCode="General">
                  <c:v>2033</c:v>
                </c:pt>
                <c:pt idx="12" formatCode="General">
                  <c:v>2034</c:v>
                </c:pt>
                <c:pt idx="13" formatCode="General">
                  <c:v>2035</c:v>
                </c:pt>
                <c:pt idx="14" formatCode="General">
                  <c:v>2036</c:v>
                </c:pt>
                <c:pt idx="15" formatCode="General">
                  <c:v>2037</c:v>
                </c:pt>
                <c:pt idx="16" formatCode="General">
                  <c:v>2038</c:v>
                </c:pt>
                <c:pt idx="17" formatCode="General">
                  <c:v>2039</c:v>
                </c:pt>
                <c:pt idx="18" formatCode="General">
                  <c:v>2040</c:v>
                </c:pt>
                <c:pt idx="19" formatCode="General">
                  <c:v>2041</c:v>
                </c:pt>
                <c:pt idx="20" formatCode="General">
                  <c:v>2042</c:v>
                </c:pt>
                <c:pt idx="21" formatCode="General">
                  <c:v>2043</c:v>
                </c:pt>
                <c:pt idx="22" formatCode="General">
                  <c:v>2044</c:v>
                </c:pt>
                <c:pt idx="23" formatCode="General">
                  <c:v>2045</c:v>
                </c:pt>
                <c:pt idx="24" formatCode="General">
                  <c:v>2046</c:v>
                </c:pt>
                <c:pt idx="25" formatCode="General">
                  <c:v>2047</c:v>
                </c:pt>
                <c:pt idx="26" formatCode="General">
                  <c:v>2048</c:v>
                </c:pt>
                <c:pt idx="27" formatCode="General">
                  <c:v>2049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Paths'!$G$51:$G$61,'Model 1 - Inv &amp; GDP Paths'!$D$195:$D$212)</c15:sqref>
                  </c15:fullRef>
                </c:ext>
              </c:extLst>
              <c:f>('Model 1 - Inv &amp; GDP Paths'!$G$52:$G$61,'Model 1 - Inv &amp; GDP Paths'!$D$195:$D$212)</c:f>
              <c:numCache>
                <c:formatCode>0.0%</c:formatCode>
                <c:ptCount val="28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0.16415609695538524</c:v>
                </c:pt>
                <c:pt idx="7">
                  <c:v>0.49367311964871785</c:v>
                </c:pt>
                <c:pt idx="8">
                  <c:v>0.58235260895132823</c:v>
                </c:pt>
                <c:pt idx="9">
                  <c:v>0.58235260895132823</c:v>
                </c:pt>
                <c:pt idx="10" formatCode="0.00%">
                  <c:v>0.71742952625481726</c:v>
                </c:pt>
                <c:pt idx="11" formatCode="0.00%">
                  <c:v>0.76728878075036977</c:v>
                </c:pt>
                <c:pt idx="12" formatCode="0.00%">
                  <c:v>0.82383308796490906</c:v>
                </c:pt>
                <c:pt idx="13" formatCode="0.00%">
                  <c:v>0.87939623594010607</c:v>
                </c:pt>
                <c:pt idx="14" formatCode="0.00%">
                  <c:v>0.9347378688352268</c:v>
                </c:pt>
                <c:pt idx="15" formatCode="0.00%">
                  <c:v>1.0075449413581636</c:v>
                </c:pt>
                <c:pt idx="16" formatCode="0.00%">
                  <c:v>1.0798229991102901</c:v>
                </c:pt>
                <c:pt idx="17" formatCode="0.00%">
                  <c:v>1.1515056506429</c:v>
                </c:pt>
                <c:pt idx="18" formatCode="0.00%">
                  <c:v>1.2165295410988335</c:v>
                </c:pt>
                <c:pt idx="19" formatCode="0.00%">
                  <c:v>1.3001384514996315</c:v>
                </c:pt>
                <c:pt idx="20" formatCode="0.00%">
                  <c:v>1.3926209690152063</c:v>
                </c:pt>
                <c:pt idx="21" formatCode="0.00%">
                  <c:v>1.5023248153975046</c:v>
                </c:pt>
                <c:pt idx="22" formatCode="0.00%">
                  <c:v>1.6041926943570006</c:v>
                </c:pt>
                <c:pt idx="23" formatCode="0.00%">
                  <c:v>1.7179139590474501</c:v>
                </c:pt>
                <c:pt idx="24" formatCode="0.00%">
                  <c:v>1.8099465776755321</c:v>
                </c:pt>
                <c:pt idx="25" formatCode="0.00%">
                  <c:v>1.937356084069199</c:v>
                </c:pt>
                <c:pt idx="26" formatCode="0.00%">
                  <c:v>2.0790283621938102</c:v>
                </c:pt>
                <c:pt idx="27" formatCode="0.00%">
                  <c:v>2.2103627713258418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03-4B39-8AD9-57C109D7A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1418912"/>
        <c:axId val="1401417952"/>
      </c:lineChart>
      <c:catAx>
        <c:axId val="140141891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417952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1401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41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Risk-free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'Model 2 - Riskfree and ERP'!$D$34</c:f>
              <c:strCache>
                <c:ptCount val="1"/>
                <c:pt idx="0">
                  <c:v> No AI 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ERP'!$C$36:$C$41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ERP'!$D$36:$D$41</c:f>
              <c:numCache>
                <c:formatCode>0.00%</c:formatCode>
                <c:ptCount val="6"/>
                <c:pt idx="0">
                  <c:v>3.8990872960193934E-2</c:v>
                </c:pt>
                <c:pt idx="1">
                  <c:v>3.7692866178037729E-2</c:v>
                </c:pt>
                <c:pt idx="2">
                  <c:v>3.6263500892810566E-2</c:v>
                </c:pt>
                <c:pt idx="3">
                  <c:v>3.4685998823678205E-2</c:v>
                </c:pt>
                <c:pt idx="4">
                  <c:v>3.2942222037019429E-2</c:v>
                </c:pt>
                <c:pt idx="5">
                  <c:v>3.1012821646448835E-2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4A-4074-A7D8-8BB63BBE0566}"/>
            </c:ext>
          </c:extLst>
        </c:ser>
        <c:ser>
          <c:idx val="1"/>
          <c:order val="1"/>
          <c:tx>
            <c:strRef>
              <c:f>'Model 2 - Riskfree and ERP'!$F$34</c:f>
              <c:strCache>
                <c:ptCount val="1"/>
                <c:pt idx="0">
                  <c:v> Moderate 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ERP'!$C$36:$C$41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ERP'!$F$36:$F$41</c:f>
              <c:numCache>
                <c:formatCode>0.00%</c:formatCode>
                <c:ptCount val="6"/>
                <c:pt idx="0">
                  <c:v>4.102625428720539E-2</c:v>
                </c:pt>
                <c:pt idx="1">
                  <c:v>3.9626842906641341E-2</c:v>
                </c:pt>
                <c:pt idx="2">
                  <c:v>3.8100943232113126E-2</c:v>
                </c:pt>
                <c:pt idx="3">
                  <c:v>3.6431560829698215E-2</c:v>
                </c:pt>
                <c:pt idx="4">
                  <c:v>3.4600349464938979E-2</c:v>
                </c:pt>
                <c:pt idx="5">
                  <c:v>3.2587759694396978E-2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4A-4074-A7D8-8BB63BBE0566}"/>
            </c:ext>
          </c:extLst>
        </c:ser>
        <c:ser>
          <c:idx val="2"/>
          <c:order val="2"/>
          <c:tx>
            <c:strRef>
              <c:f>'Model 2 - Riskfree and ERP'!$H$34</c:f>
              <c:strCache>
                <c:ptCount val="1"/>
                <c:pt idx="0">
                  <c:v> Transformative 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ERP'!$C$36:$C$41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ERP'!$H$36:$H$41</c:f>
              <c:numCache>
                <c:formatCode>0.00%</c:formatCode>
                <c:ptCount val="6"/>
                <c:pt idx="0">
                  <c:v>4.3644985153387793E-2</c:v>
                </c:pt>
                <c:pt idx="1">
                  <c:v>4.1815501567304479E-2</c:v>
                </c:pt>
                <c:pt idx="2">
                  <c:v>3.9913518432100351E-2</c:v>
                </c:pt>
                <c:pt idx="3">
                  <c:v>3.7916137429046551E-2</c:v>
                </c:pt>
                <c:pt idx="4">
                  <c:v>3.5799649703362392E-2</c:v>
                </c:pt>
                <c:pt idx="5">
                  <c:v>3.353965501123192E-2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4A-4074-A7D8-8BB63BBE0566}"/>
            </c:ext>
          </c:extLst>
        </c:ser>
        <c:ser>
          <c:idx val="3"/>
          <c:order val="3"/>
          <c:tx>
            <c:strRef>
              <c:f>'Model 2 - Riskfree and ERP'!$L$34</c:f>
              <c:strCache>
                <c:ptCount val="1"/>
                <c:pt idx="0">
                  <c:v> Absorbing Limit 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'Model 2 - Riskfree and ERP'!$C$36:$C$41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ERP'!$L$36:$L$41</c:f>
              <c:numCache>
                <c:formatCode>0.00%</c:formatCode>
                <c:ptCount val="6"/>
                <c:pt idx="0">
                  <c:v>5.8159518489367165E-2</c:v>
                </c:pt>
                <c:pt idx="1">
                  <c:v>4.7753038204029263E-2</c:v>
                </c:pt>
                <c:pt idx="2">
                  <c:v>4.1506647730080351E-2</c:v>
                </c:pt>
                <c:pt idx="3">
                  <c:v>3.7408601897654173E-2</c:v>
                </c:pt>
                <c:pt idx="4">
                  <c:v>3.435327802912691E-2</c:v>
                </c:pt>
                <c:pt idx="5">
                  <c:v>3.1743407958947117E-2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4A-4074-A7D8-8BB63BBE0566}"/>
            </c:ext>
          </c:extLst>
        </c:ser>
        <c:ser>
          <c:idx val="4"/>
          <c:order val="4"/>
          <c:tx>
            <c:strRef>
              <c:f>'Model 2 - Riskfree and ERP'!$J$34</c:f>
              <c:strCache>
                <c:ptCount val="1"/>
                <c:pt idx="0">
                  <c:v> Singularity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ERP'!$C$36:$C$41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ERP'!$J$36:$J$41</c:f>
              <c:numCache>
                <c:formatCode>0.00%</c:formatCode>
                <c:ptCount val="6"/>
                <c:pt idx="0">
                  <c:v>4.7899128062149056E-2</c:v>
                </c:pt>
                <c:pt idx="1">
                  <c:v>4.4647067218971284E-2</c:v>
                </c:pt>
                <c:pt idx="2">
                  <c:v>4.1682811036179573E-2</c:v>
                </c:pt>
                <c:pt idx="3">
                  <c:v>3.8903413945845559E-2</c:v>
                </c:pt>
                <c:pt idx="4">
                  <c:v>3.622078672187598E-2</c:v>
                </c:pt>
                <c:pt idx="5">
                  <c:v>3.355940734621677E-2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4A-4074-A7D8-8BB63BBE0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9465407"/>
        <c:axId val="1019453407"/>
      </c:lineChart>
      <c:catAx>
        <c:axId val="1019465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53407"/>
        <c:crosses val="autoZero"/>
        <c:auto val="1"/>
        <c:lblAlgn val="ctr"/>
        <c:lblOffset val="100"/>
        <c:noMultiLvlLbl val="0"/>
      </c:catAx>
      <c:valAx>
        <c:axId val="1019453407"/>
        <c:scaling>
          <c:orientation val="minMax"/>
          <c:max val="6.0000000000000012E-2"/>
          <c:min val="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65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'Model 2 - Riskfree and ERP'!$D$34</c:f>
              <c:strCache>
                <c:ptCount val="1"/>
                <c:pt idx="0">
                  <c:v> No AI 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ERP'!$E$36:$E$41</c:f>
              <c:numCache>
                <c:formatCode>0.00%</c:formatCode>
                <c:ptCount val="6"/>
                <c:pt idx="0">
                  <c:v>1.1819993323024418E-3</c:v>
                </c:pt>
                <c:pt idx="1">
                  <c:v>2.4800061144585341E-3</c:v>
                </c:pt>
                <c:pt idx="2">
                  <c:v>3.9093713996859059E-3</c:v>
                </c:pt>
                <c:pt idx="3">
                  <c:v>5.4868734688181342E-3</c:v>
                </c:pt>
                <c:pt idx="4">
                  <c:v>7.2306502554769841E-3</c:v>
                </c:pt>
                <c:pt idx="5">
                  <c:v>9.1600506460474997E-3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1-445A-802F-7BBEE970C54A}"/>
            </c:ext>
          </c:extLst>
        </c:ser>
        <c:ser>
          <c:idx val="1"/>
          <c:order val="1"/>
          <c:tx>
            <c:strRef>
              <c:f>'Model 2 - Riskfree and ERP'!$F$34</c:f>
              <c:strCache>
                <c:ptCount val="1"/>
                <c:pt idx="0">
                  <c:v> Moderate 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ERP'!$G$36:$G$41</c:f>
              <c:numCache>
                <c:formatCode>0.00%</c:formatCode>
                <c:ptCount val="6"/>
                <c:pt idx="0">
                  <c:v>1.2884982312645174E-3</c:v>
                </c:pt>
                <c:pt idx="1">
                  <c:v>2.6879096118284265E-3</c:v>
                </c:pt>
                <c:pt idx="2">
                  <c:v>4.2138092863568972E-3</c:v>
                </c:pt>
                <c:pt idx="3">
                  <c:v>5.8831916887717248E-3</c:v>
                </c:pt>
                <c:pt idx="4">
                  <c:v>7.7144030535308585E-3</c:v>
                </c:pt>
                <c:pt idx="5">
                  <c:v>9.7269928240729109E-3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F1-445A-802F-7BBEE970C54A}"/>
            </c:ext>
          </c:extLst>
        </c:ser>
        <c:ser>
          <c:idx val="2"/>
          <c:order val="2"/>
          <c:tx>
            <c:strRef>
              <c:f>'Model 2 - Riskfree and ERP'!$H$34</c:f>
              <c:strCache>
                <c:ptCount val="1"/>
                <c:pt idx="0">
                  <c:v> Transformative 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ERP'!$I$36:$I$41</c:f>
              <c:numCache>
                <c:formatCode>0.00%</c:formatCode>
                <c:ptCount val="6"/>
                <c:pt idx="0">
                  <c:v>1.7790283235247558E-3</c:v>
                </c:pt>
                <c:pt idx="1">
                  <c:v>3.6085119096080317E-3</c:v>
                </c:pt>
                <c:pt idx="2">
                  <c:v>5.5104950448123515E-3</c:v>
                </c:pt>
                <c:pt idx="3">
                  <c:v>7.5078760478660567E-3</c:v>
                </c:pt>
                <c:pt idx="4">
                  <c:v>9.6243637735503769E-3</c:v>
                </c:pt>
                <c:pt idx="5">
                  <c:v>1.1884358465680814E-2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F1-445A-802F-7BBEE970C54A}"/>
            </c:ext>
          </c:extLst>
        </c:ser>
        <c:ser>
          <c:idx val="3"/>
          <c:order val="3"/>
          <c:tx>
            <c:strRef>
              <c:f>'Model 2 - Riskfree and ERP'!$L$34</c:f>
              <c:strCache>
                <c:ptCount val="1"/>
                <c:pt idx="0">
                  <c:v> Absorbing Limit 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'Model 2 - Riskfree and ERP'!$M$36:$M$41</c:f>
              <c:numCache>
                <c:formatCode>0.00%</c:formatCode>
                <c:ptCount val="6"/>
                <c:pt idx="0">
                  <c:v>1.8064699632105444E-2</c:v>
                </c:pt>
                <c:pt idx="1">
                  <c:v>2.8471179917443214E-2</c:v>
                </c:pt>
                <c:pt idx="2">
                  <c:v>3.4717570391392311E-2</c:v>
                </c:pt>
                <c:pt idx="3">
                  <c:v>3.881561622381835E-2</c:v>
                </c:pt>
                <c:pt idx="4">
                  <c:v>4.1870940092345668E-2</c:v>
                </c:pt>
                <c:pt idx="5">
                  <c:v>4.4480810162525405E-2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F1-445A-802F-7BBEE970C54A}"/>
            </c:ext>
          </c:extLst>
        </c:ser>
        <c:ser>
          <c:idx val="4"/>
          <c:order val="4"/>
          <c:tx>
            <c:strRef>
              <c:f>'Model 2 - Riskfree and ERP'!$J$34</c:f>
              <c:strCache>
                <c:ptCount val="1"/>
                <c:pt idx="0">
                  <c:v> Singularity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ERP'!$K$36:$K$41</c:f>
              <c:numCache>
                <c:formatCode>0.00%</c:formatCode>
                <c:ptCount val="6"/>
                <c:pt idx="0">
                  <c:v>3.6598528692073241E-3</c:v>
                </c:pt>
                <c:pt idx="1">
                  <c:v>6.9119137123848096E-3</c:v>
                </c:pt>
                <c:pt idx="2">
                  <c:v>9.8761698951766556E-3</c:v>
                </c:pt>
                <c:pt idx="3">
                  <c:v>1.2655566985510692E-2</c:v>
                </c:pt>
                <c:pt idx="4">
                  <c:v>1.5338194209480308E-2</c:v>
                </c:pt>
                <c:pt idx="5">
                  <c:v>1.7999573585139442E-2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F1-445A-802F-7BBEE970C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9465407"/>
        <c:axId val="1019453407"/>
      </c:lineChart>
      <c:catAx>
        <c:axId val="10194654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53407"/>
        <c:crosses val="autoZero"/>
        <c:auto val="1"/>
        <c:lblAlgn val="ctr"/>
        <c:lblOffset val="100"/>
        <c:noMultiLvlLbl val="0"/>
      </c:catAx>
      <c:valAx>
        <c:axId val="1019453407"/>
        <c:scaling>
          <c:orientation val="minMax"/>
          <c:max val="4.500000000000001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65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/>
                </a:solidFill>
                <a:uFillTx/>
                <a:latin typeface="Arial"/>
                <a:ea typeface="+mn-ea"/>
                <a:cs typeface="+mn-cs"/>
              </a:defRPr>
            </a:pPr>
            <a:r>
              <a:rPr lang="en-US" sz="1000" b="1" u="none" strike="noStrike">
                <a:solidFill>
                  <a:srgbClr val="000000"/>
                </a:solidFill>
                <a:uFillTx/>
                <a:latin typeface="Arial" panose="020B0604020202020204" pitchFamily="34" charset="0"/>
                <a:cs typeface="Arial" panose="020B0604020202020204" pitchFamily="34" charset="0"/>
              </a:rPr>
              <a:t>AI CapEx by Firm ($B)</a:t>
            </a:r>
          </a:p>
        </c:rich>
      </c:tx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/>
              </a:solidFill>
              <a:uFillTx/>
              <a:latin typeface="Arial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'CAPEX Build'!$C$130</c:f>
              <c:strCache>
                <c:ptCount val="1"/>
                <c:pt idx="0">
                  <c:v>Amazon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'CAPEX Build'!$D$129:$I$129</c:f>
              <c:strCach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2026f</c:v>
                </c:pt>
                <c:pt idx="5">
                  <c:v>2027e</c:v>
                </c:pt>
              </c:strCache>
            </c:strRef>
          </c:cat>
          <c:val>
            <c:numRef>
              <c:f>'CAPEX Build'!$D$130:$I$130</c:f>
              <c:numCache>
                <c:formatCode>#,##0.0</c:formatCode>
                <c:ptCount val="6"/>
                <c:pt idx="0">
                  <c:v>64</c:v>
                </c:pt>
                <c:pt idx="1">
                  <c:v>53</c:v>
                </c:pt>
                <c:pt idx="2">
                  <c:v>83</c:v>
                </c:pt>
                <c:pt idx="3">
                  <c:v>132</c:v>
                </c:pt>
                <c:pt idx="4">
                  <c:v>200</c:v>
                </c:pt>
                <c:pt idx="5">
                  <c:v>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78-49AC-9CF2-749F31479748}"/>
            </c:ext>
          </c:extLst>
        </c:ser>
        <c:ser>
          <c:idx val="1"/>
          <c:order val="1"/>
          <c:tx>
            <c:strRef>
              <c:f>'CAPEX Build'!$C$131</c:f>
              <c:strCache>
                <c:ptCount val="1"/>
                <c:pt idx="0">
                  <c:v>Alphabet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'CAPEX Build'!$D$129:$I$129</c:f>
              <c:strCach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2026f</c:v>
                </c:pt>
                <c:pt idx="5">
                  <c:v>2027e</c:v>
                </c:pt>
              </c:strCache>
            </c:strRef>
          </c:cat>
          <c:val>
            <c:numRef>
              <c:f>'CAPEX Build'!$D$131:$I$131</c:f>
              <c:numCache>
                <c:formatCode>#,##0.0</c:formatCode>
                <c:ptCount val="6"/>
                <c:pt idx="0">
                  <c:v>31</c:v>
                </c:pt>
                <c:pt idx="1">
                  <c:v>32</c:v>
                </c:pt>
                <c:pt idx="2">
                  <c:v>53</c:v>
                </c:pt>
                <c:pt idx="3">
                  <c:v>91</c:v>
                </c:pt>
                <c:pt idx="4">
                  <c:v>180</c:v>
                </c:pt>
                <c:pt idx="5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78-49AC-9CF2-749F31479748}"/>
            </c:ext>
          </c:extLst>
        </c:ser>
        <c:ser>
          <c:idx val="2"/>
          <c:order val="2"/>
          <c:tx>
            <c:strRef>
              <c:f>'CAPEX Build'!$C$132</c:f>
              <c:strCache>
                <c:ptCount val="1"/>
                <c:pt idx="0">
                  <c:v>Microsoft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'CAPEX Build'!$D$129:$I$129</c:f>
              <c:strCach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2026f</c:v>
                </c:pt>
                <c:pt idx="5">
                  <c:v>2027e</c:v>
                </c:pt>
              </c:strCache>
            </c:strRef>
          </c:cat>
          <c:val>
            <c:numRef>
              <c:f>'CAPEX Build'!$D$132:$I$132</c:f>
              <c:numCache>
                <c:formatCode>#,##0.0</c:formatCode>
                <c:ptCount val="6"/>
                <c:pt idx="0">
                  <c:v>24</c:v>
                </c:pt>
                <c:pt idx="1">
                  <c:v>28</c:v>
                </c:pt>
                <c:pt idx="2">
                  <c:v>44</c:v>
                </c:pt>
                <c:pt idx="3">
                  <c:v>65</c:v>
                </c:pt>
                <c:pt idx="4">
                  <c:v>175</c:v>
                </c:pt>
                <c:pt idx="5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78-49AC-9CF2-749F31479748}"/>
            </c:ext>
          </c:extLst>
        </c:ser>
        <c:ser>
          <c:idx val="3"/>
          <c:order val="3"/>
          <c:tx>
            <c:strRef>
              <c:f>'CAPEX Build'!$C$133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Build'!$D$129:$I$129</c:f>
              <c:strCach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2026f</c:v>
                </c:pt>
                <c:pt idx="5">
                  <c:v>2027e</c:v>
                </c:pt>
              </c:strCache>
            </c:strRef>
          </c:cat>
          <c:val>
            <c:numRef>
              <c:f>'CAPEX Build'!$D$133:$I$133</c:f>
              <c:numCache>
                <c:formatCode>#,##0.0</c:formatCode>
                <c:ptCount val="6"/>
                <c:pt idx="0">
                  <c:v>31</c:v>
                </c:pt>
                <c:pt idx="1">
                  <c:v>28</c:v>
                </c:pt>
                <c:pt idx="2">
                  <c:v>39</c:v>
                </c:pt>
                <c:pt idx="3">
                  <c:v>72</c:v>
                </c:pt>
                <c:pt idx="4">
                  <c:v>135</c:v>
                </c:pt>
                <c:pt idx="5">
                  <c:v>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178-49AC-9CF2-749F31479748}"/>
            </c:ext>
          </c:extLst>
        </c:ser>
        <c:ser>
          <c:idx val="4"/>
          <c:order val="4"/>
          <c:tx>
            <c:strRef>
              <c:f>'CAPEX Build'!$C$134</c:f>
              <c:strCache>
                <c:ptCount val="1"/>
                <c:pt idx="0">
                  <c:v>Oracle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Build'!$D$129:$I$129</c:f>
              <c:strCach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2026f</c:v>
                </c:pt>
                <c:pt idx="5">
                  <c:v>2027e</c:v>
                </c:pt>
              </c:strCache>
            </c:strRef>
          </c:cat>
          <c:val>
            <c:numRef>
              <c:f>'CAPEX Build'!$D$134:$I$134</c:f>
              <c:numCache>
                <c:formatCode>#,##0.0</c:formatCode>
                <c:ptCount val="6"/>
                <c:pt idx="0">
                  <c:v>5</c:v>
                </c:pt>
                <c:pt idx="1">
                  <c:v>9</c:v>
                </c:pt>
                <c:pt idx="2">
                  <c:v>7</c:v>
                </c:pt>
                <c:pt idx="3">
                  <c:v>21</c:v>
                </c:pt>
                <c:pt idx="4">
                  <c:v>65</c:v>
                </c:pt>
                <c:pt idx="5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178-49AC-9CF2-749F31479748}"/>
            </c:ext>
          </c:extLst>
        </c:ser>
        <c:ser>
          <c:idx val="5"/>
          <c:order val="5"/>
          <c:tx>
            <c:strRef>
              <c:f>'CAPEX Build'!$C$135</c:f>
              <c:strCache>
                <c:ptCount val="1"/>
                <c:pt idx="0">
                  <c:v>T1 Neoclouds Excluded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Build'!$D$129:$I$129</c:f>
              <c:strCach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2026f</c:v>
                </c:pt>
                <c:pt idx="5">
                  <c:v>2027e</c:v>
                </c:pt>
              </c:strCache>
            </c:strRef>
          </c:cat>
          <c:val>
            <c:numRef>
              <c:f>'CAPEX Build'!$D$135:$I$135</c:f>
              <c:numCache>
                <c:formatCode>#,##0.0</c:formatCode>
                <c:ptCount val="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178-49AC-9CF2-749F31479748}"/>
            </c:ext>
          </c:extLst>
        </c:ser>
        <c:ser>
          <c:idx val="6"/>
          <c:order val="6"/>
          <c:tx>
            <c:strRef>
              <c:f>'CAPEX Build'!$C$136</c:f>
              <c:strCache>
                <c:ptCount val="1"/>
                <c:pt idx="0">
                  <c:v>T2 Neoclouds Excluded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'CAPEX Build'!$D$129:$I$129</c:f>
              <c:strCach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2026f</c:v>
                </c:pt>
                <c:pt idx="5">
                  <c:v>2027e</c:v>
                </c:pt>
              </c:strCache>
            </c:strRef>
          </c:cat>
          <c:val>
            <c:numRef>
              <c:f>'CAPEX Build'!$D$136:$I$136</c:f>
              <c:numCache>
                <c:formatCode>#,##0.0</c:formatCode>
                <c:ptCount val="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178-49AC-9CF2-749F31479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16934"/>
        <c:axId val="60545454"/>
      </c:barChart>
      <c:catAx>
        <c:axId val="1421693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/>
                    </a:solidFill>
                    <a:uFillTx/>
                    <a:latin typeface="Arial"/>
                    <a:ea typeface="+mn-ea"/>
                    <a:cs typeface="+mn-cs"/>
                  </a:defRPr>
                </a:pPr>
                <a:r>
                  <a:rPr lang="en-US" sz="1000" b="0" u="none" strike="noStrike">
                    <a:solidFill>
                      <a:srgbClr val="000000"/>
                    </a:solidFill>
                    <a:uFillTx/>
                    <a:latin typeface="Calibri"/>
                  </a:rPr>
                  <a:t>Year</a:t>
                </a:r>
              </a:p>
            </c:rich>
          </c:tx>
          <c:overlay val="0"/>
          <c:spPr>
            <a:noFill/>
            <a:ln w="0"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chemeClr val="tx1"/>
                  </a:solidFill>
                  <a:uFillTx/>
                  <a:latin typeface="Arial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360" cap="flat" cmpd="sng" algn="ctr">
            <a:solidFill>
              <a:srgbClr val="878787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uFillTx/>
                <a:latin typeface="Calibri"/>
                <a:ea typeface="+mn-ea"/>
                <a:cs typeface="+mn-cs"/>
              </a:defRPr>
            </a:pPr>
            <a:endParaRPr lang="en-US"/>
          </a:p>
        </c:txPr>
        <c:crossAx val="60545454"/>
        <c:crosses val="autoZero"/>
        <c:auto val="1"/>
        <c:lblAlgn val="ctr"/>
        <c:lblOffset val="100"/>
        <c:noMultiLvlLbl val="0"/>
      </c:catAx>
      <c:valAx>
        <c:axId val="60545454"/>
        <c:scaling>
          <c:orientation val="minMax"/>
        </c:scaling>
        <c:delete val="0"/>
        <c:axPos val="l"/>
        <c:majorGridlines>
          <c:spPr>
            <a:ln w="9360" cap="flat" cmpd="sng" algn="ctr">
              <a:solidFill>
                <a:srgbClr val="878787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/>
                    </a:solidFill>
                    <a:uFillTx/>
                    <a:latin typeface="Arial"/>
                    <a:ea typeface="+mn-ea"/>
                    <a:cs typeface="+mn-cs"/>
                  </a:defRPr>
                </a:pPr>
                <a:r>
                  <a:rPr lang="en-US" sz="1000" b="0" u="none" strike="noStrike">
                    <a:solidFill>
                      <a:srgbClr val="000000"/>
                    </a:solidFill>
                    <a:uFillTx/>
                    <a:latin typeface="+mn-lt"/>
                    <a:cs typeface="Arial" panose="020B0604020202020204" pitchFamily="34" charset="0"/>
                  </a:rPr>
                  <a:t>CapEx</a:t>
                </a:r>
                <a:r>
                  <a:rPr lang="en-US" sz="1000" b="0" u="none" strike="noStrike">
                    <a:solidFill>
                      <a:srgbClr val="000000"/>
                    </a:solidFill>
                    <a:uFillTx/>
                    <a:latin typeface="+mn-lt"/>
                  </a:rPr>
                  <a:t> ($B)</a:t>
                </a:r>
              </a:p>
            </c:rich>
          </c:tx>
          <c:overlay val="0"/>
          <c:spPr>
            <a:noFill/>
            <a:ln w="0"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chemeClr val="tx1"/>
                  </a:solidFill>
                  <a:uFillTx/>
                  <a:latin typeface="Arial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360" cap="flat" cmpd="sng" algn="ctr">
            <a:solidFill>
              <a:srgbClr val="878787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uFillTx/>
                <a:latin typeface="Calibri"/>
                <a:ea typeface="+mn-ea"/>
                <a:cs typeface="+mn-cs"/>
              </a:defRPr>
            </a:pPr>
            <a:endParaRPr lang="en-US"/>
          </a:p>
        </c:txPr>
        <c:crossAx val="14216934"/>
        <c:crosses val="autoZero"/>
        <c:crossBetween val="between"/>
      </c:valAx>
      <c:spPr>
        <a:solidFill>
          <a:srgbClr val="FFFFFF"/>
        </a:solidFill>
        <a:ln w="0"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uFillTx/>
              <a:latin typeface="Calibri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 cap="flat" cmpd="sng" algn="ctr">
      <a:solidFill>
        <a:srgbClr val="D9D9D9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AI </a:t>
            </a: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</a:t>
            </a:r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 % of GDP and % of PFI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4"/>
          <c:tx>
            <c:strRef>
              <c:f>'CAPEX Build'!$C$112</c:f>
              <c:strCache>
                <c:ptCount val="1"/>
                <c:pt idx="0">
                  <c:v>5-firm share of GDP (%)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'CAPEX Build'!$D$107:$J$107</c15:sqref>
                  </c15:fullRef>
                </c:ext>
              </c:extLst>
              <c:f>'CAPEX Build'!$E$107:$J$107</c:f>
              <c:strCach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2026f</c:v>
                </c:pt>
                <c:pt idx="5">
                  <c:v>2027e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'CAPEX Build'!$D$112:$J$112</c15:sqref>
                  </c15:fullRef>
                </c:ext>
              </c:extLst>
              <c:f>'CAPEX Build'!$E$112:$J$112</c:f>
              <c:numCache>
                <c:formatCode>0.0%</c:formatCode>
                <c:ptCount val="6"/>
                <c:pt idx="0">
                  <c:v>6.0784313725490199E-3</c:v>
                </c:pt>
                <c:pt idx="1">
                  <c:v>5.4744525547445258E-3</c:v>
                </c:pt>
                <c:pt idx="2">
                  <c:v>7.7397260273972604E-3</c:v>
                </c:pt>
                <c:pt idx="3">
                  <c:v>1.2491803278688525E-2</c:v>
                </c:pt>
                <c:pt idx="4">
                  <c:v>2.3968253968253968E-2</c:v>
                </c:pt>
                <c:pt idx="5">
                  <c:v>3.3641975308641978E-2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DD-4CD3-A5D5-F5C944FCC444}"/>
            </c:ext>
          </c:extLst>
        </c:ser>
        <c:ser>
          <c:idx val="5"/>
          <c:order val="5"/>
          <c:tx>
            <c:strRef>
              <c:f>'CAPEX Build'!$C$113</c:f>
              <c:strCache>
                <c:ptCount val="1"/>
                <c:pt idx="0">
                  <c:v>Universe total share of GDP (%)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'CAPEX Build'!$D$107:$J$107</c15:sqref>
                  </c15:fullRef>
                </c:ext>
              </c:extLst>
              <c:f>'CAPEX Build'!$E$107:$J$107</c:f>
              <c:strCach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2026f</c:v>
                </c:pt>
                <c:pt idx="5">
                  <c:v>2027e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'CAPEX Build'!$D$113:$J$113</c15:sqref>
                  </c15:fullRef>
                </c:ext>
              </c:extLst>
              <c:f>'CAPEX Build'!$E$113:$J$113</c:f>
              <c:numCache>
                <c:formatCode>0.0%</c:formatCode>
                <c:ptCount val="6"/>
                <c:pt idx="0">
                  <c:v>6.0784313725490199E-3</c:v>
                </c:pt>
                <c:pt idx="1">
                  <c:v>5.4744525547445258E-3</c:v>
                </c:pt>
                <c:pt idx="2">
                  <c:v>7.7397260273972604E-3</c:v>
                </c:pt>
                <c:pt idx="3">
                  <c:v>1.2491803278688525E-2</c:v>
                </c:pt>
                <c:pt idx="4">
                  <c:v>2.3968253968253968E-2</c:v>
                </c:pt>
                <c:pt idx="5">
                  <c:v>3.3641975308641978E-2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DD-4CD3-A5D5-F5C944FCC444}"/>
            </c:ext>
          </c:extLst>
        </c:ser>
        <c:ser>
          <c:idx val="6"/>
          <c:order val="6"/>
          <c:tx>
            <c:strRef>
              <c:f>'CAPEX Build'!$C$114</c:f>
              <c:strCache>
                <c:ptCount val="1"/>
                <c:pt idx="0">
                  <c:v>5-firm share of PFI (%)</c:v>
                </c:pt>
              </c:strCache>
            </c:strRef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'CAPEX Build'!$D$107:$J$107</c15:sqref>
                  </c15:fullRef>
                </c:ext>
              </c:extLst>
              <c:f>'CAPEX Build'!$E$107:$J$107</c:f>
              <c:strCach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2026f</c:v>
                </c:pt>
                <c:pt idx="5">
                  <c:v>2027e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'CAPEX Build'!$D$114:$J$114</c15:sqref>
                  </c15:fullRef>
                </c:ext>
              </c:extLst>
              <c:f>'CAPEX Build'!$E$114:$J$114</c:f>
              <c:numCache>
                <c:formatCode>0.0%</c:formatCode>
                <c:ptCount val="6"/>
                <c:pt idx="0">
                  <c:v>3.2978723404255318E-2</c:v>
                </c:pt>
                <c:pt idx="1">
                  <c:v>0.03</c:v>
                </c:pt>
                <c:pt idx="2">
                  <c:v>4.3461538461538461E-2</c:v>
                </c:pt>
                <c:pt idx="3">
                  <c:v>7.0555555555555552E-2</c:v>
                </c:pt>
                <c:pt idx="4">
                  <c:v>0.13727272727272727</c:v>
                </c:pt>
                <c:pt idx="5">
                  <c:v>0.19122807017543861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DD-4CD3-A5D5-F5C944FCC444}"/>
            </c:ext>
          </c:extLst>
        </c:ser>
        <c:ser>
          <c:idx val="7"/>
          <c:order val="7"/>
          <c:tx>
            <c:strRef>
              <c:f>'CAPEX Build'!$C$115</c:f>
              <c:strCache>
                <c:ptCount val="1"/>
                <c:pt idx="0">
                  <c:v>Universe total share of PFI (%)</c:v>
                </c:pt>
              </c:strCache>
            </c:strRef>
          </c:tx>
          <c:spPr>
            <a:ln w="28575" cap="rnd">
              <a:solidFill>
                <a:schemeClr val="tx2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'CAPEX Build'!$D$107:$J$107</c15:sqref>
                  </c15:fullRef>
                </c:ext>
              </c:extLst>
              <c:f>'CAPEX Build'!$E$107:$J$107</c:f>
              <c:strCach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2026f</c:v>
                </c:pt>
                <c:pt idx="5">
                  <c:v>2027e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'CAPEX Build'!$D$115:$J$115</c15:sqref>
                  </c15:fullRef>
                </c:ext>
              </c:extLst>
              <c:f>'CAPEX Build'!$E$115:$J$115</c:f>
              <c:numCache>
                <c:formatCode>0.0%</c:formatCode>
                <c:ptCount val="6"/>
                <c:pt idx="0">
                  <c:v>3.2978723404255318E-2</c:v>
                </c:pt>
                <c:pt idx="1">
                  <c:v>0.03</c:v>
                </c:pt>
                <c:pt idx="2">
                  <c:v>4.3461538461538461E-2</c:v>
                </c:pt>
                <c:pt idx="3">
                  <c:v>7.0555555555555552E-2</c:v>
                </c:pt>
                <c:pt idx="4">
                  <c:v>0.13727272727272727</c:v>
                </c:pt>
                <c:pt idx="5">
                  <c:v>0.19122807017543861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CDD-4CD3-A5D5-F5C944FCC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975830"/>
        <c:axId val="7081392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'CAPEX Build'!$C$108</c15:sqref>
                        </c15:formulaRef>
                      </c:ext>
                    </c:extLst>
                    <c:strCache>
                      <c:ptCount val="1"/>
                      <c:pt idx="0">
                        <c:v>AI capex, 5-firm ($B)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'CAPEX Build'!$D$107:$J$107</c15:sqref>
                        </c15:fullRef>
                        <c15:formulaRef>
                          <c15:sqref>'CAPEX Build'!$E$107:$J$107</c15:sqref>
                        </c15:formulaRef>
                      </c:ext>
                    </c:extLst>
                    <c:strCache>
                      <c:ptCount val="6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2026f</c:v>
                      </c:pt>
                      <c:pt idx="5">
                        <c:v>2027e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'CAPEX Build'!$D$108:$J$108</c15:sqref>
                        </c15:fullRef>
                        <c15:formulaRef>
                          <c15:sqref>'CAPEX Build'!$E$108:$J$108</c15:sqref>
                        </c15:formulaRef>
                      </c:ext>
                    </c:extLst>
                    <c:numCache>
                      <c:formatCode>#,##0.0</c:formatCode>
                      <c:ptCount val="6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CCDD-4CD3-A5D5-F5C944FCC444}"/>
                  </c:ext>
                </c:extLst>
              </c15:ser>
            </c15:filteredLineSeries>
            <c15:filteredLine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'CAPEX Build'!$C$109</c15:sqref>
                        </c15:formulaRef>
                      </c:ext>
                    </c:extLst>
                    <c:strCache>
                      <c:ptCount val="1"/>
                      <c:pt idx="0">
                        <c:v>AI capex, grand total ($B)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'CAPEX Build'!$D$107:$J$107</c15:sqref>
                        </c15:fullRef>
                        <c15:formulaRef>
                          <c15:sqref>'CAPEX Build'!$E$107:$J$107</c15:sqref>
                        </c15:formulaRef>
                      </c:ext>
                    </c:extLst>
                    <c:strCache>
                      <c:ptCount val="6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2026f</c:v>
                      </c:pt>
                      <c:pt idx="5">
                        <c:v>2027e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'CAPEX Build'!$D$109:$J$109</c15:sqref>
                        </c15:fullRef>
                        <c15:formulaRef>
                          <c15:sqref>'CAPEX Build'!$E$109:$J$109</c15:sqref>
                        </c15:formulaRef>
                      </c:ext>
                    </c:extLst>
                    <c:numCache>
                      <c:formatCode>#,##0.0</c:formatCode>
                      <c:ptCount val="6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CDD-4CD3-A5D5-F5C944FCC444}"/>
                  </c:ext>
                </c:extLst>
              </c15:ser>
            </c15:filteredLineSeries>
            <c15:filteredLine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'CAPEX Build'!$C$110</c15:sqref>
                        </c15:formulaRef>
                      </c:ext>
                    </c:extLst>
                    <c:strCache>
                      <c:ptCount val="1"/>
                      <c:pt idx="0">
                        <c:v>U.S. nominal GDP ($T)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'CAPEX Build'!$D$107:$J$107</c15:sqref>
                        </c15:fullRef>
                        <c15:formulaRef>
                          <c15:sqref>'CAPEX Build'!$E$107:$J$107</c15:sqref>
                        </c15:formulaRef>
                      </c:ext>
                    </c:extLst>
                    <c:strCache>
                      <c:ptCount val="6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2026f</c:v>
                      </c:pt>
                      <c:pt idx="5">
                        <c:v>2027e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'CAPEX Build'!$D$110:$J$110</c15:sqref>
                        </c15:fullRef>
                        <c15:formulaRef>
                          <c15:sqref>'CAPEX Build'!$E$110:$J$110</c15:sqref>
                        </c15:formulaRef>
                      </c:ext>
                    </c:extLst>
                    <c:numCache>
                      <c:formatCode>#,##0.0</c:formatCode>
                      <c:ptCount val="6"/>
                      <c:pt idx="0">
                        <c:v>25.5</c:v>
                      </c:pt>
                      <c:pt idx="1">
                        <c:v>27.4</c:v>
                      </c:pt>
                      <c:pt idx="2">
                        <c:v>29.2</c:v>
                      </c:pt>
                      <c:pt idx="3">
                        <c:v>30.5</c:v>
                      </c:pt>
                      <c:pt idx="4">
                        <c:v>31.5</c:v>
                      </c:pt>
                      <c:pt idx="5">
                        <c:v>32.4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CDD-4CD3-A5D5-F5C944FCC444}"/>
                  </c:ext>
                </c:extLst>
              </c15:ser>
            </c15:filteredLineSeries>
            <c15:filteredLine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'CAPEX Build'!$C$111</c15:sqref>
                        </c15:formulaRef>
                      </c:ext>
                    </c:extLst>
                    <c:strCache>
                      <c:ptCount val="1"/>
                      <c:pt idx="0">
                        <c:v>U.S. gross PFI ($T)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'CAPEX Build'!$D$107:$J$107</c15:sqref>
                        </c15:fullRef>
                        <c15:formulaRef>
                          <c15:sqref>'CAPEX Build'!$E$107:$J$107</c15:sqref>
                        </c15:formulaRef>
                      </c:ext>
                    </c:extLst>
                    <c:strCache>
                      <c:ptCount val="6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2026f</c:v>
                      </c:pt>
                      <c:pt idx="5">
                        <c:v>2027e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'CAPEX Build'!$D$111:$J$111</c15:sqref>
                        </c15:fullRef>
                        <c15:formulaRef>
                          <c15:sqref>'CAPEX Build'!$E$111:$J$111</c15:sqref>
                        </c15:formulaRef>
                      </c:ext>
                    </c:extLst>
                    <c:numCache>
                      <c:formatCode>#,##0.0</c:formatCode>
                      <c:ptCount val="6"/>
                      <c:pt idx="0">
                        <c:v>4.7</c:v>
                      </c:pt>
                      <c:pt idx="1">
                        <c:v>5</c:v>
                      </c:pt>
                      <c:pt idx="2">
                        <c:v>5.2</c:v>
                      </c:pt>
                      <c:pt idx="3">
                        <c:v>5.4</c:v>
                      </c:pt>
                      <c:pt idx="4">
                        <c:v>5.5</c:v>
                      </c:pt>
                      <c:pt idx="5">
                        <c:v>5.7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CDD-4CD3-A5D5-F5C944FCC444}"/>
                  </c:ext>
                </c:extLst>
              </c15:ser>
            </c15:filteredLineSeries>
          </c:ext>
        </c:extLst>
      </c:lineChart>
      <c:catAx>
        <c:axId val="6697583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1392"/>
        <c:crosses val="autoZero"/>
        <c:auto val="1"/>
        <c:lblAlgn val="ctr"/>
        <c:lblOffset val="100"/>
        <c:noMultiLvlLbl val="0"/>
      </c:catAx>
      <c:valAx>
        <c:axId val="708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7583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Moderate</a:t>
            </a:r>
            <a:r>
              <a:rPr lang="en-US" baseline="0"/>
              <a:t> - Cumulative GDP Growth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'Model 1 - Inv &amp; GDP Paths'!$D$240</c:f>
              <c:strCache>
                <c:ptCount val="1"/>
                <c:pt idx="0">
                  <c:v> Moderate (P10) 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Paths'!$D$241:$D$269</c15:sqref>
                  </c15:fullRef>
                </c:ext>
              </c:extLst>
              <c:f>'Model 1 - Inv &amp; GDP Paths'!$D$242:$D$269</c:f>
              <c:numCache>
                <c:formatCode>0.00%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5.3858790033896042E-2</c:v>
                </c:pt>
                <c:pt idx="8">
                  <c:v>5.3858790033896042E-2</c:v>
                </c:pt>
                <c:pt idx="9">
                  <c:v>5.3858790033896042E-2</c:v>
                </c:pt>
                <c:pt idx="10">
                  <c:v>5.3858790033896042E-2</c:v>
                </c:pt>
                <c:pt idx="11">
                  <c:v>5.3858790033896042E-2</c:v>
                </c:pt>
                <c:pt idx="12">
                  <c:v>5.3858790033896042E-2</c:v>
                </c:pt>
                <c:pt idx="13">
                  <c:v>5.3858790033896042E-2</c:v>
                </c:pt>
                <c:pt idx="14">
                  <c:v>5.3858790033896042E-2</c:v>
                </c:pt>
                <c:pt idx="15">
                  <c:v>5.3858790033896042E-2</c:v>
                </c:pt>
                <c:pt idx="16">
                  <c:v>5.3858790033896042E-2</c:v>
                </c:pt>
                <c:pt idx="17">
                  <c:v>5.3858790033896042E-2</c:v>
                </c:pt>
                <c:pt idx="18">
                  <c:v>5.3858790033896042E-2</c:v>
                </c:pt>
                <c:pt idx="19">
                  <c:v>5.3858790033896042E-2</c:v>
                </c:pt>
                <c:pt idx="20">
                  <c:v>5.3858790033896042E-2</c:v>
                </c:pt>
                <c:pt idx="21">
                  <c:v>5.3858790033896042E-2</c:v>
                </c:pt>
                <c:pt idx="22">
                  <c:v>5.3858790033896042E-2</c:v>
                </c:pt>
                <c:pt idx="23">
                  <c:v>5.3858790033896042E-2</c:v>
                </c:pt>
                <c:pt idx="24">
                  <c:v>5.3858790033896042E-2</c:v>
                </c:pt>
                <c:pt idx="25">
                  <c:v>5.3858790033896042E-2</c:v>
                </c:pt>
                <c:pt idx="26">
                  <c:v>5.3858790033896042E-2</c:v>
                </c:pt>
                <c:pt idx="27">
                  <c:v>5.3858790033896042E-2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F7-4034-B349-C0F494EC463C}"/>
            </c:ext>
          </c:extLst>
        </c:ser>
        <c:ser>
          <c:idx val="2"/>
          <c:order val="2"/>
          <c:tx>
            <c:v>10th-90th Percentile</c:v>
          </c:tx>
          <c:spPr>
            <a:solidFill>
              <a:schemeClr val="tx2">
                <a:lumMod val="60000"/>
                <a:lumOff val="40000"/>
                <a:alpha val="27000"/>
              </a:schemeClr>
            </a:solidFill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Paths'!$E$241:$E$268</c15:sqref>
                  </c15:fullRef>
                </c:ext>
              </c:extLst>
              <c:f>'Model 1 - Inv &amp; GDP Paths'!$E$242:$E$268</c:f>
              <c:numCache>
                <c:formatCode>0.00%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0.1432823072277396</c:v>
                </c:pt>
                <c:pt idx="10">
                  <c:v>0.1432823072277396</c:v>
                </c:pt>
                <c:pt idx="11">
                  <c:v>0.1432823072277396</c:v>
                </c:pt>
                <c:pt idx="12">
                  <c:v>0.1432823072277396</c:v>
                </c:pt>
                <c:pt idx="13">
                  <c:v>0.1432823072277396</c:v>
                </c:pt>
                <c:pt idx="14">
                  <c:v>0.1432823072277396</c:v>
                </c:pt>
                <c:pt idx="15">
                  <c:v>0.1432823072277396</c:v>
                </c:pt>
                <c:pt idx="16">
                  <c:v>0.1432823072277396</c:v>
                </c:pt>
                <c:pt idx="17">
                  <c:v>0.1432823072277396</c:v>
                </c:pt>
                <c:pt idx="18">
                  <c:v>0.1432823072277396</c:v>
                </c:pt>
                <c:pt idx="19">
                  <c:v>0.1432823072277396</c:v>
                </c:pt>
                <c:pt idx="20">
                  <c:v>0.52849381891743219</c:v>
                </c:pt>
                <c:pt idx="21">
                  <c:v>0.52849381891743219</c:v>
                </c:pt>
                <c:pt idx="22">
                  <c:v>0.52849381891743219</c:v>
                </c:pt>
                <c:pt idx="23">
                  <c:v>0.52849381891743219</c:v>
                </c:pt>
                <c:pt idx="24">
                  <c:v>0.52849381891743219</c:v>
                </c:pt>
                <c:pt idx="25">
                  <c:v>0.52849381891743219</c:v>
                </c:pt>
                <c:pt idx="26">
                  <c:v>0.52849381891743219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F7-4034-B349-C0F494EC4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</c:areaChart>
      <c:lineChart>
        <c:grouping val="standard"/>
        <c:varyColors val="0"/>
        <c:ser>
          <c:idx val="3"/>
          <c:order val="3"/>
          <c:tx>
            <c:v>Mean</c:v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Paths'!$F$241:$F$268</c15:sqref>
                  </c15:fullRef>
                </c:ext>
              </c:extLst>
              <c:f>'Model 1 - Inv &amp; GDP Paths'!$F$242:$F$268</c:f>
              <c:numCache>
                <c:formatCode>0.00%</c:formatCode>
                <c:ptCount val="27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6.9935590906174294E-2</c:v>
                </c:pt>
                <c:pt idx="7">
                  <c:v>5.9303517708545382E-2</c:v>
                </c:pt>
                <c:pt idx="8">
                  <c:v>6.5203447330681841E-2</c:v>
                </c:pt>
                <c:pt idx="9">
                  <c:v>7.1998743389561359E-2</c:v>
                </c:pt>
                <c:pt idx="10">
                  <c:v>7.8774534566617926E-2</c:v>
                </c:pt>
                <c:pt idx="11">
                  <c:v>8.6930196112816979E-2</c:v>
                </c:pt>
                <c:pt idx="12">
                  <c:v>9.4611375327338265E-2</c:v>
                </c:pt>
                <c:pt idx="13">
                  <c:v>0.10351306421659272</c:v>
                </c:pt>
                <c:pt idx="14">
                  <c:v>0.1120427395715396</c:v>
                </c:pt>
                <c:pt idx="15">
                  <c:v>0.12108497512997747</c:v>
                </c:pt>
                <c:pt idx="16">
                  <c:v>0.13055840160571053</c:v>
                </c:pt>
                <c:pt idx="17">
                  <c:v>0.14252405228460763</c:v>
                </c:pt>
                <c:pt idx="18">
                  <c:v>0.154695432920475</c:v>
                </c:pt>
                <c:pt idx="19">
                  <c:v>0.16578175224167085</c:v>
                </c:pt>
                <c:pt idx="20">
                  <c:v>0.17915364901595343</c:v>
                </c:pt>
                <c:pt idx="21">
                  <c:v>0.19352503670362006</c:v>
                </c:pt>
                <c:pt idx="22">
                  <c:v>0.20646375580929743</c:v>
                </c:pt>
                <c:pt idx="23">
                  <c:v>0.22088786316876227</c:v>
                </c:pt>
                <c:pt idx="24">
                  <c:v>0.23793472815818972</c:v>
                </c:pt>
                <c:pt idx="25">
                  <c:v>0.25940773802529482</c:v>
                </c:pt>
                <c:pt idx="26">
                  <c:v>0.27668737052530495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F7-4034-B349-C0F494EC4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Paths'!$C$240</c15:sqref>
                        </c15:formulaRef>
                      </c:ext>
                    </c:extLst>
                    <c:strCache>
                      <c:ptCount val="1"/>
                      <c:pt idx="0">
                        <c:v> Year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Paths'!$C$241:$C$269</c15:sqref>
                        </c15:fullRef>
                        <c15:formulaRef>
                          <c15:sqref>'Model 1 - Inv &amp; GDP Paths'!$C$242:$C$269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95F7-4034-B349-C0F494EC463C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Paths'!$G$240</c15:sqref>
                        </c15:formulaRef>
                      </c:ext>
                    </c:extLst>
                    <c:strCache>
                      <c:ptCount val="1"/>
                      <c:pt idx="0">
                        <c:v> Transformative (P10)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Paths'!$G$241:$G$269</c15:sqref>
                        </c15:fullRef>
                        <c15:formulaRef>
                          <c15:sqref>'Model 1 - Inv &amp; GDP Paths'!$G$242:$G$269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0.19714109726163564</c:v>
                      </c:pt>
                      <c:pt idx="8">
                        <c:v>0.19714109726163564</c:v>
                      </c:pt>
                      <c:pt idx="9">
                        <c:v>0.19714109726163564</c:v>
                      </c:pt>
                      <c:pt idx="10">
                        <c:v>0.19714109726163564</c:v>
                      </c:pt>
                      <c:pt idx="11">
                        <c:v>0.19714109726163564</c:v>
                      </c:pt>
                      <c:pt idx="12">
                        <c:v>0.19714109726163564</c:v>
                      </c:pt>
                      <c:pt idx="13">
                        <c:v>0.19714109726163564</c:v>
                      </c:pt>
                      <c:pt idx="14">
                        <c:v>0.19714109726163564</c:v>
                      </c:pt>
                      <c:pt idx="15">
                        <c:v>0.19714109726163564</c:v>
                      </c:pt>
                      <c:pt idx="16">
                        <c:v>0.19714109726163564</c:v>
                      </c:pt>
                      <c:pt idx="17">
                        <c:v>0.19714109726163564</c:v>
                      </c:pt>
                      <c:pt idx="18">
                        <c:v>0.19714109726163564</c:v>
                      </c:pt>
                      <c:pt idx="19">
                        <c:v>0.19714109726163564</c:v>
                      </c:pt>
                      <c:pt idx="20">
                        <c:v>0.19714109726163564</c:v>
                      </c:pt>
                      <c:pt idx="21">
                        <c:v>0.19714109726163564</c:v>
                      </c:pt>
                      <c:pt idx="22">
                        <c:v>0.19714109726163564</c:v>
                      </c:pt>
                      <c:pt idx="23">
                        <c:v>0.19714109726163564</c:v>
                      </c:pt>
                      <c:pt idx="24">
                        <c:v>0.19714109726163564</c:v>
                      </c:pt>
                      <c:pt idx="25">
                        <c:v>0.19714109726163564</c:v>
                      </c:pt>
                      <c:pt idx="26">
                        <c:v>0.19714109726163564</c:v>
                      </c:pt>
                      <c:pt idx="27">
                        <c:v>0.19714109726163564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5F7-4034-B349-C0F494EC463C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Paths'!$H$240</c15:sqref>
                        </c15:formulaRef>
                      </c:ext>
                    </c:extLst>
                    <c:strCache>
                      <c:ptCount val="1"/>
                      <c:pt idx="0">
                        <c:v> Transformative (P90 - 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Paths'!$H$241:$H$269</c15:sqref>
                        </c15:fullRef>
                        <c15:formulaRef>
                          <c15:sqref>'Model 1 - Inv &amp; GDP Paths'!$H$242:$H$269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0.38521151168969259</c:v>
                      </c:pt>
                      <c:pt idx="10">
                        <c:v>0.38521151168969259</c:v>
                      </c:pt>
                      <c:pt idx="11">
                        <c:v>0.38521151168969259</c:v>
                      </c:pt>
                      <c:pt idx="12">
                        <c:v>0.38521151168969259</c:v>
                      </c:pt>
                      <c:pt idx="13">
                        <c:v>0.38521151168969259</c:v>
                      </c:pt>
                      <c:pt idx="14">
                        <c:v>0.38521151168969259</c:v>
                      </c:pt>
                      <c:pt idx="15">
                        <c:v>0.38521151168969259</c:v>
                      </c:pt>
                      <c:pt idx="16">
                        <c:v>0.38521151168969259</c:v>
                      </c:pt>
                      <c:pt idx="17">
                        <c:v>0.38521151168969259</c:v>
                      </c:pt>
                      <c:pt idx="18">
                        <c:v>0.38521151168969259</c:v>
                      </c:pt>
                      <c:pt idx="19">
                        <c:v>0.38521151168969259</c:v>
                      </c:pt>
                      <c:pt idx="20">
                        <c:v>1.4208446726102759</c:v>
                      </c:pt>
                      <c:pt idx="21">
                        <c:v>1.4208446726102759</c:v>
                      </c:pt>
                      <c:pt idx="22">
                        <c:v>1.4208446726102759</c:v>
                      </c:pt>
                      <c:pt idx="23">
                        <c:v>1.4208446726102759</c:v>
                      </c:pt>
                      <c:pt idx="24">
                        <c:v>1.4208446726102759</c:v>
                      </c:pt>
                      <c:pt idx="25">
                        <c:v>1.4208446726102759</c:v>
                      </c:pt>
                      <c:pt idx="26">
                        <c:v>1.4208446726102759</c:v>
                      </c:pt>
                      <c:pt idx="27">
                        <c:v>1.4208446726102759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5F7-4034-B349-C0F494EC463C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Paths'!$I$240</c15:sqref>
                        </c15:formulaRef>
                      </c:ext>
                    </c:extLst>
                    <c:strCache>
                      <c:ptCount val="1"/>
                      <c:pt idx="0">
                        <c:v> Transformative (Mean) 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Paths'!$I$241:$I$269</c15:sqref>
                        </c15:fullRef>
                        <c15:formulaRef>
                          <c15:sqref>'Model 1 - Inv &amp; GDP Paths'!$I$242:$I$269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0.16415609695538524</c:v>
                      </c:pt>
                      <c:pt idx="7">
                        <c:v>0.21281920578744001</c:v>
                      </c:pt>
                      <c:pt idx="8">
                        <c:v>0.22863496085981533</c:v>
                      </c:pt>
                      <c:pt idx="9">
                        <c:v>0.24568077595889509</c:v>
                      </c:pt>
                      <c:pt idx="10">
                        <c:v>0.26084983723538269</c:v>
                      </c:pt>
                      <c:pt idx="11">
                        <c:v>0.27865397914865259</c:v>
                      </c:pt>
                      <c:pt idx="12">
                        <c:v>0.29749375422284335</c:v>
                      </c:pt>
                      <c:pt idx="13">
                        <c:v>0.31989657807650668</c:v>
                      </c:pt>
                      <c:pt idx="14">
                        <c:v>0.34243340625691326</c:v>
                      </c:pt>
                      <c:pt idx="15">
                        <c:v>0.36696400258215656</c:v>
                      </c:pt>
                      <c:pt idx="16">
                        <c:v>0.39352148109407881</c:v>
                      </c:pt>
                      <c:pt idx="17">
                        <c:v>0.42219494628152276</c:v>
                      </c:pt>
                      <c:pt idx="18">
                        <c:v>0.45071357423796071</c:v>
                      </c:pt>
                      <c:pt idx="19">
                        <c:v>0.48708445729558497</c:v>
                      </c:pt>
                      <c:pt idx="20">
                        <c:v>0.52508510385239271</c:v>
                      </c:pt>
                      <c:pt idx="21">
                        <c:v>0.56124905425791627</c:v>
                      </c:pt>
                      <c:pt idx="22">
                        <c:v>0.60025656489282309</c:v>
                      </c:pt>
                      <c:pt idx="23">
                        <c:v>0.64901380975047962</c:v>
                      </c:pt>
                      <c:pt idx="24">
                        <c:v>0.69416825507390811</c:v>
                      </c:pt>
                      <c:pt idx="25">
                        <c:v>0.75285529813368712</c:v>
                      </c:pt>
                      <c:pt idx="26">
                        <c:v>0.81056372758329165</c:v>
                      </c:pt>
                      <c:pt idx="27">
                        <c:v>0.86956817399702646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5F7-4034-B349-C0F494EC463C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Paths'!$J$240</c15:sqref>
                        </c15:formulaRef>
                      </c:ext>
                    </c:extLst>
                    <c:strCache>
                      <c:ptCount val="1"/>
                      <c:pt idx="0">
                        <c:v> Singularity (P10)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Paths'!$J$241:$J$269</c15:sqref>
                        </c15:fullRef>
                        <c15:formulaRef>
                          <c15:sqref>'Model 1 - Inv &amp; GDP Paths'!$J$242:$J$269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0.58235260895132823</c:v>
                      </c:pt>
                      <c:pt idx="8">
                        <c:v>0.58235260895132823</c:v>
                      </c:pt>
                      <c:pt idx="9">
                        <c:v>0.58235260895132823</c:v>
                      </c:pt>
                      <c:pt idx="10">
                        <c:v>0.58235260895132823</c:v>
                      </c:pt>
                      <c:pt idx="11">
                        <c:v>0.58235260895132823</c:v>
                      </c:pt>
                      <c:pt idx="12">
                        <c:v>0.58235260895132823</c:v>
                      </c:pt>
                      <c:pt idx="13">
                        <c:v>0.58235260895132823</c:v>
                      </c:pt>
                      <c:pt idx="14">
                        <c:v>0.58235260895132823</c:v>
                      </c:pt>
                      <c:pt idx="15">
                        <c:v>0.58235260895132823</c:v>
                      </c:pt>
                      <c:pt idx="16">
                        <c:v>0.58235260895132823</c:v>
                      </c:pt>
                      <c:pt idx="17">
                        <c:v>0.58235260895132823</c:v>
                      </c:pt>
                      <c:pt idx="18">
                        <c:v>0.58235260895132823</c:v>
                      </c:pt>
                      <c:pt idx="19">
                        <c:v>0.58235260895132823</c:v>
                      </c:pt>
                      <c:pt idx="20">
                        <c:v>0.58235260895132823</c:v>
                      </c:pt>
                      <c:pt idx="21">
                        <c:v>0.58235260895132823</c:v>
                      </c:pt>
                      <c:pt idx="22">
                        <c:v>0.58235260895132823</c:v>
                      </c:pt>
                      <c:pt idx="23">
                        <c:v>0.58235260895132823</c:v>
                      </c:pt>
                      <c:pt idx="24">
                        <c:v>0.58235260895132823</c:v>
                      </c:pt>
                      <c:pt idx="25">
                        <c:v>0.58235260895132823</c:v>
                      </c:pt>
                      <c:pt idx="26">
                        <c:v>0.58235260895132823</c:v>
                      </c:pt>
                      <c:pt idx="27">
                        <c:v>0.58235260895132823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5F7-4034-B349-C0F494EC463C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Paths'!$K$240</c15:sqref>
                        </c15:formulaRef>
                      </c:ext>
                    </c:extLst>
                    <c:strCache>
                      <c:ptCount val="1"/>
                      <c:pt idx="0">
                        <c:v> Singularity (P90 - 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Paths'!$K$241:$K$269</c15:sqref>
                        </c15:fullRef>
                        <c15:formulaRef>
                          <c15:sqref>'Model 1 - Inv &amp; GDP Paths'!$K$242:$K$269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1.0356331609205833</c:v>
                      </c:pt>
                      <c:pt idx="10">
                        <c:v>1.0356331609205833</c:v>
                      </c:pt>
                      <c:pt idx="11">
                        <c:v>1.0356331609205833</c:v>
                      </c:pt>
                      <c:pt idx="12">
                        <c:v>1.0356331609205833</c:v>
                      </c:pt>
                      <c:pt idx="13">
                        <c:v>1.0356331609205833</c:v>
                      </c:pt>
                      <c:pt idx="14">
                        <c:v>1.0356331609205833</c:v>
                      </c:pt>
                      <c:pt idx="15">
                        <c:v>1.0356331609205833</c:v>
                      </c:pt>
                      <c:pt idx="16">
                        <c:v>1.0356331609205833</c:v>
                      </c:pt>
                      <c:pt idx="17">
                        <c:v>1.0356331609205833</c:v>
                      </c:pt>
                      <c:pt idx="18">
                        <c:v>1.0356331609205833</c:v>
                      </c:pt>
                      <c:pt idx="19">
                        <c:v>1.0356331609205833</c:v>
                      </c:pt>
                      <c:pt idx="20">
                        <c:v>3.8199114377918666</c:v>
                      </c:pt>
                      <c:pt idx="21">
                        <c:v>3.8199114377918666</c:v>
                      </c:pt>
                      <c:pt idx="22">
                        <c:v>3.8199114377918666</c:v>
                      </c:pt>
                      <c:pt idx="23">
                        <c:v>3.8199114377918666</c:v>
                      </c:pt>
                      <c:pt idx="24">
                        <c:v>3.8199114377918666</c:v>
                      </c:pt>
                      <c:pt idx="25">
                        <c:v>3.8199114377918666</c:v>
                      </c:pt>
                      <c:pt idx="26">
                        <c:v>3.8199114377918666</c:v>
                      </c:pt>
                      <c:pt idx="27">
                        <c:v>3.8199114377918666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5F7-4034-B349-C0F494EC463C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Paths'!$L$240</c15:sqref>
                        </c15:formulaRef>
                      </c:ext>
                    </c:extLst>
                    <c:strCache>
                      <c:ptCount val="1"/>
                      <c:pt idx="0">
                        <c:v> Singularity (Mean) 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Paths'!$L$241:$L$269</c15:sqref>
                        </c15:fullRef>
                        <c15:formulaRef>
                          <c15:sqref>'Model 1 - Inv &amp; GDP Paths'!$L$242:$L$269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0.16415609695538524</c:v>
                      </c:pt>
                      <c:pt idx="7">
                        <c:v>0.62491713186521802</c:v>
                      </c:pt>
                      <c:pt idx="8">
                        <c:v>0.67044757452185699</c:v>
                      </c:pt>
                      <c:pt idx="9">
                        <c:v>0.71742952625481726</c:v>
                      </c:pt>
                      <c:pt idx="10">
                        <c:v>0.76728878075036977</c:v>
                      </c:pt>
                      <c:pt idx="11">
                        <c:v>0.82383308796490906</c:v>
                      </c:pt>
                      <c:pt idx="12">
                        <c:v>0.87939623594010607</c:v>
                      </c:pt>
                      <c:pt idx="13">
                        <c:v>0.9347378688352268</c:v>
                      </c:pt>
                      <c:pt idx="14">
                        <c:v>1.0075449413581636</c:v>
                      </c:pt>
                      <c:pt idx="15">
                        <c:v>1.0798229991102901</c:v>
                      </c:pt>
                      <c:pt idx="16">
                        <c:v>1.1515056506429</c:v>
                      </c:pt>
                      <c:pt idx="17">
                        <c:v>1.2165295410988335</c:v>
                      </c:pt>
                      <c:pt idx="18">
                        <c:v>1.3001384514996315</c:v>
                      </c:pt>
                      <c:pt idx="19">
                        <c:v>1.3926209690152063</c:v>
                      </c:pt>
                      <c:pt idx="20">
                        <c:v>1.5023248153975046</c:v>
                      </c:pt>
                      <c:pt idx="21">
                        <c:v>1.6041926943570006</c:v>
                      </c:pt>
                      <c:pt idx="22">
                        <c:v>1.7179139590474501</c:v>
                      </c:pt>
                      <c:pt idx="23">
                        <c:v>1.8099465776755321</c:v>
                      </c:pt>
                      <c:pt idx="24">
                        <c:v>1.937356084069199</c:v>
                      </c:pt>
                      <c:pt idx="25">
                        <c:v>2.0790283621938102</c:v>
                      </c:pt>
                      <c:pt idx="26">
                        <c:v>2.2103627713258418</c:v>
                      </c:pt>
                      <c:pt idx="27">
                        <c:v>2.3508743346509209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5F7-4034-B349-C0F494EC463C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Transformative</a:t>
            </a:r>
            <a:r>
              <a:rPr lang="en-US" baseline="0"/>
              <a:t> - Cumulative GDP Growth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4"/>
          <c:order val="4"/>
          <c:tx>
            <c:strRef>
              <c:f>'Model 1 - Inv &amp; GDP Paths'!$G$240</c:f>
              <c:strCache>
                <c:ptCount val="1"/>
                <c:pt idx="0">
                  <c:v> Transformative (P10) </c:v>
                </c:pt>
              </c:strCache>
              <c:extLst xmlns:c15="http://schemas.microsoft.com/office/drawing/2012/chart"/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Paths'!$G$241:$G$269</c15:sqref>
                  </c15:fullRef>
                </c:ext>
              </c:extLst>
              <c:f>'Model 1 - Inv &amp; GDP Paths'!$G$242:$G$269</c:f>
              <c:numCache>
                <c:formatCode>0.00%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0.19714109726163564</c:v>
                </c:pt>
                <c:pt idx="8">
                  <c:v>0.19714109726163564</c:v>
                </c:pt>
                <c:pt idx="9">
                  <c:v>0.19714109726163564</c:v>
                </c:pt>
                <c:pt idx="10">
                  <c:v>0.19714109726163564</c:v>
                </c:pt>
                <c:pt idx="11">
                  <c:v>0.19714109726163564</c:v>
                </c:pt>
                <c:pt idx="12">
                  <c:v>0.19714109726163564</c:v>
                </c:pt>
                <c:pt idx="13">
                  <c:v>0.19714109726163564</c:v>
                </c:pt>
                <c:pt idx="14">
                  <c:v>0.19714109726163564</c:v>
                </c:pt>
                <c:pt idx="15">
                  <c:v>0.19714109726163564</c:v>
                </c:pt>
                <c:pt idx="16">
                  <c:v>0.19714109726163564</c:v>
                </c:pt>
                <c:pt idx="17">
                  <c:v>0.19714109726163564</c:v>
                </c:pt>
                <c:pt idx="18">
                  <c:v>0.19714109726163564</c:v>
                </c:pt>
                <c:pt idx="19">
                  <c:v>0.19714109726163564</c:v>
                </c:pt>
                <c:pt idx="20">
                  <c:v>0.19714109726163564</c:v>
                </c:pt>
                <c:pt idx="21">
                  <c:v>0.19714109726163564</c:v>
                </c:pt>
                <c:pt idx="22">
                  <c:v>0.19714109726163564</c:v>
                </c:pt>
                <c:pt idx="23">
                  <c:v>0.19714109726163564</c:v>
                </c:pt>
                <c:pt idx="24">
                  <c:v>0.19714109726163564</c:v>
                </c:pt>
                <c:pt idx="25">
                  <c:v>0.19714109726163564</c:v>
                </c:pt>
                <c:pt idx="26">
                  <c:v>0.19714109726163564</c:v>
                </c:pt>
                <c:pt idx="27">
                  <c:v>0.19714109726163564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0E4F-45D7-BAC2-CDF62A14EDDF}"/>
            </c:ext>
          </c:extLst>
        </c:ser>
        <c:ser>
          <c:idx val="5"/>
          <c:order val="5"/>
          <c:tx>
            <c:v>10th-90th Percentile</c:v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Paths'!$H$241:$H$268</c15:sqref>
                  </c15:fullRef>
                </c:ext>
              </c:extLst>
              <c:f>'Model 1 - Inv &amp; GDP Paths'!$H$242:$H$268</c:f>
              <c:numCache>
                <c:formatCode>0.00%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0.38521151168969259</c:v>
                </c:pt>
                <c:pt idx="10">
                  <c:v>0.38521151168969259</c:v>
                </c:pt>
                <c:pt idx="11">
                  <c:v>0.38521151168969259</c:v>
                </c:pt>
                <c:pt idx="12">
                  <c:v>0.38521151168969259</c:v>
                </c:pt>
                <c:pt idx="13">
                  <c:v>0.38521151168969259</c:v>
                </c:pt>
                <c:pt idx="14">
                  <c:v>0.38521151168969259</c:v>
                </c:pt>
                <c:pt idx="15">
                  <c:v>0.38521151168969259</c:v>
                </c:pt>
                <c:pt idx="16">
                  <c:v>0.38521151168969259</c:v>
                </c:pt>
                <c:pt idx="17">
                  <c:v>0.38521151168969259</c:v>
                </c:pt>
                <c:pt idx="18">
                  <c:v>0.38521151168969259</c:v>
                </c:pt>
                <c:pt idx="19">
                  <c:v>0.38521151168969259</c:v>
                </c:pt>
                <c:pt idx="20">
                  <c:v>1.4208446726102759</c:v>
                </c:pt>
                <c:pt idx="21">
                  <c:v>1.4208446726102759</c:v>
                </c:pt>
                <c:pt idx="22">
                  <c:v>1.4208446726102759</c:v>
                </c:pt>
                <c:pt idx="23">
                  <c:v>1.4208446726102759</c:v>
                </c:pt>
                <c:pt idx="24">
                  <c:v>1.4208446726102759</c:v>
                </c:pt>
                <c:pt idx="25">
                  <c:v>1.4208446726102759</c:v>
                </c:pt>
                <c:pt idx="26">
                  <c:v>1.4208446726102759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E4F-45D7-BAC2-CDF62A14E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'Model 1 - Inv &amp; GDP Paths'!$D$240</c15:sqref>
                        </c15:formulaRef>
                      </c:ext>
                    </c:extLst>
                    <c:strCache>
                      <c:ptCount val="1"/>
                      <c:pt idx="0">
                        <c:v> Moderate (P10) </c:v>
                      </c:pt>
                    </c:strCache>
                  </c:strRef>
                </c:tx>
                <c:spPr>
                  <a:noFill/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Paths'!$D$241:$D$269</c15:sqref>
                        </c15:fullRef>
                        <c15:formulaRef>
                          <c15:sqref>'Model 1 - Inv &amp; GDP Paths'!$D$242:$D$269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5.3858790033896042E-2</c:v>
                      </c:pt>
                      <c:pt idx="8">
                        <c:v>5.3858790033896042E-2</c:v>
                      </c:pt>
                      <c:pt idx="9">
                        <c:v>5.3858790033896042E-2</c:v>
                      </c:pt>
                      <c:pt idx="10">
                        <c:v>5.3858790033896042E-2</c:v>
                      </c:pt>
                      <c:pt idx="11">
                        <c:v>5.3858790033896042E-2</c:v>
                      </c:pt>
                      <c:pt idx="12">
                        <c:v>5.3858790033896042E-2</c:v>
                      </c:pt>
                      <c:pt idx="13">
                        <c:v>5.3858790033896042E-2</c:v>
                      </c:pt>
                      <c:pt idx="14">
                        <c:v>5.3858790033896042E-2</c:v>
                      </c:pt>
                      <c:pt idx="15">
                        <c:v>5.3858790033896042E-2</c:v>
                      </c:pt>
                      <c:pt idx="16">
                        <c:v>5.3858790033896042E-2</c:v>
                      </c:pt>
                      <c:pt idx="17">
                        <c:v>5.3858790033896042E-2</c:v>
                      </c:pt>
                      <c:pt idx="18">
                        <c:v>5.3858790033896042E-2</c:v>
                      </c:pt>
                      <c:pt idx="19">
                        <c:v>5.3858790033896042E-2</c:v>
                      </c:pt>
                      <c:pt idx="20">
                        <c:v>5.3858790033896042E-2</c:v>
                      </c:pt>
                      <c:pt idx="21">
                        <c:v>5.3858790033896042E-2</c:v>
                      </c:pt>
                      <c:pt idx="22">
                        <c:v>5.3858790033896042E-2</c:v>
                      </c:pt>
                      <c:pt idx="23">
                        <c:v>5.3858790033896042E-2</c:v>
                      </c:pt>
                      <c:pt idx="24">
                        <c:v>5.3858790033896042E-2</c:v>
                      </c:pt>
                      <c:pt idx="25">
                        <c:v>5.3858790033896042E-2</c:v>
                      </c:pt>
                      <c:pt idx="26">
                        <c:v>5.3858790033896042E-2</c:v>
                      </c:pt>
                      <c:pt idx="27">
                        <c:v>5.3858790033896042E-2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0E4F-45D7-BAC2-CDF62A14EDDF}"/>
                  </c:ext>
                </c:extLst>
              </c15:ser>
            </c15:filteredAreaSeries>
            <c15:filteredAreaSeries>
              <c15:ser>
                <c:idx val="2"/>
                <c:order val="2"/>
                <c:tx>
                  <c:v>10th-90th Percentile</c:v>
                </c:tx>
                <c:spPr>
                  <a:solidFill>
                    <a:schemeClr val="tx2">
                      <a:lumMod val="60000"/>
                      <a:lumOff val="40000"/>
                      <a:alpha val="27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Paths'!$E$241:$E$268</c15:sqref>
                        </c15:fullRef>
                        <c15:formulaRef>
                          <c15:sqref>'Model 1 - Inv &amp; GDP Paths'!$E$242:$E$268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0.1432823072277396</c:v>
                      </c:pt>
                      <c:pt idx="10">
                        <c:v>0.1432823072277396</c:v>
                      </c:pt>
                      <c:pt idx="11">
                        <c:v>0.1432823072277396</c:v>
                      </c:pt>
                      <c:pt idx="12">
                        <c:v>0.1432823072277396</c:v>
                      </c:pt>
                      <c:pt idx="13">
                        <c:v>0.1432823072277396</c:v>
                      </c:pt>
                      <c:pt idx="14">
                        <c:v>0.1432823072277396</c:v>
                      </c:pt>
                      <c:pt idx="15">
                        <c:v>0.1432823072277396</c:v>
                      </c:pt>
                      <c:pt idx="16">
                        <c:v>0.1432823072277396</c:v>
                      </c:pt>
                      <c:pt idx="17">
                        <c:v>0.1432823072277396</c:v>
                      </c:pt>
                      <c:pt idx="18">
                        <c:v>0.1432823072277396</c:v>
                      </c:pt>
                      <c:pt idx="19">
                        <c:v>0.1432823072277396</c:v>
                      </c:pt>
                      <c:pt idx="20">
                        <c:v>0.52849381891743219</c:v>
                      </c:pt>
                      <c:pt idx="21">
                        <c:v>0.52849381891743219</c:v>
                      </c:pt>
                      <c:pt idx="22">
                        <c:v>0.52849381891743219</c:v>
                      </c:pt>
                      <c:pt idx="23">
                        <c:v>0.52849381891743219</c:v>
                      </c:pt>
                      <c:pt idx="24">
                        <c:v>0.52849381891743219</c:v>
                      </c:pt>
                      <c:pt idx="25">
                        <c:v>0.52849381891743219</c:v>
                      </c:pt>
                      <c:pt idx="26">
                        <c:v>0.52849381891743219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E4F-45D7-BAC2-CDF62A14EDDF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6"/>
          <c:order val="6"/>
          <c:tx>
            <c:v>Mean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Paths'!$I$241:$I$268</c15:sqref>
                  </c15:fullRef>
                </c:ext>
              </c:extLst>
              <c:f>'Model 1 - Inv &amp; GDP Paths'!$I$242:$I$268</c:f>
              <c:numCache>
                <c:formatCode>0.00%</c:formatCode>
                <c:ptCount val="27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0.16415609695538524</c:v>
                </c:pt>
                <c:pt idx="7">
                  <c:v>0.21281920578744001</c:v>
                </c:pt>
                <c:pt idx="8">
                  <c:v>0.22863496085981533</c:v>
                </c:pt>
                <c:pt idx="9">
                  <c:v>0.24568077595889509</c:v>
                </c:pt>
                <c:pt idx="10">
                  <c:v>0.26084983723538269</c:v>
                </c:pt>
                <c:pt idx="11">
                  <c:v>0.27865397914865259</c:v>
                </c:pt>
                <c:pt idx="12">
                  <c:v>0.29749375422284335</c:v>
                </c:pt>
                <c:pt idx="13">
                  <c:v>0.31989657807650668</c:v>
                </c:pt>
                <c:pt idx="14">
                  <c:v>0.34243340625691326</c:v>
                </c:pt>
                <c:pt idx="15">
                  <c:v>0.36696400258215656</c:v>
                </c:pt>
                <c:pt idx="16">
                  <c:v>0.39352148109407881</c:v>
                </c:pt>
                <c:pt idx="17">
                  <c:v>0.42219494628152276</c:v>
                </c:pt>
                <c:pt idx="18">
                  <c:v>0.45071357423796071</c:v>
                </c:pt>
                <c:pt idx="19">
                  <c:v>0.48708445729558497</c:v>
                </c:pt>
                <c:pt idx="20">
                  <c:v>0.52508510385239271</c:v>
                </c:pt>
                <c:pt idx="21">
                  <c:v>0.56124905425791627</c:v>
                </c:pt>
                <c:pt idx="22">
                  <c:v>0.60025656489282309</c:v>
                </c:pt>
                <c:pt idx="23">
                  <c:v>0.64901380975047962</c:v>
                </c:pt>
                <c:pt idx="24">
                  <c:v>0.69416825507390811</c:v>
                </c:pt>
                <c:pt idx="25">
                  <c:v>0.75285529813368712</c:v>
                </c:pt>
                <c:pt idx="26">
                  <c:v>0.81056372758329165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E4F-45D7-BAC2-CDF62A14E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Paths'!$C$240</c15:sqref>
                        </c15:formulaRef>
                      </c:ext>
                    </c:extLst>
                    <c:strCache>
                      <c:ptCount val="1"/>
                      <c:pt idx="0">
                        <c:v> Year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Paths'!$C$241:$C$269</c15:sqref>
                        </c15:fullRef>
                        <c15:formulaRef>
                          <c15:sqref>'Model 1 - Inv &amp; GDP Paths'!$C$242:$C$269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E4F-45D7-BAC2-CDF62A14EDDF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Mean</c:v>
                </c:tx>
                <c:spPr>
                  <a:ln w="28575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Paths'!$F$241:$F$268</c15:sqref>
                        </c15:fullRef>
                        <c15:formulaRef>
                          <c15:sqref>'Model 1 - Inv &amp; GDP Paths'!$F$242:$F$268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6.9935590906174294E-2</c:v>
                      </c:pt>
                      <c:pt idx="7">
                        <c:v>5.9303517708545382E-2</c:v>
                      </c:pt>
                      <c:pt idx="8">
                        <c:v>6.5203447330681841E-2</c:v>
                      </c:pt>
                      <c:pt idx="9">
                        <c:v>7.1998743389561359E-2</c:v>
                      </c:pt>
                      <c:pt idx="10">
                        <c:v>7.8774534566617926E-2</c:v>
                      </c:pt>
                      <c:pt idx="11">
                        <c:v>8.6930196112816979E-2</c:v>
                      </c:pt>
                      <c:pt idx="12">
                        <c:v>9.4611375327338265E-2</c:v>
                      </c:pt>
                      <c:pt idx="13">
                        <c:v>0.10351306421659272</c:v>
                      </c:pt>
                      <c:pt idx="14">
                        <c:v>0.1120427395715396</c:v>
                      </c:pt>
                      <c:pt idx="15">
                        <c:v>0.12108497512997747</c:v>
                      </c:pt>
                      <c:pt idx="16">
                        <c:v>0.13055840160571053</c:v>
                      </c:pt>
                      <c:pt idx="17">
                        <c:v>0.14252405228460763</c:v>
                      </c:pt>
                      <c:pt idx="18">
                        <c:v>0.154695432920475</c:v>
                      </c:pt>
                      <c:pt idx="19">
                        <c:v>0.16578175224167085</c:v>
                      </c:pt>
                      <c:pt idx="20">
                        <c:v>0.17915364901595343</c:v>
                      </c:pt>
                      <c:pt idx="21">
                        <c:v>0.19352503670362006</c:v>
                      </c:pt>
                      <c:pt idx="22">
                        <c:v>0.20646375580929743</c:v>
                      </c:pt>
                      <c:pt idx="23">
                        <c:v>0.22088786316876227</c:v>
                      </c:pt>
                      <c:pt idx="24">
                        <c:v>0.23793472815818972</c:v>
                      </c:pt>
                      <c:pt idx="25">
                        <c:v>0.25940773802529482</c:v>
                      </c:pt>
                      <c:pt idx="26">
                        <c:v>0.27668737052530495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E4F-45D7-BAC2-CDF62A14EDDF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Paths'!$J$240</c15:sqref>
                        </c15:formulaRef>
                      </c:ext>
                    </c:extLst>
                    <c:strCache>
                      <c:ptCount val="1"/>
                      <c:pt idx="0">
                        <c:v> Singularity (P10)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Paths'!$J$241:$J$269</c15:sqref>
                        </c15:fullRef>
                        <c15:formulaRef>
                          <c15:sqref>'Model 1 - Inv &amp; GDP Paths'!$J$242:$J$269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0.58235260895132823</c:v>
                      </c:pt>
                      <c:pt idx="8">
                        <c:v>0.58235260895132823</c:v>
                      </c:pt>
                      <c:pt idx="9">
                        <c:v>0.58235260895132823</c:v>
                      </c:pt>
                      <c:pt idx="10">
                        <c:v>0.58235260895132823</c:v>
                      </c:pt>
                      <c:pt idx="11">
                        <c:v>0.58235260895132823</c:v>
                      </c:pt>
                      <c:pt idx="12">
                        <c:v>0.58235260895132823</c:v>
                      </c:pt>
                      <c:pt idx="13">
                        <c:v>0.58235260895132823</c:v>
                      </c:pt>
                      <c:pt idx="14">
                        <c:v>0.58235260895132823</c:v>
                      </c:pt>
                      <c:pt idx="15">
                        <c:v>0.58235260895132823</c:v>
                      </c:pt>
                      <c:pt idx="16">
                        <c:v>0.58235260895132823</c:v>
                      </c:pt>
                      <c:pt idx="17">
                        <c:v>0.58235260895132823</c:v>
                      </c:pt>
                      <c:pt idx="18">
                        <c:v>0.58235260895132823</c:v>
                      </c:pt>
                      <c:pt idx="19">
                        <c:v>0.58235260895132823</c:v>
                      </c:pt>
                      <c:pt idx="20">
                        <c:v>0.58235260895132823</c:v>
                      </c:pt>
                      <c:pt idx="21">
                        <c:v>0.58235260895132823</c:v>
                      </c:pt>
                      <c:pt idx="22">
                        <c:v>0.58235260895132823</c:v>
                      </c:pt>
                      <c:pt idx="23">
                        <c:v>0.58235260895132823</c:v>
                      </c:pt>
                      <c:pt idx="24">
                        <c:v>0.58235260895132823</c:v>
                      </c:pt>
                      <c:pt idx="25">
                        <c:v>0.58235260895132823</c:v>
                      </c:pt>
                      <c:pt idx="26">
                        <c:v>0.58235260895132823</c:v>
                      </c:pt>
                      <c:pt idx="27">
                        <c:v>0.58235260895132823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E4F-45D7-BAC2-CDF62A14EDDF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Paths'!$K$240</c15:sqref>
                        </c15:formulaRef>
                      </c:ext>
                    </c:extLst>
                    <c:strCache>
                      <c:ptCount val="1"/>
                      <c:pt idx="0">
                        <c:v> Singularity (P90 - 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Paths'!$K$241:$K$269</c15:sqref>
                        </c15:fullRef>
                        <c15:formulaRef>
                          <c15:sqref>'Model 1 - Inv &amp; GDP Paths'!$K$242:$K$269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1.0356331609205833</c:v>
                      </c:pt>
                      <c:pt idx="10">
                        <c:v>1.0356331609205833</c:v>
                      </c:pt>
                      <c:pt idx="11">
                        <c:v>1.0356331609205833</c:v>
                      </c:pt>
                      <c:pt idx="12">
                        <c:v>1.0356331609205833</c:v>
                      </c:pt>
                      <c:pt idx="13">
                        <c:v>1.0356331609205833</c:v>
                      </c:pt>
                      <c:pt idx="14">
                        <c:v>1.0356331609205833</c:v>
                      </c:pt>
                      <c:pt idx="15">
                        <c:v>1.0356331609205833</c:v>
                      </c:pt>
                      <c:pt idx="16">
                        <c:v>1.0356331609205833</c:v>
                      </c:pt>
                      <c:pt idx="17">
                        <c:v>1.0356331609205833</c:v>
                      </c:pt>
                      <c:pt idx="18">
                        <c:v>1.0356331609205833</c:v>
                      </c:pt>
                      <c:pt idx="19">
                        <c:v>1.0356331609205833</c:v>
                      </c:pt>
                      <c:pt idx="20">
                        <c:v>3.8199114377918666</c:v>
                      </c:pt>
                      <c:pt idx="21">
                        <c:v>3.8199114377918666</c:v>
                      </c:pt>
                      <c:pt idx="22">
                        <c:v>3.8199114377918666</c:v>
                      </c:pt>
                      <c:pt idx="23">
                        <c:v>3.8199114377918666</c:v>
                      </c:pt>
                      <c:pt idx="24">
                        <c:v>3.8199114377918666</c:v>
                      </c:pt>
                      <c:pt idx="25">
                        <c:v>3.8199114377918666</c:v>
                      </c:pt>
                      <c:pt idx="26">
                        <c:v>3.8199114377918666</c:v>
                      </c:pt>
                      <c:pt idx="27">
                        <c:v>3.8199114377918666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E4F-45D7-BAC2-CDF62A14EDDF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Paths'!$L$240</c15:sqref>
                        </c15:formulaRef>
                      </c:ext>
                    </c:extLst>
                    <c:strCache>
                      <c:ptCount val="1"/>
                      <c:pt idx="0">
                        <c:v> Singularity (Mean) 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Paths'!$L$241:$L$269</c15:sqref>
                        </c15:fullRef>
                        <c15:formulaRef>
                          <c15:sqref>'Model 1 - Inv &amp; GDP Paths'!$L$242:$L$269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0.16415609695538524</c:v>
                      </c:pt>
                      <c:pt idx="7">
                        <c:v>0.62491713186521802</c:v>
                      </c:pt>
                      <c:pt idx="8">
                        <c:v>0.67044757452185699</c:v>
                      </c:pt>
                      <c:pt idx="9">
                        <c:v>0.71742952625481726</c:v>
                      </c:pt>
                      <c:pt idx="10">
                        <c:v>0.76728878075036977</c:v>
                      </c:pt>
                      <c:pt idx="11">
                        <c:v>0.82383308796490906</c:v>
                      </c:pt>
                      <c:pt idx="12">
                        <c:v>0.87939623594010607</c:v>
                      </c:pt>
                      <c:pt idx="13">
                        <c:v>0.9347378688352268</c:v>
                      </c:pt>
                      <c:pt idx="14">
                        <c:v>1.0075449413581636</c:v>
                      </c:pt>
                      <c:pt idx="15">
                        <c:v>1.0798229991102901</c:v>
                      </c:pt>
                      <c:pt idx="16">
                        <c:v>1.1515056506429</c:v>
                      </c:pt>
                      <c:pt idx="17">
                        <c:v>1.2165295410988335</c:v>
                      </c:pt>
                      <c:pt idx="18">
                        <c:v>1.3001384514996315</c:v>
                      </c:pt>
                      <c:pt idx="19">
                        <c:v>1.3926209690152063</c:v>
                      </c:pt>
                      <c:pt idx="20">
                        <c:v>1.5023248153975046</c:v>
                      </c:pt>
                      <c:pt idx="21">
                        <c:v>1.6041926943570006</c:v>
                      </c:pt>
                      <c:pt idx="22">
                        <c:v>1.7179139590474501</c:v>
                      </c:pt>
                      <c:pt idx="23">
                        <c:v>1.8099465776755321</c:v>
                      </c:pt>
                      <c:pt idx="24">
                        <c:v>1.937356084069199</c:v>
                      </c:pt>
                      <c:pt idx="25">
                        <c:v>2.0790283621938102</c:v>
                      </c:pt>
                      <c:pt idx="26">
                        <c:v>2.2103627713258418</c:v>
                      </c:pt>
                      <c:pt idx="27">
                        <c:v>2.3508743346509209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E4F-45D7-BAC2-CDF62A14EDDF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Singularity</a:t>
            </a:r>
            <a:r>
              <a:rPr lang="en-US" baseline="0"/>
              <a:t> - Cumulative GDP Growth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7"/>
          <c:order val="7"/>
          <c:tx>
            <c:strRef>
              <c:f>'Model 1 - Inv &amp; GDP Paths'!$J$240</c:f>
              <c:strCache>
                <c:ptCount val="1"/>
                <c:pt idx="0">
                  <c:v> Singularity (P10) </c:v>
                </c:pt>
              </c:strCache>
              <c:extLst xmlns:c15="http://schemas.microsoft.com/office/drawing/2012/chart"/>
            </c:strRef>
          </c:tx>
          <c:spPr>
            <a:noFill/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Paths'!$J$241:$J$268</c15:sqref>
                  </c15:fullRef>
                </c:ext>
              </c:extLst>
              <c:f>'Model 1 - Inv &amp; GDP Paths'!$J$242:$J$268</c:f>
              <c:numCache>
                <c:formatCode>0.00%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0.58235260895132823</c:v>
                </c:pt>
                <c:pt idx="8">
                  <c:v>0.58235260895132823</c:v>
                </c:pt>
                <c:pt idx="9">
                  <c:v>0.58235260895132823</c:v>
                </c:pt>
                <c:pt idx="10">
                  <c:v>0.58235260895132823</c:v>
                </c:pt>
                <c:pt idx="11">
                  <c:v>0.58235260895132823</c:v>
                </c:pt>
                <c:pt idx="12">
                  <c:v>0.58235260895132823</c:v>
                </c:pt>
                <c:pt idx="13">
                  <c:v>0.58235260895132823</c:v>
                </c:pt>
                <c:pt idx="14">
                  <c:v>0.58235260895132823</c:v>
                </c:pt>
                <c:pt idx="15">
                  <c:v>0.58235260895132823</c:v>
                </c:pt>
                <c:pt idx="16">
                  <c:v>0.58235260895132823</c:v>
                </c:pt>
                <c:pt idx="17">
                  <c:v>0.58235260895132823</c:v>
                </c:pt>
                <c:pt idx="18">
                  <c:v>0.58235260895132823</c:v>
                </c:pt>
                <c:pt idx="19">
                  <c:v>0.58235260895132823</c:v>
                </c:pt>
                <c:pt idx="20">
                  <c:v>0.58235260895132823</c:v>
                </c:pt>
                <c:pt idx="21">
                  <c:v>0.58235260895132823</c:v>
                </c:pt>
                <c:pt idx="22">
                  <c:v>0.58235260895132823</c:v>
                </c:pt>
                <c:pt idx="23">
                  <c:v>0.58235260895132823</c:v>
                </c:pt>
                <c:pt idx="24">
                  <c:v>0.58235260895132823</c:v>
                </c:pt>
                <c:pt idx="25">
                  <c:v>0.58235260895132823</c:v>
                </c:pt>
                <c:pt idx="26">
                  <c:v>0.58235260895132823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C222-4B8D-A075-441AE174FC3E}"/>
            </c:ext>
          </c:extLst>
        </c:ser>
        <c:ser>
          <c:idx val="8"/>
          <c:order val="8"/>
          <c:tx>
            <c:v>10th-90th Percentile</c:v>
          </c:tx>
          <c:spPr>
            <a:solidFill>
              <a:srgbClr val="C00000">
                <a:alpha val="20000"/>
              </a:srgbClr>
            </a:solidFill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Paths'!$K$241:$K$268</c15:sqref>
                  </c15:fullRef>
                </c:ext>
              </c:extLst>
              <c:f>'Model 1 - Inv &amp; GDP Paths'!$K$242:$K$268</c:f>
              <c:numCache>
                <c:formatCode>0.00%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1.0356331609205833</c:v>
                </c:pt>
                <c:pt idx="10">
                  <c:v>1.0356331609205833</c:v>
                </c:pt>
                <c:pt idx="11">
                  <c:v>1.0356331609205833</c:v>
                </c:pt>
                <c:pt idx="12">
                  <c:v>1.0356331609205833</c:v>
                </c:pt>
                <c:pt idx="13">
                  <c:v>1.0356331609205833</c:v>
                </c:pt>
                <c:pt idx="14">
                  <c:v>1.0356331609205833</c:v>
                </c:pt>
                <c:pt idx="15">
                  <c:v>1.0356331609205833</c:v>
                </c:pt>
                <c:pt idx="16">
                  <c:v>1.0356331609205833</c:v>
                </c:pt>
                <c:pt idx="17">
                  <c:v>1.0356331609205833</c:v>
                </c:pt>
                <c:pt idx="18">
                  <c:v>1.0356331609205833</c:v>
                </c:pt>
                <c:pt idx="19">
                  <c:v>1.0356331609205833</c:v>
                </c:pt>
                <c:pt idx="20">
                  <c:v>3.8199114377918666</c:v>
                </c:pt>
                <c:pt idx="21">
                  <c:v>3.8199114377918666</c:v>
                </c:pt>
                <c:pt idx="22">
                  <c:v>3.8199114377918666</c:v>
                </c:pt>
                <c:pt idx="23">
                  <c:v>3.8199114377918666</c:v>
                </c:pt>
                <c:pt idx="24">
                  <c:v>3.8199114377918666</c:v>
                </c:pt>
                <c:pt idx="25">
                  <c:v>3.8199114377918666</c:v>
                </c:pt>
                <c:pt idx="26">
                  <c:v>3.8199114377918666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C222-4B8D-A075-441AE174F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'Model 1 - Inv &amp; GDP Paths'!$D$240</c15:sqref>
                        </c15:formulaRef>
                      </c:ext>
                    </c:extLst>
                    <c:strCache>
                      <c:ptCount val="1"/>
                      <c:pt idx="0">
                        <c:v> Moderate (P10) </c:v>
                      </c:pt>
                    </c:strCache>
                  </c:strRef>
                </c:tx>
                <c:spPr>
                  <a:noFill/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Paths'!$D$241:$D$269</c15:sqref>
                        </c15:fullRef>
                        <c15:formulaRef>
                          <c15:sqref>'Model 1 - Inv &amp; GDP Paths'!$D$242:$D$269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5.3858790033896042E-2</c:v>
                      </c:pt>
                      <c:pt idx="8">
                        <c:v>5.3858790033896042E-2</c:v>
                      </c:pt>
                      <c:pt idx="9">
                        <c:v>5.3858790033896042E-2</c:v>
                      </c:pt>
                      <c:pt idx="10">
                        <c:v>5.3858790033896042E-2</c:v>
                      </c:pt>
                      <c:pt idx="11">
                        <c:v>5.3858790033896042E-2</c:v>
                      </c:pt>
                      <c:pt idx="12">
                        <c:v>5.3858790033896042E-2</c:v>
                      </c:pt>
                      <c:pt idx="13">
                        <c:v>5.3858790033896042E-2</c:v>
                      </c:pt>
                      <c:pt idx="14">
                        <c:v>5.3858790033896042E-2</c:v>
                      </c:pt>
                      <c:pt idx="15">
                        <c:v>5.3858790033896042E-2</c:v>
                      </c:pt>
                      <c:pt idx="16">
                        <c:v>5.3858790033896042E-2</c:v>
                      </c:pt>
                      <c:pt idx="17">
                        <c:v>5.3858790033896042E-2</c:v>
                      </c:pt>
                      <c:pt idx="18">
                        <c:v>5.3858790033896042E-2</c:v>
                      </c:pt>
                      <c:pt idx="19">
                        <c:v>5.3858790033896042E-2</c:v>
                      </c:pt>
                      <c:pt idx="20">
                        <c:v>5.3858790033896042E-2</c:v>
                      </c:pt>
                      <c:pt idx="21">
                        <c:v>5.3858790033896042E-2</c:v>
                      </c:pt>
                      <c:pt idx="22">
                        <c:v>5.3858790033896042E-2</c:v>
                      </c:pt>
                      <c:pt idx="23">
                        <c:v>5.3858790033896042E-2</c:v>
                      </c:pt>
                      <c:pt idx="24">
                        <c:v>5.3858790033896042E-2</c:v>
                      </c:pt>
                      <c:pt idx="25">
                        <c:v>5.3858790033896042E-2</c:v>
                      </c:pt>
                      <c:pt idx="26">
                        <c:v>5.3858790033896042E-2</c:v>
                      </c:pt>
                      <c:pt idx="27">
                        <c:v>5.3858790033896042E-2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C222-4B8D-A075-441AE174FC3E}"/>
                  </c:ext>
                </c:extLst>
              </c15:ser>
            </c15:filteredAreaSeries>
            <c15:filteredAreaSeries>
              <c15:ser>
                <c:idx val="2"/>
                <c:order val="2"/>
                <c:tx>
                  <c:v>10th-90th Percentile</c:v>
                </c:tx>
                <c:spPr>
                  <a:solidFill>
                    <a:schemeClr val="tx2">
                      <a:lumMod val="60000"/>
                      <a:lumOff val="40000"/>
                      <a:alpha val="27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Paths'!$E$241:$E$268</c15:sqref>
                        </c15:fullRef>
                        <c15:formulaRef>
                          <c15:sqref>'Model 1 - Inv &amp; GDP Paths'!$E$242:$E$268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0.1432823072277396</c:v>
                      </c:pt>
                      <c:pt idx="10">
                        <c:v>0.1432823072277396</c:v>
                      </c:pt>
                      <c:pt idx="11">
                        <c:v>0.1432823072277396</c:v>
                      </c:pt>
                      <c:pt idx="12">
                        <c:v>0.1432823072277396</c:v>
                      </c:pt>
                      <c:pt idx="13">
                        <c:v>0.1432823072277396</c:v>
                      </c:pt>
                      <c:pt idx="14">
                        <c:v>0.1432823072277396</c:v>
                      </c:pt>
                      <c:pt idx="15">
                        <c:v>0.1432823072277396</c:v>
                      </c:pt>
                      <c:pt idx="16">
                        <c:v>0.1432823072277396</c:v>
                      </c:pt>
                      <c:pt idx="17">
                        <c:v>0.1432823072277396</c:v>
                      </c:pt>
                      <c:pt idx="18">
                        <c:v>0.1432823072277396</c:v>
                      </c:pt>
                      <c:pt idx="19">
                        <c:v>0.1432823072277396</c:v>
                      </c:pt>
                      <c:pt idx="20">
                        <c:v>0.52849381891743219</c:v>
                      </c:pt>
                      <c:pt idx="21">
                        <c:v>0.52849381891743219</c:v>
                      </c:pt>
                      <c:pt idx="22">
                        <c:v>0.52849381891743219</c:v>
                      </c:pt>
                      <c:pt idx="23">
                        <c:v>0.52849381891743219</c:v>
                      </c:pt>
                      <c:pt idx="24">
                        <c:v>0.52849381891743219</c:v>
                      </c:pt>
                      <c:pt idx="25">
                        <c:v>0.52849381891743219</c:v>
                      </c:pt>
                      <c:pt idx="26">
                        <c:v>0.52849381891743219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222-4B8D-A075-441AE174FC3E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Paths'!$G$240</c15:sqref>
                        </c15:formulaRef>
                      </c:ext>
                    </c:extLst>
                    <c:strCache>
                      <c:ptCount val="1"/>
                      <c:pt idx="0">
                        <c:v> Transformative (P10) </c:v>
                      </c:pt>
                    </c:strCache>
                  </c:strRef>
                </c:tx>
                <c:spPr>
                  <a:solidFill>
                    <a:schemeClr val="bg1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Paths'!$G$241:$G$269</c15:sqref>
                        </c15:fullRef>
                        <c15:formulaRef>
                          <c15:sqref>'Model 1 - Inv &amp; GDP Paths'!$G$242:$G$269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0.19714109726163564</c:v>
                      </c:pt>
                      <c:pt idx="8">
                        <c:v>0.19714109726163564</c:v>
                      </c:pt>
                      <c:pt idx="9">
                        <c:v>0.19714109726163564</c:v>
                      </c:pt>
                      <c:pt idx="10">
                        <c:v>0.19714109726163564</c:v>
                      </c:pt>
                      <c:pt idx="11">
                        <c:v>0.19714109726163564</c:v>
                      </c:pt>
                      <c:pt idx="12">
                        <c:v>0.19714109726163564</c:v>
                      </c:pt>
                      <c:pt idx="13">
                        <c:v>0.19714109726163564</c:v>
                      </c:pt>
                      <c:pt idx="14">
                        <c:v>0.19714109726163564</c:v>
                      </c:pt>
                      <c:pt idx="15">
                        <c:v>0.19714109726163564</c:v>
                      </c:pt>
                      <c:pt idx="16">
                        <c:v>0.19714109726163564</c:v>
                      </c:pt>
                      <c:pt idx="17">
                        <c:v>0.19714109726163564</c:v>
                      </c:pt>
                      <c:pt idx="18">
                        <c:v>0.19714109726163564</c:v>
                      </c:pt>
                      <c:pt idx="19">
                        <c:v>0.19714109726163564</c:v>
                      </c:pt>
                      <c:pt idx="20">
                        <c:v>0.19714109726163564</c:v>
                      </c:pt>
                      <c:pt idx="21">
                        <c:v>0.19714109726163564</c:v>
                      </c:pt>
                      <c:pt idx="22">
                        <c:v>0.19714109726163564</c:v>
                      </c:pt>
                      <c:pt idx="23">
                        <c:v>0.19714109726163564</c:v>
                      </c:pt>
                      <c:pt idx="24">
                        <c:v>0.19714109726163564</c:v>
                      </c:pt>
                      <c:pt idx="25">
                        <c:v>0.19714109726163564</c:v>
                      </c:pt>
                      <c:pt idx="26">
                        <c:v>0.19714109726163564</c:v>
                      </c:pt>
                      <c:pt idx="27">
                        <c:v>0.19714109726163564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222-4B8D-A075-441AE174FC3E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v>10th-90th Percentile</c:v>
                </c:tx>
                <c:spPr>
                  <a:solidFill>
                    <a:schemeClr val="accent6">
                      <a:lumMod val="40000"/>
                      <a:lumOff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Paths'!$H$241:$H$268</c15:sqref>
                        </c15:fullRef>
                        <c15:formulaRef>
                          <c15:sqref>'Model 1 - Inv &amp; GDP Paths'!$H$242:$H$268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0.38521151168969259</c:v>
                      </c:pt>
                      <c:pt idx="10">
                        <c:v>0.38521151168969259</c:v>
                      </c:pt>
                      <c:pt idx="11">
                        <c:v>0.38521151168969259</c:v>
                      </c:pt>
                      <c:pt idx="12">
                        <c:v>0.38521151168969259</c:v>
                      </c:pt>
                      <c:pt idx="13">
                        <c:v>0.38521151168969259</c:v>
                      </c:pt>
                      <c:pt idx="14">
                        <c:v>0.38521151168969259</c:v>
                      </c:pt>
                      <c:pt idx="15">
                        <c:v>0.38521151168969259</c:v>
                      </c:pt>
                      <c:pt idx="16">
                        <c:v>0.38521151168969259</c:v>
                      </c:pt>
                      <c:pt idx="17">
                        <c:v>0.38521151168969259</c:v>
                      </c:pt>
                      <c:pt idx="18">
                        <c:v>0.38521151168969259</c:v>
                      </c:pt>
                      <c:pt idx="19">
                        <c:v>0.38521151168969259</c:v>
                      </c:pt>
                      <c:pt idx="20">
                        <c:v>1.4208446726102759</c:v>
                      </c:pt>
                      <c:pt idx="21">
                        <c:v>1.4208446726102759</c:v>
                      </c:pt>
                      <c:pt idx="22">
                        <c:v>1.4208446726102759</c:v>
                      </c:pt>
                      <c:pt idx="23">
                        <c:v>1.4208446726102759</c:v>
                      </c:pt>
                      <c:pt idx="24">
                        <c:v>1.4208446726102759</c:v>
                      </c:pt>
                      <c:pt idx="25">
                        <c:v>1.4208446726102759</c:v>
                      </c:pt>
                      <c:pt idx="26">
                        <c:v>1.4208446726102759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222-4B8D-A075-441AE174FC3E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9"/>
          <c:order val="9"/>
          <c:tx>
            <c:v>Mean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Paths'!$L$241:$L$268</c15:sqref>
                  </c15:fullRef>
                </c:ext>
              </c:extLst>
              <c:f>'Model 1 - Inv &amp; GDP Paths'!$L$242:$L$268</c:f>
              <c:numCache>
                <c:formatCode>0.00%</c:formatCode>
                <c:ptCount val="27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0.16415609695538524</c:v>
                </c:pt>
                <c:pt idx="7">
                  <c:v>0.62491713186521802</c:v>
                </c:pt>
                <c:pt idx="8">
                  <c:v>0.67044757452185699</c:v>
                </c:pt>
                <c:pt idx="9">
                  <c:v>0.71742952625481726</c:v>
                </c:pt>
                <c:pt idx="10">
                  <c:v>0.76728878075036977</c:v>
                </c:pt>
                <c:pt idx="11">
                  <c:v>0.82383308796490906</c:v>
                </c:pt>
                <c:pt idx="12">
                  <c:v>0.87939623594010607</c:v>
                </c:pt>
                <c:pt idx="13">
                  <c:v>0.9347378688352268</c:v>
                </c:pt>
                <c:pt idx="14">
                  <c:v>1.0075449413581636</c:v>
                </c:pt>
                <c:pt idx="15">
                  <c:v>1.0798229991102901</c:v>
                </c:pt>
                <c:pt idx="16">
                  <c:v>1.1515056506429</c:v>
                </c:pt>
                <c:pt idx="17">
                  <c:v>1.2165295410988335</c:v>
                </c:pt>
                <c:pt idx="18">
                  <c:v>1.3001384514996315</c:v>
                </c:pt>
                <c:pt idx="19">
                  <c:v>1.3926209690152063</c:v>
                </c:pt>
                <c:pt idx="20">
                  <c:v>1.5023248153975046</c:v>
                </c:pt>
                <c:pt idx="21">
                  <c:v>1.6041926943570006</c:v>
                </c:pt>
                <c:pt idx="22">
                  <c:v>1.7179139590474501</c:v>
                </c:pt>
                <c:pt idx="23">
                  <c:v>1.8099465776755321</c:v>
                </c:pt>
                <c:pt idx="24">
                  <c:v>1.937356084069199</c:v>
                </c:pt>
                <c:pt idx="25">
                  <c:v>2.0790283621938102</c:v>
                </c:pt>
                <c:pt idx="26">
                  <c:v>2.2103627713258418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222-4B8D-A075-441AE174F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Paths'!$C$240</c15:sqref>
                        </c15:formulaRef>
                      </c:ext>
                    </c:extLst>
                    <c:strCache>
                      <c:ptCount val="1"/>
                      <c:pt idx="0">
                        <c:v> Year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Paths'!$C$241:$C$269</c15:sqref>
                        </c15:fullRef>
                        <c15:formulaRef>
                          <c15:sqref>'Model 1 - Inv &amp; GDP Paths'!$C$242:$C$269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222-4B8D-A075-441AE174FC3E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Mean</c:v>
                </c:tx>
                <c:spPr>
                  <a:ln w="28575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Paths'!$F$241:$F$268</c15:sqref>
                        </c15:fullRef>
                        <c15:formulaRef>
                          <c15:sqref>'Model 1 - Inv &amp; GDP Paths'!$F$242:$F$268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6.9935590906174294E-2</c:v>
                      </c:pt>
                      <c:pt idx="7">
                        <c:v>5.9303517708545382E-2</c:v>
                      </c:pt>
                      <c:pt idx="8">
                        <c:v>6.5203447330681841E-2</c:v>
                      </c:pt>
                      <c:pt idx="9">
                        <c:v>7.1998743389561359E-2</c:v>
                      </c:pt>
                      <c:pt idx="10">
                        <c:v>7.8774534566617926E-2</c:v>
                      </c:pt>
                      <c:pt idx="11">
                        <c:v>8.6930196112816979E-2</c:v>
                      </c:pt>
                      <c:pt idx="12">
                        <c:v>9.4611375327338265E-2</c:v>
                      </c:pt>
                      <c:pt idx="13">
                        <c:v>0.10351306421659272</c:v>
                      </c:pt>
                      <c:pt idx="14">
                        <c:v>0.1120427395715396</c:v>
                      </c:pt>
                      <c:pt idx="15">
                        <c:v>0.12108497512997747</c:v>
                      </c:pt>
                      <c:pt idx="16">
                        <c:v>0.13055840160571053</c:v>
                      </c:pt>
                      <c:pt idx="17">
                        <c:v>0.14252405228460763</c:v>
                      </c:pt>
                      <c:pt idx="18">
                        <c:v>0.154695432920475</c:v>
                      </c:pt>
                      <c:pt idx="19">
                        <c:v>0.16578175224167085</c:v>
                      </c:pt>
                      <c:pt idx="20">
                        <c:v>0.17915364901595343</c:v>
                      </c:pt>
                      <c:pt idx="21">
                        <c:v>0.19352503670362006</c:v>
                      </c:pt>
                      <c:pt idx="22">
                        <c:v>0.20646375580929743</c:v>
                      </c:pt>
                      <c:pt idx="23">
                        <c:v>0.22088786316876227</c:v>
                      </c:pt>
                      <c:pt idx="24">
                        <c:v>0.23793472815818972</c:v>
                      </c:pt>
                      <c:pt idx="25">
                        <c:v>0.25940773802529482</c:v>
                      </c:pt>
                      <c:pt idx="26">
                        <c:v>0.27668737052530495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222-4B8D-A075-441AE174FC3E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v>Mean</c:v>
                </c:tx>
                <c:spPr>
                  <a:ln w="28575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Paths'!$I$241:$I$268</c15:sqref>
                        </c15:fullRef>
                        <c15:formulaRef>
                          <c15:sqref>'Model 1 - Inv &amp; GDP Paths'!$I$242:$I$268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0.16415609695538524</c:v>
                      </c:pt>
                      <c:pt idx="7">
                        <c:v>0.21281920578744001</c:v>
                      </c:pt>
                      <c:pt idx="8">
                        <c:v>0.22863496085981533</c:v>
                      </c:pt>
                      <c:pt idx="9">
                        <c:v>0.24568077595889509</c:v>
                      </c:pt>
                      <c:pt idx="10">
                        <c:v>0.26084983723538269</c:v>
                      </c:pt>
                      <c:pt idx="11">
                        <c:v>0.27865397914865259</c:v>
                      </c:pt>
                      <c:pt idx="12">
                        <c:v>0.29749375422284335</c:v>
                      </c:pt>
                      <c:pt idx="13">
                        <c:v>0.31989657807650668</c:v>
                      </c:pt>
                      <c:pt idx="14">
                        <c:v>0.34243340625691326</c:v>
                      </c:pt>
                      <c:pt idx="15">
                        <c:v>0.36696400258215656</c:v>
                      </c:pt>
                      <c:pt idx="16">
                        <c:v>0.39352148109407881</c:v>
                      </c:pt>
                      <c:pt idx="17">
                        <c:v>0.42219494628152276</c:v>
                      </c:pt>
                      <c:pt idx="18">
                        <c:v>0.45071357423796071</c:v>
                      </c:pt>
                      <c:pt idx="19">
                        <c:v>0.48708445729558497</c:v>
                      </c:pt>
                      <c:pt idx="20">
                        <c:v>0.52508510385239271</c:v>
                      </c:pt>
                      <c:pt idx="21">
                        <c:v>0.56124905425791627</c:v>
                      </c:pt>
                      <c:pt idx="22">
                        <c:v>0.60025656489282309</c:v>
                      </c:pt>
                      <c:pt idx="23">
                        <c:v>0.64901380975047962</c:v>
                      </c:pt>
                      <c:pt idx="24">
                        <c:v>0.69416825507390811</c:v>
                      </c:pt>
                      <c:pt idx="25">
                        <c:v>0.75285529813368712</c:v>
                      </c:pt>
                      <c:pt idx="26">
                        <c:v>0.81056372758329165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222-4B8D-A075-441AE174FC3E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/>
                </a:solidFill>
                <a:uFillTx/>
                <a:latin typeface="Arial"/>
                <a:ea typeface="+mn-ea"/>
                <a:cs typeface="+mn-cs"/>
              </a:defRPr>
            </a:pPr>
            <a:r>
              <a:rPr lang="en-US" sz="1000" b="1" u="none" strike="noStrike">
                <a:solidFill>
                  <a:srgbClr val="000000"/>
                </a:solidFill>
                <a:uFillTx/>
                <a:latin typeface="+mn-lt"/>
                <a:cs typeface="Arial" panose="020B0604020202020204" pitchFamily="34" charset="0"/>
              </a:rPr>
              <a:t>AI CapEx by Firm ($B)</a:t>
            </a:r>
          </a:p>
        </c:rich>
      </c:tx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/>
              </a:solidFill>
              <a:uFillTx/>
              <a:latin typeface="Arial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CAPEX!$C$8</c:f>
              <c:strCache>
                <c:ptCount val="1"/>
                <c:pt idx="0">
                  <c:v>Amazon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CAPEX!$D$7:$I$7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2027f </c:v>
                </c:pt>
              </c:strCache>
            </c:strRef>
          </c:cat>
          <c:val>
            <c:numRef>
              <c:f>CAPEX!$D$8:$I$8</c:f>
              <c:numCache>
                <c:formatCode>#,##0</c:formatCode>
                <c:ptCount val="6"/>
                <c:pt idx="0">
                  <c:v>64</c:v>
                </c:pt>
                <c:pt idx="1">
                  <c:v>53</c:v>
                </c:pt>
                <c:pt idx="2">
                  <c:v>83</c:v>
                </c:pt>
                <c:pt idx="3">
                  <c:v>132</c:v>
                </c:pt>
                <c:pt idx="4">
                  <c:v>200</c:v>
                </c:pt>
                <c:pt idx="5">
                  <c:v>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60-468B-B950-37894B3B1DCC}"/>
            </c:ext>
          </c:extLst>
        </c:ser>
        <c:ser>
          <c:idx val="1"/>
          <c:order val="1"/>
          <c:tx>
            <c:strRef>
              <c:f>CAPEX!$C$9</c:f>
              <c:strCache>
                <c:ptCount val="1"/>
                <c:pt idx="0">
                  <c:v>Alphabet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CAPEX!$D$7:$I$7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2027f </c:v>
                </c:pt>
              </c:strCache>
            </c:strRef>
          </c:cat>
          <c:val>
            <c:numRef>
              <c:f>CAPEX!$D$9:$I$9</c:f>
              <c:numCache>
                <c:formatCode>#,##0</c:formatCode>
                <c:ptCount val="6"/>
                <c:pt idx="0">
                  <c:v>31</c:v>
                </c:pt>
                <c:pt idx="1">
                  <c:v>32</c:v>
                </c:pt>
                <c:pt idx="2">
                  <c:v>53</c:v>
                </c:pt>
                <c:pt idx="3">
                  <c:v>91</c:v>
                </c:pt>
                <c:pt idx="4">
                  <c:v>180</c:v>
                </c:pt>
                <c:pt idx="5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60-468B-B950-37894B3B1DCC}"/>
            </c:ext>
          </c:extLst>
        </c:ser>
        <c:ser>
          <c:idx val="2"/>
          <c:order val="2"/>
          <c:tx>
            <c:strRef>
              <c:f>CAPEX!$C$10</c:f>
              <c:strCache>
                <c:ptCount val="1"/>
                <c:pt idx="0">
                  <c:v>Microsoft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CAPEX!$D$7:$I$7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2027f </c:v>
                </c:pt>
              </c:strCache>
            </c:strRef>
          </c:cat>
          <c:val>
            <c:numRef>
              <c:f>CAPEX!$D$10:$I$10</c:f>
              <c:numCache>
                <c:formatCode>#,##0</c:formatCode>
                <c:ptCount val="6"/>
                <c:pt idx="0">
                  <c:v>24</c:v>
                </c:pt>
                <c:pt idx="1">
                  <c:v>28</c:v>
                </c:pt>
                <c:pt idx="2">
                  <c:v>44</c:v>
                </c:pt>
                <c:pt idx="3">
                  <c:v>65</c:v>
                </c:pt>
                <c:pt idx="4">
                  <c:v>175</c:v>
                </c:pt>
                <c:pt idx="5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60-468B-B950-37894B3B1DCC}"/>
            </c:ext>
          </c:extLst>
        </c:ser>
        <c:ser>
          <c:idx val="3"/>
          <c:order val="3"/>
          <c:tx>
            <c:strRef>
              <c:f>CAPEX!$C$11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CAPEX!$D$7:$I$7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2027f </c:v>
                </c:pt>
              </c:strCache>
            </c:strRef>
          </c:cat>
          <c:val>
            <c:numRef>
              <c:f>CAPEX!$D$11:$I$11</c:f>
              <c:numCache>
                <c:formatCode>#,##0</c:formatCode>
                <c:ptCount val="6"/>
                <c:pt idx="0">
                  <c:v>31</c:v>
                </c:pt>
                <c:pt idx="1">
                  <c:v>28</c:v>
                </c:pt>
                <c:pt idx="2">
                  <c:v>39</c:v>
                </c:pt>
                <c:pt idx="3">
                  <c:v>72</c:v>
                </c:pt>
                <c:pt idx="4">
                  <c:v>135</c:v>
                </c:pt>
                <c:pt idx="5">
                  <c:v>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60-468B-B950-37894B3B1DCC}"/>
            </c:ext>
          </c:extLst>
        </c:ser>
        <c:ser>
          <c:idx val="4"/>
          <c:order val="4"/>
          <c:tx>
            <c:strRef>
              <c:f>CAPEX!$C$12</c:f>
              <c:strCache>
                <c:ptCount val="1"/>
                <c:pt idx="0">
                  <c:v>Oracle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CAPEX!$D$7:$I$7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2027f </c:v>
                </c:pt>
              </c:strCache>
            </c:strRef>
          </c:cat>
          <c:val>
            <c:numRef>
              <c:f>CAPEX!$D$12:$I$12</c:f>
              <c:numCache>
                <c:formatCode>#,##0</c:formatCode>
                <c:ptCount val="6"/>
                <c:pt idx="0">
                  <c:v>5</c:v>
                </c:pt>
                <c:pt idx="1">
                  <c:v>9</c:v>
                </c:pt>
                <c:pt idx="2">
                  <c:v>7</c:v>
                </c:pt>
                <c:pt idx="3">
                  <c:v>21</c:v>
                </c:pt>
                <c:pt idx="4">
                  <c:v>65</c:v>
                </c:pt>
                <c:pt idx="5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60-468B-B950-37894B3B1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16934"/>
        <c:axId val="60545454"/>
      </c:barChart>
      <c:catAx>
        <c:axId val="1421693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/>
                    </a:solidFill>
                    <a:uFillTx/>
                    <a:latin typeface="Arial"/>
                    <a:ea typeface="+mn-ea"/>
                    <a:cs typeface="+mn-cs"/>
                  </a:defRPr>
                </a:pPr>
                <a:r>
                  <a:rPr lang="en-US" sz="1000" b="0" u="none" strike="noStrike">
                    <a:solidFill>
                      <a:srgbClr val="000000"/>
                    </a:solidFill>
                    <a:uFillTx/>
                    <a:latin typeface="Calibri"/>
                  </a:rPr>
                  <a:t>Year</a:t>
                </a:r>
              </a:p>
            </c:rich>
          </c:tx>
          <c:overlay val="0"/>
          <c:spPr>
            <a:noFill/>
            <a:ln w="0"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chemeClr val="tx1"/>
                  </a:solidFill>
                  <a:uFillTx/>
                  <a:latin typeface="Arial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360" cap="flat" cmpd="sng" algn="ctr">
            <a:solidFill>
              <a:srgbClr val="878787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uFillTx/>
                <a:latin typeface="Calibri"/>
                <a:ea typeface="+mn-ea"/>
                <a:cs typeface="+mn-cs"/>
              </a:defRPr>
            </a:pPr>
            <a:endParaRPr lang="en-US"/>
          </a:p>
        </c:txPr>
        <c:crossAx val="60545454"/>
        <c:crosses val="autoZero"/>
        <c:auto val="1"/>
        <c:lblAlgn val="ctr"/>
        <c:lblOffset val="100"/>
        <c:noMultiLvlLbl val="0"/>
      </c:catAx>
      <c:valAx>
        <c:axId val="60545454"/>
        <c:scaling>
          <c:orientation val="minMax"/>
        </c:scaling>
        <c:delete val="0"/>
        <c:axPos val="l"/>
        <c:majorGridlines>
          <c:spPr>
            <a:ln w="9360" cap="flat" cmpd="sng" algn="ctr">
              <a:solidFill>
                <a:srgbClr val="878787"/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/>
                    </a:solidFill>
                    <a:uFillTx/>
                    <a:latin typeface="Arial"/>
                    <a:ea typeface="+mn-ea"/>
                    <a:cs typeface="+mn-cs"/>
                  </a:defRPr>
                </a:pPr>
                <a:r>
                  <a:rPr lang="en-US" sz="1000" b="0" u="none" strike="noStrike">
                    <a:solidFill>
                      <a:srgbClr val="000000"/>
                    </a:solidFill>
                    <a:uFillTx/>
                    <a:latin typeface="+mn-lt"/>
                    <a:cs typeface="Arial" panose="020B0604020202020204" pitchFamily="34" charset="0"/>
                  </a:rPr>
                  <a:t>CapEx</a:t>
                </a:r>
                <a:r>
                  <a:rPr lang="en-US" sz="1000" b="0" u="none" strike="noStrike">
                    <a:solidFill>
                      <a:srgbClr val="000000"/>
                    </a:solidFill>
                    <a:uFillTx/>
                    <a:latin typeface="+mn-lt"/>
                  </a:rPr>
                  <a:t> ($B)</a:t>
                </a:r>
              </a:p>
            </c:rich>
          </c:tx>
          <c:overlay val="0"/>
          <c:spPr>
            <a:noFill/>
            <a:ln w="0"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chemeClr val="tx1"/>
                  </a:solidFill>
                  <a:uFillTx/>
                  <a:latin typeface="Arial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360" cap="flat" cmpd="sng" algn="ctr">
            <a:solidFill>
              <a:srgbClr val="878787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uFillTx/>
                <a:latin typeface="Calibri"/>
                <a:ea typeface="+mn-ea"/>
                <a:cs typeface="+mn-cs"/>
              </a:defRPr>
            </a:pPr>
            <a:endParaRPr lang="en-US"/>
          </a:p>
        </c:txPr>
        <c:crossAx val="14216934"/>
        <c:crosses val="autoZero"/>
        <c:crossBetween val="between"/>
      </c:valAx>
      <c:spPr>
        <a:solidFill>
          <a:srgbClr val="FFFFFF"/>
        </a:solidFill>
        <a:ln w="0"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uFillTx/>
              <a:latin typeface="Calibri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 cap="flat" cmpd="sng" algn="ctr">
      <a:solidFill>
        <a:srgbClr val="D9D9D9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AI </a:t>
            </a: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</a:t>
            </a:r>
            <a:r>
              <a:rPr lang="en-US" sz="1100"/>
              <a:t> % of GDP and % of PFI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CAPEX!$C$23</c:f>
              <c:strCache>
                <c:ptCount val="1"/>
                <c:pt idx="0">
                  <c:v>Share of GDP (%)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CAPEX!$D$19:$I$19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2027f </c:v>
                </c:pt>
              </c:strCache>
            </c:strRef>
          </c:cat>
          <c:val>
            <c:numRef>
              <c:f>CAPEX!$D$23:$I$23</c:f>
              <c:numCache>
                <c:formatCode>0.00%</c:formatCode>
                <c:ptCount val="6"/>
                <c:pt idx="0">
                  <c:v>6.0784313725490199E-3</c:v>
                </c:pt>
                <c:pt idx="1">
                  <c:v>5.3956834532374104E-3</c:v>
                </c:pt>
                <c:pt idx="2">
                  <c:v>7.7397260273972604E-3</c:v>
                </c:pt>
                <c:pt idx="3">
                  <c:v>1.2491803278688525E-2</c:v>
                </c:pt>
                <c:pt idx="4">
                  <c:v>2.3968253968253968E-2</c:v>
                </c:pt>
                <c:pt idx="5">
                  <c:v>3.3641975308641978E-2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B1-4ED8-849B-3A0B5362FD65}"/>
            </c:ext>
          </c:extLst>
        </c:ser>
        <c:ser>
          <c:idx val="4"/>
          <c:order val="4"/>
          <c:tx>
            <c:strRef>
              <c:f>CAPEX!$C$24</c:f>
              <c:strCache>
                <c:ptCount val="1"/>
                <c:pt idx="0">
                  <c:v>Share of PFI (%)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CAPEX!$D$19:$I$19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2027f </c:v>
                </c:pt>
              </c:strCache>
            </c:strRef>
          </c:cat>
          <c:val>
            <c:numRef>
              <c:f>CAPEX!$D$24:$I$24</c:f>
              <c:numCache>
                <c:formatCode>0.00%</c:formatCode>
                <c:ptCount val="6"/>
                <c:pt idx="0">
                  <c:v>3.2978723404255318E-2</c:v>
                </c:pt>
                <c:pt idx="1">
                  <c:v>3.0612244897959183E-2</c:v>
                </c:pt>
                <c:pt idx="2">
                  <c:v>4.3461538461538461E-2</c:v>
                </c:pt>
                <c:pt idx="3">
                  <c:v>7.0555555555555552E-2</c:v>
                </c:pt>
                <c:pt idx="4">
                  <c:v>0.13727272727272727</c:v>
                </c:pt>
                <c:pt idx="5">
                  <c:v>0.19122807017543861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B1-4ED8-849B-3A0B5362F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975830"/>
        <c:axId val="708139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CAPEX!$C$20</c15:sqref>
                        </c15:formulaRef>
                      </c:ext>
                    </c:extLst>
                    <c:strCache>
                      <c:ptCount val="1"/>
                      <c:pt idx="0">
                        <c:v>AI capex ($B)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CAPEX!$D$19:$I$19</c15:sqref>
                        </c15:formulaRef>
                      </c:ext>
                    </c:extLst>
                    <c:strCache>
                      <c:ptCount val="6"/>
                      <c:pt idx="0">
                        <c:v> 2022 </c:v>
                      </c:pt>
                      <c:pt idx="1">
                        <c:v> 2023 </c:v>
                      </c:pt>
                      <c:pt idx="2">
                        <c:v> 2024 </c:v>
                      </c:pt>
                      <c:pt idx="3">
                        <c:v> 2025 </c:v>
                      </c:pt>
                      <c:pt idx="4">
                        <c:v> 2026f </c:v>
                      </c:pt>
                      <c:pt idx="5">
                        <c:v> 2027f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CAPEX!$D$20:$I$20</c15:sqref>
                        </c15:formulaRef>
                      </c:ext>
                    </c:extLst>
                    <c:numCache>
                      <c:formatCode>#,##0</c:formatCode>
                      <c:ptCount val="6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5B1-4ED8-849B-3A0B5362FD65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CAPEX!$C$21</c15:sqref>
                        </c15:formulaRef>
                      </c:ext>
                    </c:extLst>
                    <c:strCache>
                      <c:ptCount val="1"/>
                      <c:pt idx="0">
                        <c:v>U.S. nominal GDP ($T)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CAPEX!$D$19:$I$19</c15:sqref>
                        </c15:formulaRef>
                      </c:ext>
                    </c:extLst>
                    <c:strCache>
                      <c:ptCount val="6"/>
                      <c:pt idx="0">
                        <c:v> 2022 </c:v>
                      </c:pt>
                      <c:pt idx="1">
                        <c:v> 2023 </c:v>
                      </c:pt>
                      <c:pt idx="2">
                        <c:v> 2024 </c:v>
                      </c:pt>
                      <c:pt idx="3">
                        <c:v> 2025 </c:v>
                      </c:pt>
                      <c:pt idx="4">
                        <c:v> 2026f </c:v>
                      </c:pt>
                      <c:pt idx="5">
                        <c:v> 2027f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CAPEX!$D$21:$I$21</c15:sqref>
                        </c15:formulaRef>
                      </c:ext>
                    </c:extLst>
                    <c:numCache>
                      <c:formatCode>#,##0.0</c:formatCode>
                      <c:ptCount val="6"/>
                      <c:pt idx="0">
                        <c:v>25.5</c:v>
                      </c:pt>
                      <c:pt idx="1">
                        <c:v>27.8</c:v>
                      </c:pt>
                      <c:pt idx="2">
                        <c:v>29.2</c:v>
                      </c:pt>
                      <c:pt idx="3">
                        <c:v>30.5</c:v>
                      </c:pt>
                      <c:pt idx="4">
                        <c:v>31.5</c:v>
                      </c:pt>
                      <c:pt idx="5">
                        <c:v>32.4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5B1-4ED8-849B-3A0B5362FD65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CAPEX!$C$22</c15:sqref>
                        </c15:formulaRef>
                      </c:ext>
                    </c:extLst>
                    <c:strCache>
                      <c:ptCount val="1"/>
                      <c:pt idx="0">
                        <c:v>U.S. gross private fixed investment ($T)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CAPEX!$D$19:$I$19</c15:sqref>
                        </c15:formulaRef>
                      </c:ext>
                    </c:extLst>
                    <c:strCache>
                      <c:ptCount val="6"/>
                      <c:pt idx="0">
                        <c:v> 2022 </c:v>
                      </c:pt>
                      <c:pt idx="1">
                        <c:v> 2023 </c:v>
                      </c:pt>
                      <c:pt idx="2">
                        <c:v> 2024 </c:v>
                      </c:pt>
                      <c:pt idx="3">
                        <c:v> 2025 </c:v>
                      </c:pt>
                      <c:pt idx="4">
                        <c:v> 2026f </c:v>
                      </c:pt>
                      <c:pt idx="5">
                        <c:v> 2027f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CAPEX!$D$22:$I$22</c15:sqref>
                        </c15:formulaRef>
                      </c:ext>
                    </c:extLst>
                    <c:numCache>
                      <c:formatCode>#,##0.00</c:formatCode>
                      <c:ptCount val="6"/>
                      <c:pt idx="0">
                        <c:v>4.7</c:v>
                      </c:pt>
                      <c:pt idx="1">
                        <c:v>4.9000000000000004</c:v>
                      </c:pt>
                      <c:pt idx="2">
                        <c:v>5.2</c:v>
                      </c:pt>
                      <c:pt idx="3">
                        <c:v>5.4</c:v>
                      </c:pt>
                      <c:pt idx="4">
                        <c:v>5.5</c:v>
                      </c:pt>
                      <c:pt idx="5">
                        <c:v>5.7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5B1-4ED8-849B-3A0B5362FD65}"/>
                  </c:ext>
                </c:extLst>
              </c15:ser>
            </c15:filteredLineSeries>
          </c:ext>
        </c:extLst>
      </c:lineChart>
      <c:catAx>
        <c:axId val="6697583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1392"/>
        <c:crosses val="autoZero"/>
        <c:auto val="1"/>
        <c:lblAlgn val="ctr"/>
        <c:lblOffset val="100"/>
        <c:noMultiLvlLbl val="0"/>
      </c:catAx>
      <c:valAx>
        <c:axId val="708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7583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'Model 1 Alternative Calibration'!$H$25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319-5441-A229-0F9DBD0C883A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319-5441-A229-0F9DBD0C883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319-5441-A229-0F9DBD0C883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319-5441-A229-0F9DBD0C883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319-5441-A229-0F9DBD0C883A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319-5441-A229-0F9DBD0C883A}"/>
              </c:ext>
            </c:extLst>
          </c:dPt>
          <c:dPt>
            <c:idx val="6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319-5441-A229-0F9DBD0C883A}"/>
              </c:ext>
            </c:extLst>
          </c:dPt>
          <c:dPt>
            <c:idx val="7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319-5441-A229-0F9DBD0C883A}"/>
              </c:ext>
            </c:extLst>
          </c:dPt>
          <c:dPt>
            <c:idx val="8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8319-5441-A229-0F9DBD0C883A}"/>
              </c:ext>
            </c:extLst>
          </c:dPt>
          <c:dPt>
            <c:idx val="9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8319-5441-A229-0F9DBD0C883A}"/>
              </c:ext>
            </c:extLst>
          </c:dPt>
          <c:dPt>
            <c:idx val="1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8319-5441-A229-0F9DBD0C883A}"/>
              </c:ext>
            </c:extLst>
          </c:dPt>
          <c:cat>
            <c:numRef>
              <c:f>'Model 1 Alternative Calibration'!$C$26:$C$36</c:f>
              <c:numCache>
                <c:formatCode>0</c:formatCode>
                <c:ptCount val="11"/>
              </c:numCache>
            </c:numRef>
          </c:cat>
          <c:val>
            <c:numRef>
              <c:f>'Model 1 Alternative Calibration'!$H$26:$H$36</c:f>
              <c:numCache>
                <c:formatCode>0</c:formatCode>
                <c:ptCount val="11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8319-5441-A229-0F9DBD0C8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Alternative Calibration'!$D$25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8319-5441-A229-0F9DBD0C883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8319-5441-A229-0F9DBD0C883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8319-5441-A229-0F9DBD0C883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8319-5441-A229-0F9DBD0C883A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8319-5441-A229-0F9DBD0C883A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8319-5441-A229-0F9DBD0C883A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Alternative Calibration'!$D$26:$D$36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8319-5441-A229-0F9DBD0C883A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Calibration'!$E$26:$E$36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8319-5441-A229-0F9DBD0C883A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Calibration'!$F$25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Calibration'!$F$26:$F$36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8319-5441-A229-0F9DBD0C883A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Calibration'!$G$25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Calibration'!$G$26:$G$36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319-5441-A229-0F9DBD0C883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Calibration'!$I$25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Calibration'!$I$26:$I$36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319-5441-A229-0F9DBD0C883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Calibration'!$J$25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Calibration'!$J$26:$J$36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319-5441-A229-0F9DBD0C883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Calibration'!$K$25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Calibration'!$K$26:$K$36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319-5441-A229-0F9DBD0C883A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'Model 1 Alternative Calibration'!$I$25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EBE-9541-A705-61DC5EA6B68E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EBE-9541-A705-61DC5EA6B68E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EBE-9541-A705-61DC5EA6B68E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EBE-9541-A705-61DC5EA6B68E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EBE-9541-A705-61DC5EA6B68E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EBE-9541-A705-61DC5EA6B68E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EBE-9541-A705-61DC5EA6B68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EBE-9541-A705-61DC5EA6B68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EBE-9541-A705-61DC5EA6B68E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EBE-9541-A705-61DC5EA6B68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EBE-9541-A705-61DC5EA6B68E}"/>
              </c:ext>
            </c:extLst>
          </c:dPt>
          <c:cat>
            <c:numRef>
              <c:f>'Model 1 Alternative Calibration'!$C$26:$C$36</c:f>
              <c:numCache>
                <c:formatCode>0</c:formatCode>
                <c:ptCount val="11"/>
              </c:numCache>
            </c:numRef>
          </c:cat>
          <c:val>
            <c:numRef>
              <c:f>'Model 1 Alternative Calibration'!$I$26:$I$36</c:f>
              <c:numCache>
                <c:formatCode>0</c:formatCode>
                <c:ptCount val="11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9EBE-9541-A705-61DC5EA6B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Alternative Calibration'!$D$25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9EBE-9541-A705-61DC5EA6B68E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9EBE-9541-A705-61DC5EA6B68E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9EBE-9541-A705-61DC5EA6B68E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9EBE-9541-A705-61DC5EA6B68E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9EBE-9541-A705-61DC5EA6B68E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9EBE-9541-A705-61DC5EA6B68E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Alternative Calibration'!$D$26:$D$36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9EBE-9541-A705-61DC5EA6B68E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9EBE-9541-A705-61DC5EA6B68E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9EBE-9541-A705-61DC5EA6B68E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9EBE-9541-A705-61DC5EA6B68E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9EBE-9541-A705-61DC5EA6B68E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9EBE-9541-A705-61DC5EA6B68E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9EBE-9541-A705-61DC5EA6B68E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Calibration'!$E$26:$E$36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EBE-9541-A705-61DC5EA6B68E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Calibration'!$F$25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Calibration'!$F$26:$F$36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EBE-9541-A705-61DC5EA6B68E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Calibration'!$G$25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Calibration'!$G$26:$G$36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EBE-9541-A705-61DC5EA6B68E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Calibration'!$H$25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Calibration'!$H$26:$H$36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EBE-9541-A705-61DC5EA6B68E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Calibration'!$J$25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Calibration'!$J$26:$J$36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EBE-9541-A705-61DC5EA6B68E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Calibration'!$K$25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Calibration'!$K$26:$K$36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EBE-9541-A705-61DC5EA6B68E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6"/>
          <c:order val="6"/>
          <c:tx>
            <c:strRef>
              <c:f>'Model 1 Alternative Calibration'!$J$25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742-ED4E-8BFC-B23EF9C3C03C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742-ED4E-8BFC-B23EF9C3C03C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742-ED4E-8BFC-B23EF9C3C03C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742-ED4E-8BFC-B23EF9C3C03C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742-ED4E-8BFC-B23EF9C3C03C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742-ED4E-8BFC-B23EF9C3C03C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742-ED4E-8BFC-B23EF9C3C03C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742-ED4E-8BFC-B23EF9C3C03C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742-ED4E-8BFC-B23EF9C3C03C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4742-ED4E-8BFC-B23EF9C3C03C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4742-ED4E-8BFC-B23EF9C3C03C}"/>
              </c:ext>
            </c:extLst>
          </c:dPt>
          <c:cat>
            <c:numRef>
              <c:f>'Model 1 Alternative Calibration'!$C$26:$C$36</c:f>
              <c:numCache>
                <c:formatCode>0</c:formatCode>
                <c:ptCount val="11"/>
              </c:numCache>
            </c:numRef>
          </c:cat>
          <c:val>
            <c:numRef>
              <c:f>'Model 1 Alternative Calibration'!$J$26:$J$36</c:f>
              <c:numCache>
                <c:formatCode>0</c:formatCode>
                <c:ptCount val="11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4742-ED4E-8BFC-B23EF9C3C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Alternative Calibration'!$D$25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4742-ED4E-8BFC-B23EF9C3C03C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4742-ED4E-8BFC-B23EF9C3C03C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4742-ED4E-8BFC-B23EF9C3C03C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4742-ED4E-8BFC-B23EF9C3C03C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4742-ED4E-8BFC-B23EF9C3C03C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4742-ED4E-8BFC-B23EF9C3C03C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Alternative Calibration'!$D$26:$D$36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4742-ED4E-8BFC-B23EF9C3C03C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Calibration'!$E$26:$E$36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4742-ED4E-8BFC-B23EF9C3C03C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Calibration'!$F$25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6-4742-ED4E-8BFC-B23EF9C3C03C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8-4742-ED4E-8BFC-B23EF9C3C03C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A-4742-ED4E-8BFC-B23EF9C3C03C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C-4742-ED4E-8BFC-B23EF9C3C03C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E-4742-ED4E-8BFC-B23EF9C3C03C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0-4742-ED4E-8BFC-B23EF9C3C03C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Calibration'!$F$26:$F$36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4742-ED4E-8BFC-B23EF9C3C03C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Calibration'!$G$25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Calibration'!$G$26:$G$36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4742-ED4E-8BFC-B23EF9C3C03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Calibration'!$H$25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Calibration'!$H$26:$H$36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4742-ED4E-8BFC-B23EF9C3C03C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Calibration'!$I$25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Calibration'!$I$26:$I$36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4742-ED4E-8BFC-B23EF9C3C03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Calibration'!$K$25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Calibration'!$K$26:$K$36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4742-ED4E-8BFC-B23EF9C3C03C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7"/>
          <c:order val="7"/>
          <c:tx>
            <c:strRef>
              <c:f>'Model 1 Alternative Calibration'!$K$25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B8-7C44-A91B-73AA9CC2DC2E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4B8-7C44-A91B-73AA9CC2DC2E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4B8-7C44-A91B-73AA9CC2DC2E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4B8-7C44-A91B-73AA9CC2DC2E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4B8-7C44-A91B-73AA9CC2DC2E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4B8-7C44-A91B-73AA9CC2DC2E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4B8-7C44-A91B-73AA9CC2DC2E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A4B8-7C44-A91B-73AA9CC2DC2E}"/>
              </c:ext>
            </c:extLst>
          </c:dPt>
          <c:dPt>
            <c:idx val="8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4B8-7C44-A91B-73AA9CC2DC2E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4B8-7C44-A91B-73AA9CC2DC2E}"/>
              </c:ext>
            </c:extLst>
          </c:dPt>
          <c:dPt>
            <c:idx val="1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4B8-7C44-A91B-73AA9CC2DC2E}"/>
              </c:ext>
            </c:extLst>
          </c:dPt>
          <c:cat>
            <c:numRef>
              <c:f>'Model 1 Alternative Calibration'!$C$26:$C$36</c:f>
              <c:numCache>
                <c:formatCode>0</c:formatCode>
                <c:ptCount val="11"/>
              </c:numCache>
            </c:numRef>
          </c:cat>
          <c:val>
            <c:numRef>
              <c:f>'Model 1 Alternative Calibration'!$K$26:$K$36</c:f>
              <c:numCache>
                <c:formatCode>0</c:formatCode>
                <c:ptCount val="11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A4B8-7C44-A91B-73AA9CC2D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Alternative Calibration'!$D$25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A4B8-7C44-A91B-73AA9CC2DC2E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A4B8-7C44-A91B-73AA9CC2DC2E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A4B8-7C44-A91B-73AA9CC2DC2E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A4B8-7C44-A91B-73AA9CC2DC2E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A4B8-7C44-A91B-73AA9CC2DC2E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A4B8-7C44-A91B-73AA9CC2DC2E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Alternative Calibration'!$D$26:$D$36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A4B8-7C44-A91B-73AA9CC2DC2E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A4B8-7C44-A91B-73AA9CC2DC2E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A4B8-7C44-A91B-73AA9CC2DC2E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A4B8-7C44-A91B-73AA9CC2DC2E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A4B8-7C44-A91B-73AA9CC2DC2E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A4B8-7C44-A91B-73AA9CC2DC2E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A4B8-7C44-A91B-73AA9CC2DC2E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Calibration'!$E$26:$E$36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4B8-7C44-A91B-73AA9CC2DC2E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Calibration'!$F$25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Calibration'!$F$26:$F$36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4B8-7C44-A91B-73AA9CC2DC2E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Calibration'!$G$25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A4B8-7C44-A91B-73AA9CC2DC2E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A4B8-7C44-A91B-73AA9CC2DC2E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7-A4B8-7C44-A91B-73AA9CC2DC2E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9-A4B8-7C44-A91B-73AA9CC2DC2E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B-A4B8-7C44-A91B-73AA9CC2DC2E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D-A4B8-7C44-A91B-73AA9CC2DC2E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Calibration'!$G$26:$G$36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4B8-7C44-A91B-73AA9CC2DC2E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Calibration'!$H$25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Calibration'!$H$26:$H$36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4B8-7C44-A91B-73AA9CC2DC2E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Calibration'!$I$25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Calibration'!$I$26:$I$36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4B8-7C44-A91B-73AA9CC2DC2E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Calibration'!$J$25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Calibration'!$C$26:$C$36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Calibration'!$J$26:$J$36</c15:sqref>
                        </c15:formulaRef>
                      </c:ext>
                    </c:extLst>
                    <c:numCache>
                      <c:formatCode>0</c:formatCode>
                      <c:ptCount val="1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4B8-7C44-A91B-73AA9CC2DC2E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Run Cumulative GDP Growth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Moderate</c:v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('Model 1 Alternative Calibration'!$C$41:$C$51,'Model 1 Alternative Calibration'!$C$87:$C$104)</c15:sqref>
                  </c15:fullRef>
                </c:ext>
              </c:extLst>
              <c:f>('Model 1 Alternative Calibration'!$C$42:$C$51,'Model 1 Alternative Calibration'!$C$87:$C$104)</c:f>
              <c:numCache>
                <c:formatCode>0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('Model 1 Alternative Calibration'!$D$41:$D$51,'Model 1 Alternative Calibration'!$D$87:$D$104)</c15:sqref>
                  </c15:fullRef>
                </c:ext>
              </c:extLst>
              <c:f>('Model 1 Alternative Calibration'!$D$42:$D$51,'Model 1 Alternative Calibration'!$D$87:$D$104)</c:f>
              <c:numCache>
                <c:formatCode>0.0%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6E-A14F-B4AA-49299D3830BE}"/>
            </c:ext>
          </c:extLst>
        </c:ser>
        <c:ser>
          <c:idx val="1"/>
          <c:order val="1"/>
          <c:tx>
            <c:v>Transformative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('Model 1 Alternative Calibration'!$C$41:$C$51,'Model 1 Alternative Calibration'!$C$87:$C$104)</c15:sqref>
                  </c15:fullRef>
                </c:ext>
              </c:extLst>
              <c:f>('Model 1 Alternative Calibration'!$C$42:$C$51,'Model 1 Alternative Calibration'!$C$87:$C$104)</c:f>
              <c:numCache>
                <c:formatCode>0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('Model 1 Alternative Calibration'!$E$41:$E$51,'Model 1 Alternative Calibration'!$D$134:$D$151)</c15:sqref>
                  </c15:fullRef>
                </c:ext>
              </c:extLst>
              <c:f>('Model 1 Alternative Calibration'!$E$42:$E$51,'Model 1 Alternative Calibration'!$D$134:$D$151)</c:f>
              <c:numCache>
                <c:formatCode>0.0%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6E-A14F-B4AA-49299D3830BE}"/>
            </c:ext>
          </c:extLst>
        </c:ser>
        <c:ser>
          <c:idx val="2"/>
          <c:order val="2"/>
          <c:tx>
            <c:v>Singularity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('Model 1 Alternative Calibration'!$C$41:$C$51,'Model 1 Alternative Calibration'!$C$87:$C$104)</c15:sqref>
                  </c15:fullRef>
                </c:ext>
              </c:extLst>
              <c:f>('Model 1 Alternative Calibration'!$C$42:$C$51,'Model 1 Alternative Calibration'!$C$87:$C$104)</c:f>
              <c:numCache>
                <c:formatCode>0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('Model 1 Alternative Calibration'!$G$41:$G$51,'Model 1 Alternative Calibration'!$D$181:$D$198)</c15:sqref>
                  </c15:fullRef>
                </c:ext>
              </c:extLst>
              <c:f>('Model 1 Alternative Calibration'!$G$42:$G$51,'Model 1 Alternative Calibration'!$D$181:$D$198)</c:f>
              <c:numCache>
                <c:formatCode>0.0%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6E-A14F-B4AA-49299D383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1418912"/>
        <c:axId val="1401417952"/>
      </c:lineChart>
      <c:catAx>
        <c:axId val="140141891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417952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1401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41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Moderate</a:t>
            </a:r>
            <a:r>
              <a:rPr lang="en-US" baseline="0"/>
              <a:t> - Cumulative GDP Growth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'Model 1 Alternative Calibration'!$D$224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Calibration'!$C$224:$C$252</c15:sqref>
                  </c15:fullRef>
                </c:ext>
              </c:extLst>
              <c:f>'Model 1 Alternative Calibration'!$C$225:$C$252</c:f>
              <c:numCache>
                <c:formatCode>General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Calibration'!$D$225:$D$253</c15:sqref>
                  </c15:fullRef>
                </c:ext>
              </c:extLst>
              <c:f>'Model 1 Alternative Calibration'!$D$226:$D$253</c:f>
              <c:numCache>
                <c:formatCode>0.00%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0-9A6F-ED46-AD70-C7445D1D3303}"/>
            </c:ext>
          </c:extLst>
        </c:ser>
        <c:ser>
          <c:idx val="2"/>
          <c:order val="2"/>
          <c:tx>
            <c:v>10th-90th Percentile</c:v>
          </c:tx>
          <c:spPr>
            <a:solidFill>
              <a:schemeClr val="tx2">
                <a:lumMod val="60000"/>
                <a:lumOff val="40000"/>
                <a:alpha val="27000"/>
              </a:schemeClr>
            </a:solidFill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Calibration'!$C$224:$C$252</c15:sqref>
                  </c15:fullRef>
                </c:ext>
              </c:extLst>
              <c:f>'Model 1 Alternative Calibration'!$C$225:$C$252</c:f>
              <c:numCache>
                <c:formatCode>General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Calibration'!$E$225:$E$252</c15:sqref>
                  </c15:fullRef>
                </c:ext>
              </c:extLst>
              <c:f>'Model 1 Alternative Calibration'!$E$226:$E$252</c:f>
              <c:numCache>
                <c:formatCode>0.00%</c:formatCode>
                <c:ptCount val="27"/>
              </c:numCache>
            </c:numRef>
          </c:val>
          <c:extLst>
            <c:ext xmlns:c16="http://schemas.microsoft.com/office/drawing/2014/chart" uri="{C3380CC4-5D6E-409C-BE32-E72D297353CC}">
              <c16:uniqueId val="{00000001-9A6F-ED46-AD70-C7445D1D3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</c:areaChart>
      <c:lineChart>
        <c:grouping val="standard"/>
        <c:varyColors val="0"/>
        <c:ser>
          <c:idx val="3"/>
          <c:order val="3"/>
          <c:tx>
            <c:v>Mean</c:v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Calibration'!$C$224:$C$252</c15:sqref>
                  </c15:fullRef>
                </c:ext>
              </c:extLst>
              <c:f>'Model 1 Alternative Calibration'!$C$225:$C$252</c:f>
              <c:numCache>
                <c:formatCode>General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Calibration'!$F$225:$F$252</c15:sqref>
                  </c15:fullRef>
                </c:ext>
              </c:extLst>
              <c:f>'Model 1 Alternative Calibration'!$F$226:$F$252</c:f>
              <c:numCache>
                <c:formatCode>0.00%</c:formatCode>
                <c:ptCount val="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6F-ED46-AD70-C7445D1D3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Alternative Calibration'!$C$224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'Model 1 Alternative Calibration'!$C$225:$C$253</c15:sqref>
                        </c15:fullRef>
                        <c15:formulaRef>
                          <c15:sqref>'Model 1 Alternative Calibration'!$C$226:$C$253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9A6F-ED46-AD70-C7445D1D3303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Calibration'!$G$224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Calibration'!$G$225:$G$253</c15:sqref>
                        </c15:fullRef>
                        <c15:formulaRef>
                          <c15:sqref>'Model 1 Alternative Calibration'!$G$226:$G$253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A6F-ED46-AD70-C7445D1D3303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Calibration'!$H$224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Calibration'!$H$225:$H$253</c15:sqref>
                        </c15:fullRef>
                        <c15:formulaRef>
                          <c15:sqref>'Model 1 Alternative Calibration'!$H$226:$H$253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A6F-ED46-AD70-C7445D1D3303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Calibration'!$I$224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Calibration'!$I$225:$I$253</c15:sqref>
                        </c15:fullRef>
                        <c15:formulaRef>
                          <c15:sqref>'Model 1 Alternative Calibration'!$I$226:$I$253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A6F-ED46-AD70-C7445D1D3303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Calibration'!$J$224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Calibration'!$J$225:$J$253</c15:sqref>
                        </c15:fullRef>
                        <c15:formulaRef>
                          <c15:sqref>'Model 1 Alternative Calibration'!$J$226:$J$253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A6F-ED46-AD70-C7445D1D3303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Calibration'!$K$224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Calibration'!$K$225:$K$253</c15:sqref>
                        </c15:fullRef>
                        <c15:formulaRef>
                          <c15:sqref>'Model 1 Alternative Calibration'!$K$226:$K$253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A6F-ED46-AD70-C7445D1D3303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Calibration'!$L$224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Calibration'!$L$225:$L$253</c15:sqref>
                        </c15:fullRef>
                        <c15:formulaRef>
                          <c15:sqref>'Model 1 Alternative Calibration'!$L$226:$L$253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A6F-ED46-AD70-C7445D1D3303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Transformative</a:t>
            </a:r>
            <a:r>
              <a:rPr lang="en-US" baseline="0"/>
              <a:t> - Cumulative GDP Growth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4"/>
          <c:order val="4"/>
          <c:tx>
            <c:strRef>
              <c:f>'Model 1 Alternative Calibration'!$G$224</c:f>
              <c:strCache>
                <c:ptCount val="1"/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Calibration'!$C$224:$C$252</c15:sqref>
                  </c15:fullRef>
                </c:ext>
              </c:extLst>
              <c:f>'Model 1 Alternative Calibration'!$C$225:$C$252</c:f>
              <c:numCache>
                <c:formatCode>General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Calibration'!$G$225:$G$253</c15:sqref>
                  </c15:fullRef>
                </c:ext>
              </c:extLst>
              <c:f>'Model 1 Alternative Calibration'!$G$226:$G$253</c:f>
              <c:numCache>
                <c:formatCode>0.00%</c:formatCode>
                <c:ptCount val="28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B365-E54D-A867-8E5BCB7AF021}"/>
            </c:ext>
          </c:extLst>
        </c:ser>
        <c:ser>
          <c:idx val="5"/>
          <c:order val="5"/>
          <c:tx>
            <c:v>10th-90th Percentile</c:v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Calibration'!$C$224:$C$252</c15:sqref>
                  </c15:fullRef>
                </c:ext>
              </c:extLst>
              <c:f>'Model 1 Alternative Calibration'!$C$225:$C$252</c:f>
              <c:numCache>
                <c:formatCode>General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Calibration'!$H$225:$H$252</c15:sqref>
                  </c15:fullRef>
                </c:ext>
              </c:extLst>
              <c:f>'Model 1 Alternative Calibration'!$H$226:$H$252</c:f>
              <c:numCache>
                <c:formatCode>0.00%</c:formatCode>
                <c:ptCount val="27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B365-E54D-A867-8E5BCB7AF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'Model 1 Alternative Calibration'!$D$224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noFill/>
                  <a:ln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'Model 1 Alternative Calibration'!$D$225:$D$253</c15:sqref>
                        </c15:fullRef>
                        <c15:formulaRef>
                          <c15:sqref>'Model 1 Alternative Calibration'!$D$226:$D$253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B365-E54D-A867-8E5BCB7AF021}"/>
                  </c:ext>
                </c:extLst>
              </c15:ser>
            </c15:filteredAreaSeries>
            <c15:filteredAreaSeries>
              <c15:ser>
                <c:idx val="2"/>
                <c:order val="2"/>
                <c:tx>
                  <c:v>10th-90th Percentile</c:v>
                </c:tx>
                <c:spPr>
                  <a:solidFill>
                    <a:schemeClr val="tx2">
                      <a:lumMod val="60000"/>
                      <a:lumOff val="40000"/>
                      <a:alpha val="27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Calibration'!$E$225:$E$252</c15:sqref>
                        </c15:fullRef>
                        <c15:formulaRef>
                          <c15:sqref>'Model 1 Alternative Calibration'!$E$226:$E$252</c15:sqref>
                        </c15:formulaRef>
                      </c:ext>
                    </c:extLst>
                    <c:numCache>
                      <c:formatCode>0.00%</c:formatCode>
                      <c:ptCount val="27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365-E54D-A867-8E5BCB7AF021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6"/>
          <c:order val="6"/>
          <c:tx>
            <c:v>Mean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Calibration'!$C$224:$C$252</c15:sqref>
                  </c15:fullRef>
                </c:ext>
              </c:extLst>
              <c:f>'Model 1 Alternative Calibration'!$C$225:$C$252</c:f>
              <c:numCache>
                <c:formatCode>General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Calibration'!$I$225:$I$252</c15:sqref>
                  </c15:fullRef>
                </c:ext>
              </c:extLst>
              <c:f>'Model 1 Alternative Calibration'!$I$226:$I$252</c:f>
              <c:numCache>
                <c:formatCode>0.00%</c:formatCode>
                <c:ptCount val="27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365-E54D-A867-8E5BCB7AF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Alternative Calibration'!$C$224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'Model 1 Alternative Calibration'!$C$225:$C$253</c15:sqref>
                        </c15:fullRef>
                        <c15:formulaRef>
                          <c15:sqref>'Model 1 Alternative Calibration'!$C$226:$C$253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B365-E54D-A867-8E5BCB7AF021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Mean</c:v>
                </c:tx>
                <c:spPr>
                  <a:ln w="28575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Calibration'!$F$225:$F$252</c15:sqref>
                        </c15:fullRef>
                        <c15:formulaRef>
                          <c15:sqref>'Model 1 Alternative Calibration'!$F$226:$F$252</c15:sqref>
                        </c15:formulaRef>
                      </c:ext>
                    </c:extLst>
                    <c:numCache>
                      <c:formatCode>0.00%</c:formatCode>
                      <c:ptCount val="27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365-E54D-A867-8E5BCB7AF021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Calibration'!$J$224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Calibration'!$J$225:$J$253</c15:sqref>
                        </c15:fullRef>
                        <c15:formulaRef>
                          <c15:sqref>'Model 1 Alternative Calibration'!$J$226:$J$253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365-E54D-A867-8E5BCB7AF021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Calibration'!$K$224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Calibration'!$K$225:$K$253</c15:sqref>
                        </c15:fullRef>
                        <c15:formulaRef>
                          <c15:sqref>'Model 1 Alternative Calibration'!$K$226:$K$253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365-E54D-A867-8E5BCB7AF021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Calibration'!$L$224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Calibration'!$L$225:$L$253</c15:sqref>
                        </c15:fullRef>
                        <c15:formulaRef>
                          <c15:sqref>'Model 1 Alternative Calibration'!$L$226:$L$253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365-E54D-A867-8E5BCB7AF021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Singularity</a:t>
            </a:r>
            <a:r>
              <a:rPr lang="en-US" baseline="0"/>
              <a:t> - Cumulative GDP Growth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7"/>
          <c:order val="7"/>
          <c:tx>
            <c:strRef>
              <c:f>'Model 1 Alternative Calibration'!$J$224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Calibration'!$C$224:$C$252</c15:sqref>
                  </c15:fullRef>
                </c:ext>
              </c:extLst>
              <c:f>'Model 1 Alternative Calibration'!$C$225:$C$252</c:f>
              <c:numCache>
                <c:formatCode>General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Calibration'!$J$225:$J$252</c15:sqref>
                  </c15:fullRef>
                </c:ext>
              </c:extLst>
              <c:f>'Model 1 Alternative Calibration'!$J$226:$J$252</c:f>
              <c:numCache>
                <c:formatCode>0.00%</c:formatCode>
                <c:ptCount val="27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2127-D44A-88D8-DD4E8073A876}"/>
            </c:ext>
          </c:extLst>
        </c:ser>
        <c:ser>
          <c:idx val="8"/>
          <c:order val="8"/>
          <c:tx>
            <c:v>10th-90th Percentile</c:v>
          </c:tx>
          <c:spPr>
            <a:solidFill>
              <a:srgbClr val="C00000">
                <a:alpha val="20000"/>
              </a:srgbClr>
            </a:solidFill>
            <a:ln>
              <a:noFill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Calibration'!$C$224:$C$252</c15:sqref>
                  </c15:fullRef>
                </c:ext>
              </c:extLst>
              <c:f>'Model 1 Alternative Calibration'!$C$225:$C$252</c:f>
              <c:numCache>
                <c:formatCode>General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Calibration'!$K$225:$K$252</c15:sqref>
                  </c15:fullRef>
                </c:ext>
              </c:extLst>
              <c:f>'Model 1 Alternative Calibration'!$K$226:$K$252</c:f>
              <c:numCache>
                <c:formatCode>0.00%</c:formatCode>
                <c:ptCount val="27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2127-D44A-88D8-DD4E8073A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'Model 1 Alternative Calibration'!$D$224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noFill/>
                  <a:ln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'Model 1 Alternative Calibration'!$D$225:$D$253</c15:sqref>
                        </c15:fullRef>
                        <c15:formulaRef>
                          <c15:sqref>'Model 1 Alternative Calibration'!$D$226:$D$253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2127-D44A-88D8-DD4E8073A876}"/>
                  </c:ext>
                </c:extLst>
              </c15:ser>
            </c15:filteredAreaSeries>
            <c15:filteredAreaSeries>
              <c15:ser>
                <c:idx val="2"/>
                <c:order val="2"/>
                <c:tx>
                  <c:v>10th-90th Percentile</c:v>
                </c:tx>
                <c:spPr>
                  <a:solidFill>
                    <a:schemeClr val="tx2">
                      <a:lumMod val="60000"/>
                      <a:lumOff val="40000"/>
                      <a:alpha val="27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Calibration'!$E$225:$E$252</c15:sqref>
                        </c15:fullRef>
                        <c15:formulaRef>
                          <c15:sqref>'Model 1 Alternative Calibration'!$E$226:$E$252</c15:sqref>
                        </c15:formulaRef>
                      </c:ext>
                    </c:extLst>
                    <c:numCache>
                      <c:formatCode>0.00%</c:formatCode>
                      <c:ptCount val="27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127-D44A-88D8-DD4E8073A876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Alternative Calibration'!$G$224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bg1"/>
                  </a:solidFill>
                  <a:ln>
                    <a:noFill/>
                  </a:ln>
                  <a:effectLst/>
                </c:spP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Calibration'!$G$225:$G$253</c15:sqref>
                        </c15:fullRef>
                        <c15:formulaRef>
                          <c15:sqref>'Model 1 Alternative Calibration'!$G$226:$G$253</c15:sqref>
                        </c15:formulaRef>
                      </c:ext>
                    </c:extLst>
                    <c:numCache>
                      <c:formatCode>0.00%</c:formatCode>
                      <c:ptCount val="28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127-D44A-88D8-DD4E8073A876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v>10th-90th Percentile</c:v>
                </c:tx>
                <c:spPr>
                  <a:solidFill>
                    <a:schemeClr val="accent6">
                      <a:lumMod val="40000"/>
                      <a:lumOff val="60000"/>
                    </a:schemeClr>
                  </a:solidFill>
                  <a:ln>
                    <a:noFill/>
                  </a:ln>
                  <a:effectLst/>
                </c:spP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Calibration'!$H$225:$H$252</c15:sqref>
                        </c15:fullRef>
                        <c15:formulaRef>
                          <c15:sqref>'Model 1 Alternative Calibration'!$H$226:$H$252</c15:sqref>
                        </c15:formulaRef>
                      </c:ext>
                    </c:extLst>
                    <c:numCache>
                      <c:formatCode>0.00%</c:formatCode>
                      <c:ptCount val="27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127-D44A-88D8-DD4E8073A876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9"/>
          <c:order val="9"/>
          <c:tx>
            <c:v>Mean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Calibration'!$C$224:$C$252</c15:sqref>
                  </c15:fullRef>
                </c:ext>
              </c:extLst>
              <c:f>'Model 1 Alternative Calibration'!$C$225:$C$252</c:f>
              <c:numCache>
                <c:formatCode>General</c:formatCode>
                <c:ptCount val="28"/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Alternative Calibration'!$L$225:$L$252</c15:sqref>
                  </c15:fullRef>
                </c:ext>
              </c:extLst>
              <c:f>'Model 1 Alternative Calibration'!$L$226:$L$252</c:f>
              <c:numCache>
                <c:formatCode>0.00%</c:formatCode>
                <c:ptCount val="27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127-D44A-88D8-DD4E8073A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Alternative Calibration'!$C$224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'Model 1 Alternative Calibration'!$C$225:$C$253</c15:sqref>
                        </c15:fullRef>
                        <c15:formulaRef>
                          <c15:sqref>'Model 1 Alternative Calibration'!$C$226:$C$253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127-D44A-88D8-DD4E8073A876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Mean</c:v>
                </c:tx>
                <c:spPr>
                  <a:ln w="28575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Calibration'!$F$225:$F$252</c15:sqref>
                        </c15:fullRef>
                        <c15:formulaRef>
                          <c15:sqref>'Model 1 Alternative Calibration'!$F$226:$F$252</c15:sqref>
                        </c15:formulaRef>
                      </c:ext>
                    </c:extLst>
                    <c:numCache>
                      <c:formatCode>0.00%</c:formatCode>
                      <c:ptCount val="27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127-D44A-88D8-DD4E8073A876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v>Mean</c:v>
                </c:tx>
                <c:spPr>
                  <a:ln w="28575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Calibration'!$C$224:$C$252</c15:sqref>
                        </c15:fullRef>
                        <c15:formulaRef>
                          <c15:sqref>'Model 1 Alternative Calibration'!$C$225:$C$252</c15:sqref>
                        </c15:formulaRef>
                      </c:ext>
                    </c:extLst>
                    <c:numCache>
                      <c:formatCode>General</c:formatCode>
                      <c:ptCount val="28"/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Alternative Calibration'!$I$225:$I$252</c15:sqref>
                        </c15:fullRef>
                        <c15:formulaRef>
                          <c15:sqref>'Model 1 Alternative Calibration'!$I$226:$I$252</c15:sqref>
                        </c15:formulaRef>
                      </c:ext>
                    </c:extLst>
                    <c:numCache>
                      <c:formatCode>0.00%</c:formatCode>
                      <c:ptCount val="27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127-D44A-88D8-DD4E8073A876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'Model 1 - Inv &amp; GDP Paths'!$H$35</c:f>
              <c:strCache>
                <c:ptCount val="1"/>
                <c:pt idx="0">
                  <c:v> Friction / Moderate 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B7E-4648-B4D1-F8C773E0B2AB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5B7E-4648-B4D1-F8C773E0B2AB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B7E-4648-B4D1-F8C773E0B2AB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5B7E-4648-B4D1-F8C773E0B2AB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B7E-4648-B4D1-F8C773E0B2AB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B7E-4648-B4D1-F8C773E0B2AB}"/>
              </c:ext>
            </c:extLst>
          </c:dPt>
          <c:dPt>
            <c:idx val="6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5B7E-4648-B4D1-F8C773E0B2AB}"/>
              </c:ext>
            </c:extLst>
          </c:dPt>
          <c:dPt>
            <c:idx val="7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B7E-4648-B4D1-F8C773E0B2AB}"/>
              </c:ext>
            </c:extLst>
          </c:dPt>
          <c:dPt>
            <c:idx val="8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5B7E-4648-B4D1-F8C773E0B2AB}"/>
              </c:ext>
            </c:extLst>
          </c:dPt>
          <c:dPt>
            <c:idx val="9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B7E-4648-B4D1-F8C773E0B2AB}"/>
              </c:ext>
            </c:extLst>
          </c:dPt>
          <c:dPt>
            <c:idx val="1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5B7E-4648-B4D1-F8C773E0B2AB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Paths'!$H$36:$H$46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848.06753096710338</c:v>
                </c:pt>
                <c:pt idx="7">
                  <c:v>812.12142719603526</c:v>
                </c:pt>
                <c:pt idx="8">
                  <c:v>387.67758374680818</c:v>
                </c:pt>
                <c:pt idx="9">
                  <c:v>405.07485214870968</c:v>
                </c:pt>
                <c:pt idx="10">
                  <c:v>416.67303108331066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08D4-49DB-88BB-E8F5E4335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1-5B7E-4648-B4D1-F8C773E0B2AB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5B7E-4648-B4D1-F8C773E0B2AB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5-5B7E-4648-B4D1-F8C773E0B2AB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5B7E-4648-B4D1-F8C773E0B2AB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5B7E-4648-B4D1-F8C773E0B2AB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5B7E-4648-B4D1-F8C773E0B2AB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-461.21010315164585</c:v>
                      </c:pt>
                      <c:pt idx="9">
                        <c:v>439.86938895251274</c:v>
                      </c:pt>
                      <c:pt idx="10">
                        <c:v>439.86938895251274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08D4-49DB-88BB-E8F5E4335BEB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-1239.9537980583882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8D4-49DB-88BB-E8F5E4335BEB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2509.6312629718686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8D4-49DB-88BB-E8F5E4335BE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6747.0916074552442</c:v>
                      </c:pt>
                      <c:pt idx="9">
                        <c:v>3179.3410818617995</c:v>
                      </c:pt>
                      <c:pt idx="10">
                        <c:v>3179.3410818617995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8D4-49DB-88BB-E8F5E4335BEB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1239.0845183424146</c:v>
                      </c:pt>
                      <c:pt idx="9">
                        <c:v>1220.2495890560735</c:v>
                      </c:pt>
                      <c:pt idx="10">
                        <c:v>1207.6929695318461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8D4-49DB-88BB-E8F5E4335BEB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1377.958039121313</c:v>
                      </c:pt>
                      <c:pt idx="9">
                        <c:v>1312.8319362420057</c:v>
                      </c:pt>
                      <c:pt idx="10">
                        <c:v>1269.4145343224677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8D4-49DB-88BB-E8F5E4335BEB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3901.4329868469586</c:v>
                      </c:pt>
                      <c:pt idx="9">
                        <c:v>3660.7356851852392</c:v>
                      </c:pt>
                      <c:pt idx="10">
                        <c:v>3500.2708174107593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8D4-49DB-88BB-E8F5E4335BEB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'Model 1 - Inv &amp; GDP Paths'!$I$35</c:f>
              <c:strCache>
                <c:ptCount val="1"/>
                <c:pt idx="0">
                  <c:v> Friction / Trans-a </c:v>
                </c:pt>
              </c:strCache>
              <c:extLst xmlns:c15="http://schemas.microsoft.com/office/drawing/2012/chart"/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7484-4F32-A5AC-FD12DFD466B4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484-4F32-A5AC-FD12DFD466B4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7484-4F32-A5AC-FD12DFD466B4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7484-4F32-A5AC-FD12DFD466B4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7484-4F32-A5AC-FD12DFD466B4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7484-4F32-A5AC-FD12DFD466B4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7484-4F32-A5AC-FD12DFD466B4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7484-4F32-A5AC-FD12DFD466B4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7484-4F32-A5AC-FD12DFD466B4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7484-4F32-A5AC-FD12DFD466B4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7484-4F32-A5AC-FD12DFD466B4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Paths'!$I$36:$I$46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848.06753096710338</c:v>
                </c:pt>
                <c:pt idx="7">
                  <c:v>2478.6036765428157</c:v>
                </c:pt>
                <c:pt idx="8">
                  <c:v>1239.0845183424146</c:v>
                </c:pt>
                <c:pt idx="9">
                  <c:v>1220.2495890560735</c:v>
                </c:pt>
                <c:pt idx="10">
                  <c:v>1207.6929695318461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D-7484-4F32-A5AC-FD12DFD46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E-7484-4F32-A5AC-FD12DFD466B4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7484-4F32-A5AC-FD12DFD466B4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7484-4F32-A5AC-FD12DFD466B4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7484-4F32-A5AC-FD12DFD466B4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6-7484-4F32-A5AC-FD12DFD466B4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7484-4F32-A5AC-FD12DFD466B4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-461.21010315164585</c:v>
                      </c:pt>
                      <c:pt idx="9">
                        <c:v>439.86938895251274</c:v>
                      </c:pt>
                      <c:pt idx="10">
                        <c:v>439.86938895251274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9-7484-4F32-A5AC-FD12DFD466B4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1-7484-4F32-A5AC-FD12DFD466B4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7484-4F32-A5AC-FD12DFD466B4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7484-4F32-A5AC-FD12DFD466B4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7484-4F32-A5AC-FD12DFD466B4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7484-4F32-A5AC-FD12DFD466B4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B-7484-4F32-A5AC-FD12DFD466B4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-1239.9537980583882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484-4F32-A5AC-FD12DFD466B4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2509.6312629718686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484-4F32-A5AC-FD12DFD466B4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6747.0916074552442</c:v>
                      </c:pt>
                      <c:pt idx="9">
                        <c:v>3179.3410818617995</c:v>
                      </c:pt>
                      <c:pt idx="10">
                        <c:v>3179.3410818617995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484-4F32-A5AC-FD12DFD466B4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387.67758374680818</c:v>
                      </c:pt>
                      <c:pt idx="9">
                        <c:v>405.07485214870968</c:v>
                      </c:pt>
                      <c:pt idx="10">
                        <c:v>416.67303108331066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484-4F32-A5AC-FD12DFD466B4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1377.958039121313</c:v>
                      </c:pt>
                      <c:pt idx="9">
                        <c:v>1312.8319362420057</c:v>
                      </c:pt>
                      <c:pt idx="10">
                        <c:v>1269.4145343224677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7484-4F32-A5AC-FD12DFD466B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3901.4329868469586</c:v>
                      </c:pt>
                      <c:pt idx="9">
                        <c:v>3660.7356851852392</c:v>
                      </c:pt>
                      <c:pt idx="10">
                        <c:v>3500.2708174107593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7484-4F32-A5AC-FD12DFD466B4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6"/>
          <c:order val="6"/>
          <c:tx>
            <c:strRef>
              <c:f>'Model 1 - Inv &amp; GDP Paths'!$J$35</c:f>
              <c:strCache>
                <c:ptCount val="1"/>
                <c:pt idx="0">
                  <c:v> Friction / Trans-b 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EF73-42D7-A285-4C0E4EE1214D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EF73-42D7-A285-4C0E4EE1214D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EF73-42D7-A285-4C0E4EE1214D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EF73-42D7-A285-4C0E4EE1214D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EF73-42D7-A285-4C0E4EE1214D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EF73-42D7-A285-4C0E4EE1214D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EF73-42D7-A285-4C0E4EE1214D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EF73-42D7-A285-4C0E4EE1214D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EF73-42D7-A285-4C0E4EE1214D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EF73-42D7-A285-4C0E4EE1214D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EF73-42D7-A285-4C0E4EE1214D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Paths'!$J$36:$J$46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848.06753096710338</c:v>
                </c:pt>
                <c:pt idx="7">
                  <c:v>812.12142719603526</c:v>
                </c:pt>
                <c:pt idx="8">
                  <c:v>1377.958039121313</c:v>
                </c:pt>
                <c:pt idx="9">
                  <c:v>1312.8319362420057</c:v>
                </c:pt>
                <c:pt idx="10">
                  <c:v>1269.4145343224677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E-EF73-42D7-A285-4C0E4EE12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E-EF73-42D7-A285-4C0E4EE1214D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EF73-42D7-A285-4C0E4EE1214D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EF73-42D7-A285-4C0E4EE1214D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EF73-42D7-A285-4C0E4EE1214D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6-EF73-42D7-A285-4C0E4EE1214D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EF73-42D7-A285-4C0E4EE1214D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-461.21010315164585</c:v>
                      </c:pt>
                      <c:pt idx="9">
                        <c:v>439.86938895251274</c:v>
                      </c:pt>
                      <c:pt idx="10">
                        <c:v>439.86938895251274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9-EF73-42D7-A285-4C0E4EE1214D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-1239.9537980583882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F73-42D7-A285-4C0E4EE1214D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1-EF73-42D7-A285-4C0E4EE1214D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EF73-42D7-A285-4C0E4EE1214D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EF73-42D7-A285-4C0E4EE1214D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EF73-42D7-A285-4C0E4EE1214D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EF73-42D7-A285-4C0E4EE1214D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B-EF73-42D7-A285-4C0E4EE1214D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2509.6312629718686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F73-42D7-A285-4C0E4EE1214D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6747.0916074552442</c:v>
                      </c:pt>
                      <c:pt idx="9">
                        <c:v>3179.3410818617995</c:v>
                      </c:pt>
                      <c:pt idx="10">
                        <c:v>3179.3410818617995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F73-42D7-A285-4C0E4EE1214D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387.67758374680818</c:v>
                      </c:pt>
                      <c:pt idx="9">
                        <c:v>405.07485214870968</c:v>
                      </c:pt>
                      <c:pt idx="10">
                        <c:v>416.67303108331066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F73-42D7-A285-4C0E4EE1214D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1239.0845183424146</c:v>
                      </c:pt>
                      <c:pt idx="9">
                        <c:v>1220.2495890560735</c:v>
                      </c:pt>
                      <c:pt idx="10">
                        <c:v>1207.6929695318461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F73-42D7-A285-4C0E4EE1214D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3901.4329868469586</c:v>
                      </c:pt>
                      <c:pt idx="9">
                        <c:v>3660.7356851852392</c:v>
                      </c:pt>
                      <c:pt idx="10">
                        <c:v>3500.2708174107593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F73-42D7-A285-4C0E4EE1214D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7"/>
          <c:order val="7"/>
          <c:tx>
            <c:strRef>
              <c:f>'Model 1 - Inv &amp; GDP Paths'!$K$35</c:f>
              <c:strCache>
                <c:ptCount val="1"/>
                <c:pt idx="0">
                  <c:v> Friction / Singularity 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C448-40D1-B51A-CB22D6F22384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C448-40D1-B51A-CB22D6F22384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E-C448-40D1-B51A-CB22D6F22384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C448-40D1-B51A-CB22D6F22384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C448-40D1-B51A-CB22D6F22384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C448-40D1-B51A-CB22D6F22384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C448-40D1-B51A-CB22D6F22384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C448-40D1-B51A-CB22D6F22384}"/>
              </c:ext>
            </c:extLst>
          </c:dPt>
          <c:dPt>
            <c:idx val="8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C448-40D1-B51A-CB22D6F22384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C448-40D1-B51A-CB22D6F22384}"/>
              </c:ext>
            </c:extLst>
          </c:dPt>
          <c:dPt>
            <c:idx val="1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C448-40D1-B51A-CB22D6F22384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Paths'!$K$36:$K$46</c:f>
              <c:numCache>
                <c:formatCode>0</c:formatCode>
                <c:ptCount val="11"/>
                <c:pt idx="0">
                  <c:v>155</c:v>
                </c:pt>
                <c:pt idx="1">
                  <c:v>150</c:v>
                </c:pt>
                <c:pt idx="2">
                  <c:v>226</c:v>
                </c:pt>
                <c:pt idx="3">
                  <c:v>381</c:v>
                </c:pt>
                <c:pt idx="4">
                  <c:v>755</c:v>
                </c:pt>
                <c:pt idx="5">
                  <c:v>1090</c:v>
                </c:pt>
                <c:pt idx="6">
                  <c:v>848.06753096710338</c:v>
                </c:pt>
                <c:pt idx="7">
                  <c:v>2478.6036765428157</c:v>
                </c:pt>
                <c:pt idx="8">
                  <c:v>3901.4329868469586</c:v>
                </c:pt>
                <c:pt idx="9">
                  <c:v>3660.7356851852392</c:v>
                </c:pt>
                <c:pt idx="10">
                  <c:v>3500.2708174107593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2B-C448-40D1-B51A-CB22D6F22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E-C448-40D1-B51A-CB22D6F22384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C448-40D1-B51A-CB22D6F22384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C448-40D1-B51A-CB22D6F22384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C448-40D1-B51A-CB22D6F22384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6-C448-40D1-B51A-CB22D6F22384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C448-40D1-B51A-CB22D6F22384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-461.21010315164585</c:v>
                      </c:pt>
                      <c:pt idx="9">
                        <c:v>439.86938895251274</c:v>
                      </c:pt>
                      <c:pt idx="10">
                        <c:v>439.86938895251274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9-C448-40D1-B51A-CB22D6F22384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C448-40D1-B51A-CB22D6F22384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C448-40D1-B51A-CB22D6F22384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C448-40D1-B51A-CB22D6F22384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C448-40D1-B51A-CB22D6F22384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C448-40D1-B51A-CB22D6F22384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C448-40D1-B51A-CB22D6F22384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-1239.9537980583882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448-40D1-B51A-CB22D6F22384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740.22921965389924</c:v>
                      </c:pt>
                      <c:pt idx="8">
                        <c:v>2509.6312629718686</c:v>
                      </c:pt>
                      <c:pt idx="9">
                        <c:v>1182.5797304833914</c:v>
                      </c:pt>
                      <c:pt idx="10">
                        <c:v>1182.5797304833914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448-40D1-B51A-CB22D6F22384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1-C448-40D1-B51A-CB22D6F22384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C448-40D1-B51A-CB22D6F22384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C448-40D1-B51A-CB22D6F22384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C448-40D1-B51A-CB22D6F22384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C448-40D1-B51A-CB22D6F22384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B-C448-40D1-B51A-CB22D6F22384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1710.7740214727385</c:v>
                      </c:pt>
                      <c:pt idx="7">
                        <c:v>5739.6759676942411</c:v>
                      </c:pt>
                      <c:pt idx="8">
                        <c:v>6747.0916074552442</c:v>
                      </c:pt>
                      <c:pt idx="9">
                        <c:v>3179.3410818617995</c:v>
                      </c:pt>
                      <c:pt idx="10">
                        <c:v>3179.3410818617995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448-40D1-B51A-CB22D6F22384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387.67758374680818</c:v>
                      </c:pt>
                      <c:pt idx="9">
                        <c:v>405.07485214870968</c:v>
                      </c:pt>
                      <c:pt idx="10">
                        <c:v>416.67303108331066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448-40D1-B51A-CB22D6F22384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2478.6036765428157</c:v>
                      </c:pt>
                      <c:pt idx="8">
                        <c:v>1239.0845183424146</c:v>
                      </c:pt>
                      <c:pt idx="9">
                        <c:v>1220.2495890560735</c:v>
                      </c:pt>
                      <c:pt idx="10">
                        <c:v>1207.6929695318461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448-40D1-B51A-CB22D6F22384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155</c:v>
                      </c:pt>
                      <c:pt idx="1">
                        <c:v>150</c:v>
                      </c:pt>
                      <c:pt idx="2">
                        <c:v>226</c:v>
                      </c:pt>
                      <c:pt idx="3">
                        <c:v>381</c:v>
                      </c:pt>
                      <c:pt idx="4">
                        <c:v>755</c:v>
                      </c:pt>
                      <c:pt idx="5">
                        <c:v>1090</c:v>
                      </c:pt>
                      <c:pt idx="6">
                        <c:v>848.06753096710338</c:v>
                      </c:pt>
                      <c:pt idx="7">
                        <c:v>812.12142719603526</c:v>
                      </c:pt>
                      <c:pt idx="8">
                        <c:v>1377.958039121313</c:v>
                      </c:pt>
                      <c:pt idx="9">
                        <c:v>1312.8319362420057</c:v>
                      </c:pt>
                      <c:pt idx="10">
                        <c:v>1269.4145343224677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448-40D1-B51A-CB22D6F22384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Run Cumulative GDP Growth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Moderate</c:v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Paths'!$C$51:$C$61,'Model 1 - Inv &amp; GDP Paths'!$C$97:$C$114)</c15:sqref>
                  </c15:fullRef>
                </c:ext>
              </c:extLst>
              <c:f>('Model 1 - Inv &amp; GDP Paths'!$C$52:$C$61,'Model 1 - Inv &amp; GDP Paths'!$C$97:$C$114)</c:f>
              <c:numCache>
                <c:formatCode>0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 formatCode="General">
                  <c:v>2032</c:v>
                </c:pt>
                <c:pt idx="11" formatCode="General">
                  <c:v>2033</c:v>
                </c:pt>
                <c:pt idx="12" formatCode="General">
                  <c:v>2034</c:v>
                </c:pt>
                <c:pt idx="13" formatCode="General">
                  <c:v>2035</c:v>
                </c:pt>
                <c:pt idx="14" formatCode="General">
                  <c:v>2036</c:v>
                </c:pt>
                <c:pt idx="15" formatCode="General">
                  <c:v>2037</c:v>
                </c:pt>
                <c:pt idx="16" formatCode="General">
                  <c:v>2038</c:v>
                </c:pt>
                <c:pt idx="17" formatCode="General">
                  <c:v>2039</c:v>
                </c:pt>
                <c:pt idx="18" formatCode="General">
                  <c:v>2040</c:v>
                </c:pt>
                <c:pt idx="19" formatCode="General">
                  <c:v>2041</c:v>
                </c:pt>
                <c:pt idx="20" formatCode="General">
                  <c:v>2042</c:v>
                </c:pt>
                <c:pt idx="21" formatCode="General">
                  <c:v>2043</c:v>
                </c:pt>
                <c:pt idx="22" formatCode="General">
                  <c:v>2044</c:v>
                </c:pt>
                <c:pt idx="23" formatCode="General">
                  <c:v>2045</c:v>
                </c:pt>
                <c:pt idx="24" formatCode="General">
                  <c:v>2046</c:v>
                </c:pt>
                <c:pt idx="25" formatCode="General">
                  <c:v>2047</c:v>
                </c:pt>
                <c:pt idx="26" formatCode="General">
                  <c:v>2048</c:v>
                </c:pt>
                <c:pt idx="27" formatCode="General">
                  <c:v>2049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Paths'!$D$51:$D$61,'Model 1 - Inv &amp; GDP Paths'!$D$97:$D$114)</c15:sqref>
                  </c15:fullRef>
                </c:ext>
              </c:extLst>
              <c:f>('Model 1 - Inv &amp; GDP Paths'!$D$52:$D$61,'Model 1 - Inv &amp; GDP Paths'!$D$97:$D$114)</c:f>
              <c:numCache>
                <c:formatCode>0.0%</c:formatCode>
                <c:ptCount val="28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6.9935590906174294E-2</c:v>
                </c:pt>
                <c:pt idx="7">
                  <c:v>6.9935590906174294E-2</c:v>
                </c:pt>
                <c:pt idx="8">
                  <c:v>5.3858790033896042E-2</c:v>
                </c:pt>
                <c:pt idx="9">
                  <c:v>5.3858790033896042E-2</c:v>
                </c:pt>
                <c:pt idx="10" formatCode="0.00%">
                  <c:v>7.1998743389561359E-2</c:v>
                </c:pt>
                <c:pt idx="11" formatCode="0.00%">
                  <c:v>7.8774534566617926E-2</c:v>
                </c:pt>
                <c:pt idx="12" formatCode="0.00%">
                  <c:v>8.6930196112816979E-2</c:v>
                </c:pt>
                <c:pt idx="13" formatCode="0.00%">
                  <c:v>9.4611375327338265E-2</c:v>
                </c:pt>
                <c:pt idx="14" formatCode="0.00%">
                  <c:v>0.10351306421659272</c:v>
                </c:pt>
                <c:pt idx="15" formatCode="0.00%">
                  <c:v>0.1120427395715396</c:v>
                </c:pt>
                <c:pt idx="16" formatCode="0.00%">
                  <c:v>0.12108497512997747</c:v>
                </c:pt>
                <c:pt idx="17" formatCode="0.00%">
                  <c:v>0.13055840160571053</c:v>
                </c:pt>
                <c:pt idx="18" formatCode="0.00%">
                  <c:v>0.14252405228460763</c:v>
                </c:pt>
                <c:pt idx="19" formatCode="0.00%">
                  <c:v>0.154695432920475</c:v>
                </c:pt>
                <c:pt idx="20" formatCode="0.00%">
                  <c:v>0.16578175224167085</c:v>
                </c:pt>
                <c:pt idx="21" formatCode="0.00%">
                  <c:v>0.17915364901595343</c:v>
                </c:pt>
                <c:pt idx="22" formatCode="0.00%">
                  <c:v>0.19352503670362006</c:v>
                </c:pt>
                <c:pt idx="23" formatCode="0.00%">
                  <c:v>0.20646375580929743</c:v>
                </c:pt>
                <c:pt idx="24" formatCode="0.00%">
                  <c:v>0.22088786316876227</c:v>
                </c:pt>
                <c:pt idx="25" formatCode="0.00%">
                  <c:v>0.23793472815818972</c:v>
                </c:pt>
                <c:pt idx="26" formatCode="0.00%">
                  <c:v>0.25940773802529482</c:v>
                </c:pt>
                <c:pt idx="27" formatCode="0.00%">
                  <c:v>0.27668737052530495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14-4D2A-B343-0904F76EFA15}"/>
            </c:ext>
          </c:extLst>
        </c:ser>
        <c:ser>
          <c:idx val="1"/>
          <c:order val="1"/>
          <c:tx>
            <c:v>Transformative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Paths'!$C$51:$C$61,'Model 1 - Inv &amp; GDP Paths'!$C$97:$C$114)</c15:sqref>
                  </c15:fullRef>
                </c:ext>
              </c:extLst>
              <c:f>('Model 1 - Inv &amp; GDP Paths'!$C$52:$C$61,'Model 1 - Inv &amp; GDP Paths'!$C$97:$C$114)</c:f>
              <c:numCache>
                <c:formatCode>0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 formatCode="General">
                  <c:v>2032</c:v>
                </c:pt>
                <c:pt idx="11" formatCode="General">
                  <c:v>2033</c:v>
                </c:pt>
                <c:pt idx="12" formatCode="General">
                  <c:v>2034</c:v>
                </c:pt>
                <c:pt idx="13" formatCode="General">
                  <c:v>2035</c:v>
                </c:pt>
                <c:pt idx="14" formatCode="General">
                  <c:v>2036</c:v>
                </c:pt>
                <c:pt idx="15" formatCode="General">
                  <c:v>2037</c:v>
                </c:pt>
                <c:pt idx="16" formatCode="General">
                  <c:v>2038</c:v>
                </c:pt>
                <c:pt idx="17" formatCode="General">
                  <c:v>2039</c:v>
                </c:pt>
                <c:pt idx="18" formatCode="General">
                  <c:v>2040</c:v>
                </c:pt>
                <c:pt idx="19" formatCode="General">
                  <c:v>2041</c:v>
                </c:pt>
                <c:pt idx="20" formatCode="General">
                  <c:v>2042</c:v>
                </c:pt>
                <c:pt idx="21" formatCode="General">
                  <c:v>2043</c:v>
                </c:pt>
                <c:pt idx="22" formatCode="General">
                  <c:v>2044</c:v>
                </c:pt>
                <c:pt idx="23" formatCode="General">
                  <c:v>2045</c:v>
                </c:pt>
                <c:pt idx="24" formatCode="General">
                  <c:v>2046</c:v>
                </c:pt>
                <c:pt idx="25" formatCode="General">
                  <c:v>2047</c:v>
                </c:pt>
                <c:pt idx="26" formatCode="General">
                  <c:v>2048</c:v>
                </c:pt>
                <c:pt idx="27" formatCode="General">
                  <c:v>2049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Paths'!$E$51:$E$61,'Model 1 - Inv &amp; GDP Paths'!$D$146:$D$163)</c15:sqref>
                  </c15:fullRef>
                </c:ext>
              </c:extLst>
              <c:f>('Model 1 - Inv &amp; GDP Paths'!$E$52:$E$61,'Model 1 - Inv &amp; GDP Paths'!$D$146:$D$163)</c:f>
              <c:numCache>
                <c:formatCode>0.0%</c:formatCode>
                <c:ptCount val="28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0.16415609695538524</c:v>
                </c:pt>
                <c:pt idx="7">
                  <c:v>0.24036324301687606</c:v>
                </c:pt>
                <c:pt idx="8">
                  <c:v>0.19714109726163587</c:v>
                </c:pt>
                <c:pt idx="9">
                  <c:v>0.19714109726163587</c:v>
                </c:pt>
                <c:pt idx="10" formatCode="0.00%">
                  <c:v>0.24568077595889509</c:v>
                </c:pt>
                <c:pt idx="11" formatCode="0.00%">
                  <c:v>0.26084983723538269</c:v>
                </c:pt>
                <c:pt idx="12" formatCode="0.00%">
                  <c:v>0.27865397914865259</c:v>
                </c:pt>
                <c:pt idx="13" formatCode="0.00%">
                  <c:v>0.29749375422284335</c:v>
                </c:pt>
                <c:pt idx="14" formatCode="0.00%">
                  <c:v>0.31989657807650668</c:v>
                </c:pt>
                <c:pt idx="15" formatCode="0.00%">
                  <c:v>0.34243340625691326</c:v>
                </c:pt>
                <c:pt idx="16" formatCode="0.00%">
                  <c:v>0.36696400258215656</c:v>
                </c:pt>
                <c:pt idx="17" formatCode="0.00%">
                  <c:v>0.39352148109407881</c:v>
                </c:pt>
                <c:pt idx="18" formatCode="0.00%">
                  <c:v>0.42219494628152276</c:v>
                </c:pt>
                <c:pt idx="19" formatCode="0.00%">
                  <c:v>0.45071357423796071</c:v>
                </c:pt>
                <c:pt idx="20" formatCode="0.00%">
                  <c:v>0.48708445729558497</c:v>
                </c:pt>
                <c:pt idx="21" formatCode="0.00%">
                  <c:v>0.52508510385239271</c:v>
                </c:pt>
                <c:pt idx="22" formatCode="0.00%">
                  <c:v>0.56124905425791627</c:v>
                </c:pt>
                <c:pt idx="23" formatCode="0.00%">
                  <c:v>0.60025656489282309</c:v>
                </c:pt>
                <c:pt idx="24" formatCode="0.00%">
                  <c:v>0.64901380975047962</c:v>
                </c:pt>
                <c:pt idx="25" formatCode="0.00%">
                  <c:v>0.69416825507390811</c:v>
                </c:pt>
                <c:pt idx="26" formatCode="0.00%">
                  <c:v>0.75285529813368712</c:v>
                </c:pt>
                <c:pt idx="27" formatCode="0.00%">
                  <c:v>0.81056372758329165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14-4D2A-B343-0904F76EFA15}"/>
            </c:ext>
          </c:extLst>
        </c:ser>
        <c:ser>
          <c:idx val="2"/>
          <c:order val="2"/>
          <c:tx>
            <c:v>Singularity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Paths'!$C$51:$C$61,'Model 1 - Inv &amp; GDP Paths'!$C$97:$C$114)</c15:sqref>
                  </c15:fullRef>
                </c:ext>
              </c:extLst>
              <c:f>('Model 1 - Inv &amp; GDP Paths'!$C$52:$C$61,'Model 1 - Inv &amp; GDP Paths'!$C$97:$C$114)</c:f>
              <c:numCache>
                <c:formatCode>0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 formatCode="General">
                  <c:v>2032</c:v>
                </c:pt>
                <c:pt idx="11" formatCode="General">
                  <c:v>2033</c:v>
                </c:pt>
                <c:pt idx="12" formatCode="General">
                  <c:v>2034</c:v>
                </c:pt>
                <c:pt idx="13" formatCode="General">
                  <c:v>2035</c:v>
                </c:pt>
                <c:pt idx="14" formatCode="General">
                  <c:v>2036</c:v>
                </c:pt>
                <c:pt idx="15" formatCode="General">
                  <c:v>2037</c:v>
                </c:pt>
                <c:pt idx="16" formatCode="General">
                  <c:v>2038</c:v>
                </c:pt>
                <c:pt idx="17" formatCode="General">
                  <c:v>2039</c:v>
                </c:pt>
                <c:pt idx="18" formatCode="General">
                  <c:v>2040</c:v>
                </c:pt>
                <c:pt idx="19" formatCode="General">
                  <c:v>2041</c:v>
                </c:pt>
                <c:pt idx="20" formatCode="General">
                  <c:v>2042</c:v>
                </c:pt>
                <c:pt idx="21" formatCode="General">
                  <c:v>2043</c:v>
                </c:pt>
                <c:pt idx="22" formatCode="General">
                  <c:v>2044</c:v>
                </c:pt>
                <c:pt idx="23" formatCode="General">
                  <c:v>2045</c:v>
                </c:pt>
                <c:pt idx="24" formatCode="General">
                  <c:v>2046</c:v>
                </c:pt>
                <c:pt idx="25" formatCode="General">
                  <c:v>2047</c:v>
                </c:pt>
                <c:pt idx="26" formatCode="General">
                  <c:v>2048</c:v>
                </c:pt>
                <c:pt idx="27" formatCode="General">
                  <c:v>2049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('Model 1 - Inv &amp; GDP Paths'!$G$51:$G$61,'Model 1 - Inv &amp; GDP Paths'!$D$195:$D$212)</c15:sqref>
                  </c15:fullRef>
                </c:ext>
              </c:extLst>
              <c:f>('Model 1 - Inv &amp; GDP Paths'!$G$52:$G$61,'Model 1 - Inv &amp; GDP Paths'!$D$195:$D$212)</c:f>
              <c:numCache>
                <c:formatCode>0.0%</c:formatCode>
                <c:ptCount val="28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0.16415609695538524</c:v>
                </c:pt>
                <c:pt idx="7">
                  <c:v>0.49367311964871785</c:v>
                </c:pt>
                <c:pt idx="8">
                  <c:v>0.58235260895132823</c:v>
                </c:pt>
                <c:pt idx="9">
                  <c:v>0.58235260895132823</c:v>
                </c:pt>
                <c:pt idx="10" formatCode="0.00%">
                  <c:v>0.71742952625481726</c:v>
                </c:pt>
                <c:pt idx="11" formatCode="0.00%">
                  <c:v>0.76728878075036977</c:v>
                </c:pt>
                <c:pt idx="12" formatCode="0.00%">
                  <c:v>0.82383308796490906</c:v>
                </c:pt>
                <c:pt idx="13" formatCode="0.00%">
                  <c:v>0.87939623594010607</c:v>
                </c:pt>
                <c:pt idx="14" formatCode="0.00%">
                  <c:v>0.9347378688352268</c:v>
                </c:pt>
                <c:pt idx="15" formatCode="0.00%">
                  <c:v>1.0075449413581636</c:v>
                </c:pt>
                <c:pt idx="16" formatCode="0.00%">
                  <c:v>1.0798229991102901</c:v>
                </c:pt>
                <c:pt idx="17" formatCode="0.00%">
                  <c:v>1.1515056506429</c:v>
                </c:pt>
                <c:pt idx="18" formatCode="0.00%">
                  <c:v>1.2165295410988335</c:v>
                </c:pt>
                <c:pt idx="19" formatCode="0.00%">
                  <c:v>1.3001384514996315</c:v>
                </c:pt>
                <c:pt idx="20" formatCode="0.00%">
                  <c:v>1.3926209690152063</c:v>
                </c:pt>
                <c:pt idx="21" formatCode="0.00%">
                  <c:v>1.5023248153975046</c:v>
                </c:pt>
                <c:pt idx="22" formatCode="0.00%">
                  <c:v>1.6041926943570006</c:v>
                </c:pt>
                <c:pt idx="23" formatCode="0.00%">
                  <c:v>1.7179139590474501</c:v>
                </c:pt>
                <c:pt idx="24" formatCode="0.00%">
                  <c:v>1.8099465776755321</c:v>
                </c:pt>
                <c:pt idx="25" formatCode="0.00%">
                  <c:v>1.937356084069199</c:v>
                </c:pt>
                <c:pt idx="26" formatCode="0.00%">
                  <c:v>2.0790283621938102</c:v>
                </c:pt>
                <c:pt idx="27" formatCode="0.00%">
                  <c:v>2.2103627713258418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14-4D2A-B343-0904F76E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1418912"/>
        <c:axId val="1401417952"/>
      </c:lineChart>
      <c:catAx>
        <c:axId val="140141891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417952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1401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41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Moderate</a:t>
            </a:r>
            <a:r>
              <a:rPr lang="en-US" baseline="0"/>
              <a:t> - Cumulative GDP Growth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'Model 1 - Inv &amp; GDP Paths'!$D$240</c:f>
              <c:strCache>
                <c:ptCount val="1"/>
                <c:pt idx="0">
                  <c:v> Moderate (P10) 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Paths'!$D$241:$D$269</c15:sqref>
                  </c15:fullRef>
                </c:ext>
              </c:extLst>
              <c:f>'Model 1 - Inv &amp; GDP Paths'!$D$242:$D$269</c:f>
              <c:numCache>
                <c:formatCode>0.00%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5.3858790033896042E-2</c:v>
                </c:pt>
                <c:pt idx="8">
                  <c:v>5.3858790033896042E-2</c:v>
                </c:pt>
                <c:pt idx="9">
                  <c:v>5.3858790033896042E-2</c:v>
                </c:pt>
                <c:pt idx="10">
                  <c:v>5.3858790033896042E-2</c:v>
                </c:pt>
                <c:pt idx="11">
                  <c:v>5.3858790033896042E-2</c:v>
                </c:pt>
                <c:pt idx="12">
                  <c:v>5.3858790033896042E-2</c:v>
                </c:pt>
                <c:pt idx="13">
                  <c:v>5.3858790033896042E-2</c:v>
                </c:pt>
                <c:pt idx="14">
                  <c:v>5.3858790033896042E-2</c:v>
                </c:pt>
                <c:pt idx="15">
                  <c:v>5.3858790033896042E-2</c:v>
                </c:pt>
                <c:pt idx="16">
                  <c:v>5.3858790033896042E-2</c:v>
                </c:pt>
                <c:pt idx="17">
                  <c:v>5.3858790033896042E-2</c:v>
                </c:pt>
                <c:pt idx="18">
                  <c:v>5.3858790033896042E-2</c:v>
                </c:pt>
                <c:pt idx="19">
                  <c:v>5.3858790033896042E-2</c:v>
                </c:pt>
                <c:pt idx="20">
                  <c:v>5.3858790033896042E-2</c:v>
                </c:pt>
                <c:pt idx="21">
                  <c:v>5.3858790033896042E-2</c:v>
                </c:pt>
                <c:pt idx="22">
                  <c:v>5.3858790033896042E-2</c:v>
                </c:pt>
                <c:pt idx="23">
                  <c:v>5.3858790033896042E-2</c:v>
                </c:pt>
                <c:pt idx="24">
                  <c:v>5.3858790033896042E-2</c:v>
                </c:pt>
                <c:pt idx="25">
                  <c:v>5.3858790033896042E-2</c:v>
                </c:pt>
                <c:pt idx="26">
                  <c:v>5.3858790033896042E-2</c:v>
                </c:pt>
                <c:pt idx="27">
                  <c:v>5.3858790033896042E-2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5B-458B-BCF2-8FDA01224118}"/>
            </c:ext>
          </c:extLst>
        </c:ser>
        <c:ser>
          <c:idx val="2"/>
          <c:order val="2"/>
          <c:spPr>
            <a:solidFill>
              <a:schemeClr val="tx2">
                <a:lumMod val="60000"/>
                <a:lumOff val="40000"/>
                <a:alpha val="27000"/>
              </a:schemeClr>
            </a:solidFill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Paths'!$E$241:$E$269</c15:sqref>
                  </c15:fullRef>
                </c:ext>
              </c:extLst>
              <c:f>'Model 1 - Inv &amp; GDP Paths'!$E$242:$E$269</c:f>
              <c:numCache>
                <c:formatCode>0.00%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0.1432823072277396</c:v>
                </c:pt>
                <c:pt idx="10">
                  <c:v>0.1432823072277396</c:v>
                </c:pt>
                <c:pt idx="11">
                  <c:v>0.1432823072277396</c:v>
                </c:pt>
                <c:pt idx="12">
                  <c:v>0.1432823072277396</c:v>
                </c:pt>
                <c:pt idx="13">
                  <c:v>0.1432823072277396</c:v>
                </c:pt>
                <c:pt idx="14">
                  <c:v>0.1432823072277396</c:v>
                </c:pt>
                <c:pt idx="15">
                  <c:v>0.1432823072277396</c:v>
                </c:pt>
                <c:pt idx="16">
                  <c:v>0.1432823072277396</c:v>
                </c:pt>
                <c:pt idx="17">
                  <c:v>0.1432823072277396</c:v>
                </c:pt>
                <c:pt idx="18">
                  <c:v>0.1432823072277396</c:v>
                </c:pt>
                <c:pt idx="19">
                  <c:v>0.1432823072277396</c:v>
                </c:pt>
                <c:pt idx="20">
                  <c:v>0.52849381891743219</c:v>
                </c:pt>
                <c:pt idx="21">
                  <c:v>0.52849381891743219</c:v>
                </c:pt>
                <c:pt idx="22">
                  <c:v>0.52849381891743219</c:v>
                </c:pt>
                <c:pt idx="23">
                  <c:v>0.52849381891743219</c:v>
                </c:pt>
                <c:pt idx="24">
                  <c:v>0.52849381891743219</c:v>
                </c:pt>
                <c:pt idx="25">
                  <c:v>0.52849381891743219</c:v>
                </c:pt>
                <c:pt idx="26">
                  <c:v>0.52849381891743219</c:v>
                </c:pt>
                <c:pt idx="27">
                  <c:v>0.52849381891743219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5B-458B-BCF2-8FDA01224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Paths'!$C$240:$C$269</c15:sqref>
                  </c15:fullRef>
                </c:ext>
              </c:extLst>
              <c:f>'Model 1 - Inv &amp; GDP Paths'!$C$241:$C$269</c:f>
              <c:strCache>
                <c:ptCount val="2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  <c:pt idx="28">
                  <c:v>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Paths'!$F$241:$F$269</c15:sqref>
                  </c15:fullRef>
                </c:ext>
              </c:extLst>
              <c:f>'Model 1 - Inv &amp; GDP Paths'!$F$242:$F$269</c:f>
              <c:numCache>
                <c:formatCode>0.00%</c:formatCode>
                <c:ptCount val="28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6.9935590906174294E-2</c:v>
                </c:pt>
                <c:pt idx="7">
                  <c:v>5.9303517708545382E-2</c:v>
                </c:pt>
                <c:pt idx="8">
                  <c:v>6.5203447330681841E-2</c:v>
                </c:pt>
                <c:pt idx="9">
                  <c:v>7.1998743389561359E-2</c:v>
                </c:pt>
                <c:pt idx="10">
                  <c:v>7.8774534566617926E-2</c:v>
                </c:pt>
                <c:pt idx="11">
                  <c:v>8.6930196112816979E-2</c:v>
                </c:pt>
                <c:pt idx="12">
                  <c:v>9.4611375327338265E-2</c:v>
                </c:pt>
                <c:pt idx="13">
                  <c:v>0.10351306421659272</c:v>
                </c:pt>
                <c:pt idx="14">
                  <c:v>0.1120427395715396</c:v>
                </c:pt>
                <c:pt idx="15">
                  <c:v>0.12108497512997747</c:v>
                </c:pt>
                <c:pt idx="16">
                  <c:v>0.13055840160571053</c:v>
                </c:pt>
                <c:pt idx="17">
                  <c:v>0.14252405228460763</c:v>
                </c:pt>
                <c:pt idx="18">
                  <c:v>0.154695432920475</c:v>
                </c:pt>
                <c:pt idx="19">
                  <c:v>0.16578175224167085</c:v>
                </c:pt>
                <c:pt idx="20">
                  <c:v>0.17915364901595343</c:v>
                </c:pt>
                <c:pt idx="21">
                  <c:v>0.19352503670362006</c:v>
                </c:pt>
                <c:pt idx="22">
                  <c:v>0.20646375580929743</c:v>
                </c:pt>
                <c:pt idx="23">
                  <c:v>0.22088786316876227</c:v>
                </c:pt>
                <c:pt idx="24">
                  <c:v>0.23793472815818972</c:v>
                </c:pt>
                <c:pt idx="25">
                  <c:v>0.25940773802529482</c:v>
                </c:pt>
                <c:pt idx="26">
                  <c:v>0.27668737052530495</c:v>
                </c:pt>
                <c:pt idx="27">
                  <c:v>0.29894335217544887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5B-458B-BCF2-8FDA01224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Paths'!$C$240</c15:sqref>
                        </c15:formulaRef>
                      </c:ext>
                    </c:extLst>
                    <c:strCache>
                      <c:ptCount val="1"/>
                      <c:pt idx="0">
                        <c:v> Year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ullRef>
                          <c15:sqref>'Model 1 - Inv &amp; GDP Paths'!$C$240:$C$269</c15:sqref>
                        </c15:fullRef>
                        <c15:formulaRef>
                          <c15:sqref>'Model 1 - Inv &amp; GDP Paths'!$C$241:$C$269</c15:sqref>
                        </c15:formulaRef>
                      </c:ext>
                    </c:extLst>
                    <c:strCach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Paths'!$C$241:$C$269</c15:sqref>
                        </c15:fullRef>
                        <c15:formulaRef>
                          <c15:sqref>'Model 1 - Inv &amp; GDP Paths'!$C$242:$C$269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5D5B-458B-BCF2-8FDA01224118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Paths'!$G$240</c15:sqref>
                        </c15:formulaRef>
                      </c:ext>
                    </c:extLst>
                    <c:strCache>
                      <c:ptCount val="1"/>
                      <c:pt idx="0">
                        <c:v> Transformative (P10)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Paths'!$C$240:$C$269</c15:sqref>
                        </c15:fullRef>
                        <c15:formulaRef>
                          <c15:sqref>'Model 1 - Inv &amp; GDP Paths'!$C$241:$C$269</c15:sqref>
                        </c15:formulaRef>
                      </c:ext>
                    </c:extLst>
                    <c:strCach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Paths'!$G$241:$G$269</c15:sqref>
                        </c15:fullRef>
                        <c15:formulaRef>
                          <c15:sqref>'Model 1 - Inv &amp; GDP Paths'!$G$242:$G$269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0.19714109726163564</c:v>
                      </c:pt>
                      <c:pt idx="8">
                        <c:v>0.19714109726163564</c:v>
                      </c:pt>
                      <c:pt idx="9">
                        <c:v>0.19714109726163564</c:v>
                      </c:pt>
                      <c:pt idx="10">
                        <c:v>0.19714109726163564</c:v>
                      </c:pt>
                      <c:pt idx="11">
                        <c:v>0.19714109726163564</c:v>
                      </c:pt>
                      <c:pt idx="12">
                        <c:v>0.19714109726163564</c:v>
                      </c:pt>
                      <c:pt idx="13">
                        <c:v>0.19714109726163564</c:v>
                      </c:pt>
                      <c:pt idx="14">
                        <c:v>0.19714109726163564</c:v>
                      </c:pt>
                      <c:pt idx="15">
                        <c:v>0.19714109726163564</c:v>
                      </c:pt>
                      <c:pt idx="16">
                        <c:v>0.19714109726163564</c:v>
                      </c:pt>
                      <c:pt idx="17">
                        <c:v>0.19714109726163564</c:v>
                      </c:pt>
                      <c:pt idx="18">
                        <c:v>0.19714109726163564</c:v>
                      </c:pt>
                      <c:pt idx="19">
                        <c:v>0.19714109726163564</c:v>
                      </c:pt>
                      <c:pt idx="20">
                        <c:v>0.19714109726163564</c:v>
                      </c:pt>
                      <c:pt idx="21">
                        <c:v>0.19714109726163564</c:v>
                      </c:pt>
                      <c:pt idx="22">
                        <c:v>0.19714109726163564</c:v>
                      </c:pt>
                      <c:pt idx="23">
                        <c:v>0.19714109726163564</c:v>
                      </c:pt>
                      <c:pt idx="24">
                        <c:v>0.19714109726163564</c:v>
                      </c:pt>
                      <c:pt idx="25">
                        <c:v>0.19714109726163564</c:v>
                      </c:pt>
                      <c:pt idx="26">
                        <c:v>0.19714109726163564</c:v>
                      </c:pt>
                      <c:pt idx="27">
                        <c:v>0.19714109726163564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D5B-458B-BCF2-8FDA01224118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Paths'!$H$240</c15:sqref>
                        </c15:formulaRef>
                      </c:ext>
                    </c:extLst>
                    <c:strCache>
                      <c:ptCount val="1"/>
                      <c:pt idx="0">
                        <c:v> Transformative (P90 - 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Paths'!$C$240:$C$269</c15:sqref>
                        </c15:fullRef>
                        <c15:formulaRef>
                          <c15:sqref>'Model 1 - Inv &amp; GDP Paths'!$C$241:$C$269</c15:sqref>
                        </c15:formulaRef>
                      </c:ext>
                    </c:extLst>
                    <c:strCach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Paths'!$H$241:$H$269</c15:sqref>
                        </c15:fullRef>
                        <c15:formulaRef>
                          <c15:sqref>'Model 1 - Inv &amp; GDP Paths'!$H$242:$H$269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0.38521151168969259</c:v>
                      </c:pt>
                      <c:pt idx="10">
                        <c:v>0.38521151168969259</c:v>
                      </c:pt>
                      <c:pt idx="11">
                        <c:v>0.38521151168969259</c:v>
                      </c:pt>
                      <c:pt idx="12">
                        <c:v>0.38521151168969259</c:v>
                      </c:pt>
                      <c:pt idx="13">
                        <c:v>0.38521151168969259</c:v>
                      </c:pt>
                      <c:pt idx="14">
                        <c:v>0.38521151168969259</c:v>
                      </c:pt>
                      <c:pt idx="15">
                        <c:v>0.38521151168969259</c:v>
                      </c:pt>
                      <c:pt idx="16">
                        <c:v>0.38521151168969259</c:v>
                      </c:pt>
                      <c:pt idx="17">
                        <c:v>0.38521151168969259</c:v>
                      </c:pt>
                      <c:pt idx="18">
                        <c:v>0.38521151168969259</c:v>
                      </c:pt>
                      <c:pt idx="19">
                        <c:v>0.38521151168969259</c:v>
                      </c:pt>
                      <c:pt idx="20">
                        <c:v>1.4208446726102759</c:v>
                      </c:pt>
                      <c:pt idx="21">
                        <c:v>1.4208446726102759</c:v>
                      </c:pt>
                      <c:pt idx="22">
                        <c:v>1.4208446726102759</c:v>
                      </c:pt>
                      <c:pt idx="23">
                        <c:v>1.4208446726102759</c:v>
                      </c:pt>
                      <c:pt idx="24">
                        <c:v>1.4208446726102759</c:v>
                      </c:pt>
                      <c:pt idx="25">
                        <c:v>1.4208446726102759</c:v>
                      </c:pt>
                      <c:pt idx="26">
                        <c:v>1.4208446726102759</c:v>
                      </c:pt>
                      <c:pt idx="27">
                        <c:v>1.4208446726102759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D5B-458B-BCF2-8FDA01224118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Paths'!$I$240</c15:sqref>
                        </c15:formulaRef>
                      </c:ext>
                    </c:extLst>
                    <c:strCache>
                      <c:ptCount val="1"/>
                      <c:pt idx="0">
                        <c:v> Transformative (Mean) 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Paths'!$C$240:$C$269</c15:sqref>
                        </c15:fullRef>
                        <c15:formulaRef>
                          <c15:sqref>'Model 1 - Inv &amp; GDP Paths'!$C$241:$C$269</c15:sqref>
                        </c15:formulaRef>
                      </c:ext>
                    </c:extLst>
                    <c:strCach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Paths'!$I$241:$I$269</c15:sqref>
                        </c15:fullRef>
                        <c15:formulaRef>
                          <c15:sqref>'Model 1 - Inv &amp; GDP Paths'!$I$242:$I$269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0.16415609695538524</c:v>
                      </c:pt>
                      <c:pt idx="7">
                        <c:v>0.21281920578744001</c:v>
                      </c:pt>
                      <c:pt idx="8">
                        <c:v>0.22863496085981533</c:v>
                      </c:pt>
                      <c:pt idx="9">
                        <c:v>0.24568077595889509</c:v>
                      </c:pt>
                      <c:pt idx="10">
                        <c:v>0.26084983723538269</c:v>
                      </c:pt>
                      <c:pt idx="11">
                        <c:v>0.27865397914865259</c:v>
                      </c:pt>
                      <c:pt idx="12">
                        <c:v>0.29749375422284335</c:v>
                      </c:pt>
                      <c:pt idx="13">
                        <c:v>0.31989657807650668</c:v>
                      </c:pt>
                      <c:pt idx="14">
                        <c:v>0.34243340625691326</c:v>
                      </c:pt>
                      <c:pt idx="15">
                        <c:v>0.36696400258215656</c:v>
                      </c:pt>
                      <c:pt idx="16">
                        <c:v>0.39352148109407881</c:v>
                      </c:pt>
                      <c:pt idx="17">
                        <c:v>0.42219494628152276</c:v>
                      </c:pt>
                      <c:pt idx="18">
                        <c:v>0.45071357423796071</c:v>
                      </c:pt>
                      <c:pt idx="19">
                        <c:v>0.48708445729558497</c:v>
                      </c:pt>
                      <c:pt idx="20">
                        <c:v>0.52508510385239271</c:v>
                      </c:pt>
                      <c:pt idx="21">
                        <c:v>0.56124905425791627</c:v>
                      </c:pt>
                      <c:pt idx="22">
                        <c:v>0.60025656489282309</c:v>
                      </c:pt>
                      <c:pt idx="23">
                        <c:v>0.64901380975047962</c:v>
                      </c:pt>
                      <c:pt idx="24">
                        <c:v>0.69416825507390811</c:v>
                      </c:pt>
                      <c:pt idx="25">
                        <c:v>0.75285529813368712</c:v>
                      </c:pt>
                      <c:pt idx="26">
                        <c:v>0.81056372758329165</c:v>
                      </c:pt>
                      <c:pt idx="27">
                        <c:v>0.86956817399702646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D5B-458B-BCF2-8FDA01224118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Paths'!$J$240</c15:sqref>
                        </c15:formulaRef>
                      </c:ext>
                    </c:extLst>
                    <c:strCache>
                      <c:ptCount val="1"/>
                      <c:pt idx="0">
                        <c:v> Singularity (P10)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Paths'!$C$240:$C$269</c15:sqref>
                        </c15:fullRef>
                        <c15:formulaRef>
                          <c15:sqref>'Model 1 - Inv &amp; GDP Paths'!$C$241:$C$269</c15:sqref>
                        </c15:formulaRef>
                      </c:ext>
                    </c:extLst>
                    <c:strCach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Paths'!$J$241:$J$269</c15:sqref>
                        </c15:fullRef>
                        <c15:formulaRef>
                          <c15:sqref>'Model 1 - Inv &amp; GDP Paths'!$J$242:$J$269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0.58235260895132823</c:v>
                      </c:pt>
                      <c:pt idx="8">
                        <c:v>0.58235260895132823</c:v>
                      </c:pt>
                      <c:pt idx="9">
                        <c:v>0.58235260895132823</c:v>
                      </c:pt>
                      <c:pt idx="10">
                        <c:v>0.58235260895132823</c:v>
                      </c:pt>
                      <c:pt idx="11">
                        <c:v>0.58235260895132823</c:v>
                      </c:pt>
                      <c:pt idx="12">
                        <c:v>0.58235260895132823</c:v>
                      </c:pt>
                      <c:pt idx="13">
                        <c:v>0.58235260895132823</c:v>
                      </c:pt>
                      <c:pt idx="14">
                        <c:v>0.58235260895132823</c:v>
                      </c:pt>
                      <c:pt idx="15">
                        <c:v>0.58235260895132823</c:v>
                      </c:pt>
                      <c:pt idx="16">
                        <c:v>0.58235260895132823</c:v>
                      </c:pt>
                      <c:pt idx="17">
                        <c:v>0.58235260895132823</c:v>
                      </c:pt>
                      <c:pt idx="18">
                        <c:v>0.58235260895132823</c:v>
                      </c:pt>
                      <c:pt idx="19">
                        <c:v>0.58235260895132823</c:v>
                      </c:pt>
                      <c:pt idx="20">
                        <c:v>0.58235260895132823</c:v>
                      </c:pt>
                      <c:pt idx="21">
                        <c:v>0.58235260895132823</c:v>
                      </c:pt>
                      <c:pt idx="22">
                        <c:v>0.58235260895132823</c:v>
                      </c:pt>
                      <c:pt idx="23">
                        <c:v>0.58235260895132823</c:v>
                      </c:pt>
                      <c:pt idx="24">
                        <c:v>0.58235260895132823</c:v>
                      </c:pt>
                      <c:pt idx="25">
                        <c:v>0.58235260895132823</c:v>
                      </c:pt>
                      <c:pt idx="26">
                        <c:v>0.58235260895132823</c:v>
                      </c:pt>
                      <c:pt idx="27">
                        <c:v>0.58235260895132823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D5B-458B-BCF2-8FDA01224118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Paths'!$K$240</c15:sqref>
                        </c15:formulaRef>
                      </c:ext>
                    </c:extLst>
                    <c:strCache>
                      <c:ptCount val="1"/>
                      <c:pt idx="0">
                        <c:v> Singularity (P90 - 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Paths'!$C$240:$C$269</c15:sqref>
                        </c15:fullRef>
                        <c15:formulaRef>
                          <c15:sqref>'Model 1 - Inv &amp; GDP Paths'!$C$241:$C$269</c15:sqref>
                        </c15:formulaRef>
                      </c:ext>
                    </c:extLst>
                    <c:strCach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Paths'!$K$241:$K$269</c15:sqref>
                        </c15:fullRef>
                        <c15:formulaRef>
                          <c15:sqref>'Model 1 - Inv &amp; GDP Paths'!$K$242:$K$269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1.0356331609205833</c:v>
                      </c:pt>
                      <c:pt idx="10">
                        <c:v>1.0356331609205833</c:v>
                      </c:pt>
                      <c:pt idx="11">
                        <c:v>1.0356331609205833</c:v>
                      </c:pt>
                      <c:pt idx="12">
                        <c:v>1.0356331609205833</c:v>
                      </c:pt>
                      <c:pt idx="13">
                        <c:v>1.0356331609205833</c:v>
                      </c:pt>
                      <c:pt idx="14">
                        <c:v>1.0356331609205833</c:v>
                      </c:pt>
                      <c:pt idx="15">
                        <c:v>1.0356331609205833</c:v>
                      </c:pt>
                      <c:pt idx="16">
                        <c:v>1.0356331609205833</c:v>
                      </c:pt>
                      <c:pt idx="17">
                        <c:v>1.0356331609205833</c:v>
                      </c:pt>
                      <c:pt idx="18">
                        <c:v>1.0356331609205833</c:v>
                      </c:pt>
                      <c:pt idx="19">
                        <c:v>1.0356331609205833</c:v>
                      </c:pt>
                      <c:pt idx="20">
                        <c:v>3.8199114377918666</c:v>
                      </c:pt>
                      <c:pt idx="21">
                        <c:v>3.8199114377918666</c:v>
                      </c:pt>
                      <c:pt idx="22">
                        <c:v>3.8199114377918666</c:v>
                      </c:pt>
                      <c:pt idx="23">
                        <c:v>3.8199114377918666</c:v>
                      </c:pt>
                      <c:pt idx="24">
                        <c:v>3.8199114377918666</c:v>
                      </c:pt>
                      <c:pt idx="25">
                        <c:v>3.8199114377918666</c:v>
                      </c:pt>
                      <c:pt idx="26">
                        <c:v>3.8199114377918666</c:v>
                      </c:pt>
                      <c:pt idx="27">
                        <c:v>3.8199114377918666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D5B-458B-BCF2-8FDA01224118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Paths'!$L$240</c15:sqref>
                        </c15:formulaRef>
                      </c:ext>
                    </c:extLst>
                    <c:strCache>
                      <c:ptCount val="1"/>
                      <c:pt idx="0">
                        <c:v> Singularity (Mean) 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Paths'!$C$240:$C$269</c15:sqref>
                        </c15:fullRef>
                        <c15:formulaRef>
                          <c15:sqref>'Model 1 - Inv &amp; GDP Paths'!$C$241:$C$269</c15:sqref>
                        </c15:formulaRef>
                      </c:ext>
                    </c:extLst>
                    <c:strCache>
                      <c:ptCount val="2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  <c:pt idx="28">
                        <c:v>2050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Paths'!$L$241:$L$269</c15:sqref>
                        </c15:fullRef>
                        <c15:formulaRef>
                          <c15:sqref>'Model 1 - Inv &amp; GDP Paths'!$L$242:$L$269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0.16415609695538524</c:v>
                      </c:pt>
                      <c:pt idx="7">
                        <c:v>0.62491713186521802</c:v>
                      </c:pt>
                      <c:pt idx="8">
                        <c:v>0.67044757452185699</c:v>
                      </c:pt>
                      <c:pt idx="9">
                        <c:v>0.71742952625481726</c:v>
                      </c:pt>
                      <c:pt idx="10">
                        <c:v>0.76728878075036977</c:v>
                      </c:pt>
                      <c:pt idx="11">
                        <c:v>0.82383308796490906</c:v>
                      </c:pt>
                      <c:pt idx="12">
                        <c:v>0.87939623594010607</c:v>
                      </c:pt>
                      <c:pt idx="13">
                        <c:v>0.9347378688352268</c:v>
                      </c:pt>
                      <c:pt idx="14">
                        <c:v>1.0075449413581636</c:v>
                      </c:pt>
                      <c:pt idx="15">
                        <c:v>1.0798229991102901</c:v>
                      </c:pt>
                      <c:pt idx="16">
                        <c:v>1.1515056506429</c:v>
                      </c:pt>
                      <c:pt idx="17">
                        <c:v>1.2165295410988335</c:v>
                      </c:pt>
                      <c:pt idx="18">
                        <c:v>1.3001384514996315</c:v>
                      </c:pt>
                      <c:pt idx="19">
                        <c:v>1.3926209690152063</c:v>
                      </c:pt>
                      <c:pt idx="20">
                        <c:v>1.5023248153975046</c:v>
                      </c:pt>
                      <c:pt idx="21">
                        <c:v>1.6041926943570006</c:v>
                      </c:pt>
                      <c:pt idx="22">
                        <c:v>1.7179139590474501</c:v>
                      </c:pt>
                      <c:pt idx="23">
                        <c:v>1.8099465776755321</c:v>
                      </c:pt>
                      <c:pt idx="24">
                        <c:v>1.937356084069199</c:v>
                      </c:pt>
                      <c:pt idx="25">
                        <c:v>2.0790283621938102</c:v>
                      </c:pt>
                      <c:pt idx="26">
                        <c:v>2.2103627713258418</c:v>
                      </c:pt>
                      <c:pt idx="27">
                        <c:v>2.3508743346509209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D5B-458B-BCF2-8FDA01224118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Transformative</a:t>
            </a:r>
            <a:r>
              <a:rPr lang="en-US" baseline="0"/>
              <a:t> - Cumulative GDP Growth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4"/>
          <c:order val="4"/>
          <c:tx>
            <c:strRef>
              <c:f>'Model 1 - Inv &amp; GDP Paths'!$G$240</c:f>
              <c:strCache>
                <c:ptCount val="1"/>
                <c:pt idx="0">
                  <c:v> Transformative (P10) </c:v>
                </c:pt>
              </c:strCache>
              <c:extLst xmlns:c15="http://schemas.microsoft.com/office/drawing/2012/chart"/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Paths'!$G$241:$G$269</c15:sqref>
                  </c15:fullRef>
                </c:ext>
              </c:extLst>
              <c:f>'Model 1 - Inv &amp; GDP Paths'!$G$242:$G$269</c:f>
              <c:numCache>
                <c:formatCode>0.00%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0.19714109726163564</c:v>
                </c:pt>
                <c:pt idx="8">
                  <c:v>0.19714109726163564</c:v>
                </c:pt>
                <c:pt idx="9">
                  <c:v>0.19714109726163564</c:v>
                </c:pt>
                <c:pt idx="10">
                  <c:v>0.19714109726163564</c:v>
                </c:pt>
                <c:pt idx="11">
                  <c:v>0.19714109726163564</c:v>
                </c:pt>
                <c:pt idx="12">
                  <c:v>0.19714109726163564</c:v>
                </c:pt>
                <c:pt idx="13">
                  <c:v>0.19714109726163564</c:v>
                </c:pt>
                <c:pt idx="14">
                  <c:v>0.19714109726163564</c:v>
                </c:pt>
                <c:pt idx="15">
                  <c:v>0.19714109726163564</c:v>
                </c:pt>
                <c:pt idx="16">
                  <c:v>0.19714109726163564</c:v>
                </c:pt>
                <c:pt idx="17">
                  <c:v>0.19714109726163564</c:v>
                </c:pt>
                <c:pt idx="18">
                  <c:v>0.19714109726163564</c:v>
                </c:pt>
                <c:pt idx="19">
                  <c:v>0.19714109726163564</c:v>
                </c:pt>
                <c:pt idx="20">
                  <c:v>0.19714109726163564</c:v>
                </c:pt>
                <c:pt idx="21">
                  <c:v>0.19714109726163564</c:v>
                </c:pt>
                <c:pt idx="22">
                  <c:v>0.19714109726163564</c:v>
                </c:pt>
                <c:pt idx="23">
                  <c:v>0.19714109726163564</c:v>
                </c:pt>
                <c:pt idx="24">
                  <c:v>0.19714109726163564</c:v>
                </c:pt>
                <c:pt idx="25">
                  <c:v>0.19714109726163564</c:v>
                </c:pt>
                <c:pt idx="26">
                  <c:v>0.19714109726163564</c:v>
                </c:pt>
                <c:pt idx="27">
                  <c:v>0.19714109726163564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C5C4-4D58-82AA-86C05F202664}"/>
            </c:ext>
          </c:extLst>
        </c:ser>
        <c:ser>
          <c:idx val="5"/>
          <c:order val="5"/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Paths'!$H$241:$H$269</c15:sqref>
                  </c15:fullRef>
                </c:ext>
              </c:extLst>
              <c:f>'Model 1 - Inv &amp; GDP Paths'!$H$242:$H$269</c:f>
              <c:numCache>
                <c:formatCode>0.00%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0.38521151168969259</c:v>
                </c:pt>
                <c:pt idx="10">
                  <c:v>0.38521151168969259</c:v>
                </c:pt>
                <c:pt idx="11">
                  <c:v>0.38521151168969259</c:v>
                </c:pt>
                <c:pt idx="12">
                  <c:v>0.38521151168969259</c:v>
                </c:pt>
                <c:pt idx="13">
                  <c:v>0.38521151168969259</c:v>
                </c:pt>
                <c:pt idx="14">
                  <c:v>0.38521151168969259</c:v>
                </c:pt>
                <c:pt idx="15">
                  <c:v>0.38521151168969259</c:v>
                </c:pt>
                <c:pt idx="16">
                  <c:v>0.38521151168969259</c:v>
                </c:pt>
                <c:pt idx="17">
                  <c:v>0.38521151168969259</c:v>
                </c:pt>
                <c:pt idx="18">
                  <c:v>0.38521151168969259</c:v>
                </c:pt>
                <c:pt idx="19">
                  <c:v>0.38521151168969259</c:v>
                </c:pt>
                <c:pt idx="20">
                  <c:v>1.4208446726102759</c:v>
                </c:pt>
                <c:pt idx="21">
                  <c:v>1.4208446726102759</c:v>
                </c:pt>
                <c:pt idx="22">
                  <c:v>1.4208446726102759</c:v>
                </c:pt>
                <c:pt idx="23">
                  <c:v>1.4208446726102759</c:v>
                </c:pt>
                <c:pt idx="24">
                  <c:v>1.4208446726102759</c:v>
                </c:pt>
                <c:pt idx="25">
                  <c:v>1.4208446726102759</c:v>
                </c:pt>
                <c:pt idx="26">
                  <c:v>1.4208446726102759</c:v>
                </c:pt>
                <c:pt idx="27">
                  <c:v>1.4208446726102759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C5C4-4D58-82AA-86C05F202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'Model 1 - Inv &amp; GDP Paths'!$D$240</c15:sqref>
                        </c15:formulaRef>
                      </c:ext>
                    </c:extLst>
                    <c:strCache>
                      <c:ptCount val="1"/>
                      <c:pt idx="0">
                        <c:v> Moderate (P10) </c:v>
                      </c:pt>
                    </c:strCache>
                  </c:strRef>
                </c:tx>
                <c:spPr>
                  <a:noFill/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Paths'!$D$241:$D$269</c15:sqref>
                        </c15:fullRef>
                        <c15:formulaRef>
                          <c15:sqref>'Model 1 - Inv &amp; GDP Paths'!$D$242:$D$269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5.3858790033896042E-2</c:v>
                      </c:pt>
                      <c:pt idx="8">
                        <c:v>5.3858790033896042E-2</c:v>
                      </c:pt>
                      <c:pt idx="9">
                        <c:v>5.3858790033896042E-2</c:v>
                      </c:pt>
                      <c:pt idx="10">
                        <c:v>5.3858790033896042E-2</c:v>
                      </c:pt>
                      <c:pt idx="11">
                        <c:v>5.3858790033896042E-2</c:v>
                      </c:pt>
                      <c:pt idx="12">
                        <c:v>5.3858790033896042E-2</c:v>
                      </c:pt>
                      <c:pt idx="13">
                        <c:v>5.3858790033896042E-2</c:v>
                      </c:pt>
                      <c:pt idx="14">
                        <c:v>5.3858790033896042E-2</c:v>
                      </c:pt>
                      <c:pt idx="15">
                        <c:v>5.3858790033896042E-2</c:v>
                      </c:pt>
                      <c:pt idx="16">
                        <c:v>5.3858790033896042E-2</c:v>
                      </c:pt>
                      <c:pt idx="17">
                        <c:v>5.3858790033896042E-2</c:v>
                      </c:pt>
                      <c:pt idx="18">
                        <c:v>5.3858790033896042E-2</c:v>
                      </c:pt>
                      <c:pt idx="19">
                        <c:v>5.3858790033896042E-2</c:v>
                      </c:pt>
                      <c:pt idx="20">
                        <c:v>5.3858790033896042E-2</c:v>
                      </c:pt>
                      <c:pt idx="21">
                        <c:v>5.3858790033896042E-2</c:v>
                      </c:pt>
                      <c:pt idx="22">
                        <c:v>5.3858790033896042E-2</c:v>
                      </c:pt>
                      <c:pt idx="23">
                        <c:v>5.3858790033896042E-2</c:v>
                      </c:pt>
                      <c:pt idx="24">
                        <c:v>5.3858790033896042E-2</c:v>
                      </c:pt>
                      <c:pt idx="25">
                        <c:v>5.3858790033896042E-2</c:v>
                      </c:pt>
                      <c:pt idx="26">
                        <c:v>5.3858790033896042E-2</c:v>
                      </c:pt>
                      <c:pt idx="27">
                        <c:v>5.3858790033896042E-2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5C4-4D58-82AA-86C05F202664}"/>
                  </c:ext>
                </c:extLst>
              </c15:ser>
            </c15:filteredAreaSeries>
            <c15:filteredAreaSeries>
              <c15:ser>
                <c:idx val="2"/>
                <c:order val="2"/>
                <c:tx>
                  <c:v>10th-90th Percentile</c:v>
                </c:tx>
                <c:spPr>
                  <a:solidFill>
                    <a:schemeClr val="tx2">
                      <a:lumMod val="60000"/>
                      <a:lumOff val="40000"/>
                      <a:alpha val="27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Paths'!$E$241:$E$268</c15:sqref>
                        </c15:fullRef>
                        <c15:formulaRef>
                          <c15:sqref>'Model 1 - Inv &amp; GDP Paths'!$E$242:$E$268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0.1432823072277396</c:v>
                      </c:pt>
                      <c:pt idx="10">
                        <c:v>0.1432823072277396</c:v>
                      </c:pt>
                      <c:pt idx="11">
                        <c:v>0.1432823072277396</c:v>
                      </c:pt>
                      <c:pt idx="12">
                        <c:v>0.1432823072277396</c:v>
                      </c:pt>
                      <c:pt idx="13">
                        <c:v>0.1432823072277396</c:v>
                      </c:pt>
                      <c:pt idx="14">
                        <c:v>0.1432823072277396</c:v>
                      </c:pt>
                      <c:pt idx="15">
                        <c:v>0.1432823072277396</c:v>
                      </c:pt>
                      <c:pt idx="16">
                        <c:v>0.1432823072277396</c:v>
                      </c:pt>
                      <c:pt idx="17">
                        <c:v>0.1432823072277396</c:v>
                      </c:pt>
                      <c:pt idx="18">
                        <c:v>0.1432823072277396</c:v>
                      </c:pt>
                      <c:pt idx="19">
                        <c:v>0.1432823072277396</c:v>
                      </c:pt>
                      <c:pt idx="20">
                        <c:v>0.52849381891743219</c:v>
                      </c:pt>
                      <c:pt idx="21">
                        <c:v>0.52849381891743219</c:v>
                      </c:pt>
                      <c:pt idx="22">
                        <c:v>0.52849381891743219</c:v>
                      </c:pt>
                      <c:pt idx="23">
                        <c:v>0.52849381891743219</c:v>
                      </c:pt>
                      <c:pt idx="24">
                        <c:v>0.52849381891743219</c:v>
                      </c:pt>
                      <c:pt idx="25">
                        <c:v>0.52849381891743219</c:v>
                      </c:pt>
                      <c:pt idx="26">
                        <c:v>0.52849381891743219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5C4-4D58-82AA-86C05F202664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6"/>
          <c:order val="6"/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Paths'!$I$241:$I$269</c15:sqref>
                  </c15:fullRef>
                </c:ext>
              </c:extLst>
              <c:f>'Model 1 - Inv &amp; GDP Paths'!$I$242:$I$269</c:f>
              <c:numCache>
                <c:formatCode>0.00%</c:formatCode>
                <c:ptCount val="28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0.16415609695538524</c:v>
                </c:pt>
                <c:pt idx="7">
                  <c:v>0.21281920578744001</c:v>
                </c:pt>
                <c:pt idx="8">
                  <c:v>0.22863496085981533</c:v>
                </c:pt>
                <c:pt idx="9">
                  <c:v>0.24568077595889509</c:v>
                </c:pt>
                <c:pt idx="10">
                  <c:v>0.26084983723538269</c:v>
                </c:pt>
                <c:pt idx="11">
                  <c:v>0.27865397914865259</c:v>
                </c:pt>
                <c:pt idx="12">
                  <c:v>0.29749375422284335</c:v>
                </c:pt>
                <c:pt idx="13">
                  <c:v>0.31989657807650668</c:v>
                </c:pt>
                <c:pt idx="14">
                  <c:v>0.34243340625691326</c:v>
                </c:pt>
                <c:pt idx="15">
                  <c:v>0.36696400258215656</c:v>
                </c:pt>
                <c:pt idx="16">
                  <c:v>0.39352148109407881</c:v>
                </c:pt>
                <c:pt idx="17">
                  <c:v>0.42219494628152276</c:v>
                </c:pt>
                <c:pt idx="18">
                  <c:v>0.45071357423796071</c:v>
                </c:pt>
                <c:pt idx="19">
                  <c:v>0.48708445729558497</c:v>
                </c:pt>
                <c:pt idx="20">
                  <c:v>0.52508510385239271</c:v>
                </c:pt>
                <c:pt idx="21">
                  <c:v>0.56124905425791627</c:v>
                </c:pt>
                <c:pt idx="22">
                  <c:v>0.60025656489282309</c:v>
                </c:pt>
                <c:pt idx="23">
                  <c:v>0.64901380975047962</c:v>
                </c:pt>
                <c:pt idx="24">
                  <c:v>0.69416825507390811</c:v>
                </c:pt>
                <c:pt idx="25">
                  <c:v>0.75285529813368712</c:v>
                </c:pt>
                <c:pt idx="26">
                  <c:v>0.81056372758329165</c:v>
                </c:pt>
                <c:pt idx="27">
                  <c:v>0.86956817399702646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5C4-4D58-82AA-86C05F202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Paths'!$C$240</c15:sqref>
                        </c15:formulaRef>
                      </c:ext>
                    </c:extLst>
                    <c:strCache>
                      <c:ptCount val="1"/>
                      <c:pt idx="0">
                        <c:v> Year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Paths'!$C$241:$C$269</c15:sqref>
                        </c15:fullRef>
                        <c15:formulaRef>
                          <c15:sqref>'Model 1 - Inv &amp; GDP Paths'!$C$242:$C$269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5C4-4D58-82AA-86C05F202664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Mean</c:v>
                </c:tx>
                <c:spPr>
                  <a:ln w="28575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Paths'!$F$241:$F$268</c15:sqref>
                        </c15:fullRef>
                        <c15:formulaRef>
                          <c15:sqref>'Model 1 - Inv &amp; GDP Paths'!$F$242:$F$268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6.9935590906174294E-2</c:v>
                      </c:pt>
                      <c:pt idx="7">
                        <c:v>5.9303517708545382E-2</c:v>
                      </c:pt>
                      <c:pt idx="8">
                        <c:v>6.5203447330681841E-2</c:v>
                      </c:pt>
                      <c:pt idx="9">
                        <c:v>7.1998743389561359E-2</c:v>
                      </c:pt>
                      <c:pt idx="10">
                        <c:v>7.8774534566617926E-2</c:v>
                      </c:pt>
                      <c:pt idx="11">
                        <c:v>8.6930196112816979E-2</c:v>
                      </c:pt>
                      <c:pt idx="12">
                        <c:v>9.4611375327338265E-2</c:v>
                      </c:pt>
                      <c:pt idx="13">
                        <c:v>0.10351306421659272</c:v>
                      </c:pt>
                      <c:pt idx="14">
                        <c:v>0.1120427395715396</c:v>
                      </c:pt>
                      <c:pt idx="15">
                        <c:v>0.12108497512997747</c:v>
                      </c:pt>
                      <c:pt idx="16">
                        <c:v>0.13055840160571053</c:v>
                      </c:pt>
                      <c:pt idx="17">
                        <c:v>0.14252405228460763</c:v>
                      </c:pt>
                      <c:pt idx="18">
                        <c:v>0.154695432920475</c:v>
                      </c:pt>
                      <c:pt idx="19">
                        <c:v>0.16578175224167085</c:v>
                      </c:pt>
                      <c:pt idx="20">
                        <c:v>0.17915364901595343</c:v>
                      </c:pt>
                      <c:pt idx="21">
                        <c:v>0.19352503670362006</c:v>
                      </c:pt>
                      <c:pt idx="22">
                        <c:v>0.20646375580929743</c:v>
                      </c:pt>
                      <c:pt idx="23">
                        <c:v>0.22088786316876227</c:v>
                      </c:pt>
                      <c:pt idx="24">
                        <c:v>0.23793472815818972</c:v>
                      </c:pt>
                      <c:pt idx="25">
                        <c:v>0.25940773802529482</c:v>
                      </c:pt>
                      <c:pt idx="26">
                        <c:v>0.27668737052530495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5C4-4D58-82AA-86C05F202664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Paths'!$J$240</c15:sqref>
                        </c15:formulaRef>
                      </c:ext>
                    </c:extLst>
                    <c:strCache>
                      <c:ptCount val="1"/>
                      <c:pt idx="0">
                        <c:v> Singularity (P10)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Paths'!$J$241:$J$269</c15:sqref>
                        </c15:fullRef>
                        <c15:formulaRef>
                          <c15:sqref>'Model 1 - Inv &amp; GDP Paths'!$J$242:$J$269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0.58235260895132823</c:v>
                      </c:pt>
                      <c:pt idx="8">
                        <c:v>0.58235260895132823</c:v>
                      </c:pt>
                      <c:pt idx="9">
                        <c:v>0.58235260895132823</c:v>
                      </c:pt>
                      <c:pt idx="10">
                        <c:v>0.58235260895132823</c:v>
                      </c:pt>
                      <c:pt idx="11">
                        <c:v>0.58235260895132823</c:v>
                      </c:pt>
                      <c:pt idx="12">
                        <c:v>0.58235260895132823</c:v>
                      </c:pt>
                      <c:pt idx="13">
                        <c:v>0.58235260895132823</c:v>
                      </c:pt>
                      <c:pt idx="14">
                        <c:v>0.58235260895132823</c:v>
                      </c:pt>
                      <c:pt idx="15">
                        <c:v>0.58235260895132823</c:v>
                      </c:pt>
                      <c:pt idx="16">
                        <c:v>0.58235260895132823</c:v>
                      </c:pt>
                      <c:pt idx="17">
                        <c:v>0.58235260895132823</c:v>
                      </c:pt>
                      <c:pt idx="18">
                        <c:v>0.58235260895132823</c:v>
                      </c:pt>
                      <c:pt idx="19">
                        <c:v>0.58235260895132823</c:v>
                      </c:pt>
                      <c:pt idx="20">
                        <c:v>0.58235260895132823</c:v>
                      </c:pt>
                      <c:pt idx="21">
                        <c:v>0.58235260895132823</c:v>
                      </c:pt>
                      <c:pt idx="22">
                        <c:v>0.58235260895132823</c:v>
                      </c:pt>
                      <c:pt idx="23">
                        <c:v>0.58235260895132823</c:v>
                      </c:pt>
                      <c:pt idx="24">
                        <c:v>0.58235260895132823</c:v>
                      </c:pt>
                      <c:pt idx="25">
                        <c:v>0.58235260895132823</c:v>
                      </c:pt>
                      <c:pt idx="26">
                        <c:v>0.58235260895132823</c:v>
                      </c:pt>
                      <c:pt idx="27">
                        <c:v>0.58235260895132823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5C4-4D58-82AA-86C05F202664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Paths'!$K$240</c15:sqref>
                        </c15:formulaRef>
                      </c:ext>
                    </c:extLst>
                    <c:strCache>
                      <c:ptCount val="1"/>
                      <c:pt idx="0">
                        <c:v> Singularity (P90 - P10) 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Paths'!$K$241:$K$269</c15:sqref>
                        </c15:fullRef>
                        <c15:formulaRef>
                          <c15:sqref>'Model 1 - Inv &amp; GDP Paths'!$K$242:$K$269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1.0356331609205833</c:v>
                      </c:pt>
                      <c:pt idx="10">
                        <c:v>1.0356331609205833</c:v>
                      </c:pt>
                      <c:pt idx="11">
                        <c:v>1.0356331609205833</c:v>
                      </c:pt>
                      <c:pt idx="12">
                        <c:v>1.0356331609205833</c:v>
                      </c:pt>
                      <c:pt idx="13">
                        <c:v>1.0356331609205833</c:v>
                      </c:pt>
                      <c:pt idx="14">
                        <c:v>1.0356331609205833</c:v>
                      </c:pt>
                      <c:pt idx="15">
                        <c:v>1.0356331609205833</c:v>
                      </c:pt>
                      <c:pt idx="16">
                        <c:v>1.0356331609205833</c:v>
                      </c:pt>
                      <c:pt idx="17">
                        <c:v>1.0356331609205833</c:v>
                      </c:pt>
                      <c:pt idx="18">
                        <c:v>1.0356331609205833</c:v>
                      </c:pt>
                      <c:pt idx="19">
                        <c:v>1.0356331609205833</c:v>
                      </c:pt>
                      <c:pt idx="20">
                        <c:v>3.8199114377918666</c:v>
                      </c:pt>
                      <c:pt idx="21">
                        <c:v>3.8199114377918666</c:v>
                      </c:pt>
                      <c:pt idx="22">
                        <c:v>3.8199114377918666</c:v>
                      </c:pt>
                      <c:pt idx="23">
                        <c:v>3.8199114377918666</c:v>
                      </c:pt>
                      <c:pt idx="24">
                        <c:v>3.8199114377918666</c:v>
                      </c:pt>
                      <c:pt idx="25">
                        <c:v>3.8199114377918666</c:v>
                      </c:pt>
                      <c:pt idx="26">
                        <c:v>3.8199114377918666</c:v>
                      </c:pt>
                      <c:pt idx="27">
                        <c:v>3.8199114377918666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5C4-4D58-82AA-86C05F202664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Paths'!$L$240</c15:sqref>
                        </c15:formulaRef>
                      </c:ext>
                    </c:extLst>
                    <c:strCache>
                      <c:ptCount val="1"/>
                      <c:pt idx="0">
                        <c:v> Singularity (Mean) 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Paths'!$L$241:$L$269</c15:sqref>
                        </c15:fullRef>
                        <c15:formulaRef>
                          <c15:sqref>'Model 1 - Inv &amp; GDP Paths'!$L$242:$L$269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0.16415609695538524</c:v>
                      </c:pt>
                      <c:pt idx="7">
                        <c:v>0.62491713186521802</c:v>
                      </c:pt>
                      <c:pt idx="8">
                        <c:v>0.67044757452185699</c:v>
                      </c:pt>
                      <c:pt idx="9">
                        <c:v>0.71742952625481726</c:v>
                      </c:pt>
                      <c:pt idx="10">
                        <c:v>0.76728878075036977</c:v>
                      </c:pt>
                      <c:pt idx="11">
                        <c:v>0.82383308796490906</c:v>
                      </c:pt>
                      <c:pt idx="12">
                        <c:v>0.87939623594010607</c:v>
                      </c:pt>
                      <c:pt idx="13">
                        <c:v>0.9347378688352268</c:v>
                      </c:pt>
                      <c:pt idx="14">
                        <c:v>1.0075449413581636</c:v>
                      </c:pt>
                      <c:pt idx="15">
                        <c:v>1.0798229991102901</c:v>
                      </c:pt>
                      <c:pt idx="16">
                        <c:v>1.1515056506429</c:v>
                      </c:pt>
                      <c:pt idx="17">
                        <c:v>1.2165295410988335</c:v>
                      </c:pt>
                      <c:pt idx="18">
                        <c:v>1.3001384514996315</c:v>
                      </c:pt>
                      <c:pt idx="19">
                        <c:v>1.3926209690152063</c:v>
                      </c:pt>
                      <c:pt idx="20">
                        <c:v>1.5023248153975046</c:v>
                      </c:pt>
                      <c:pt idx="21">
                        <c:v>1.6041926943570006</c:v>
                      </c:pt>
                      <c:pt idx="22">
                        <c:v>1.7179139590474501</c:v>
                      </c:pt>
                      <c:pt idx="23">
                        <c:v>1.8099465776755321</c:v>
                      </c:pt>
                      <c:pt idx="24">
                        <c:v>1.937356084069199</c:v>
                      </c:pt>
                      <c:pt idx="25">
                        <c:v>2.0790283621938102</c:v>
                      </c:pt>
                      <c:pt idx="26">
                        <c:v>2.2103627713258418</c:v>
                      </c:pt>
                      <c:pt idx="27">
                        <c:v>2.3508743346509209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5C4-4D58-82AA-86C05F202664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Singularity</a:t>
            </a:r>
            <a:r>
              <a:rPr lang="en-US" baseline="0"/>
              <a:t> - Cumulative GDP Growth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7"/>
          <c:order val="7"/>
          <c:tx>
            <c:strRef>
              <c:f>'Model 1 - Inv &amp; GDP Paths'!$J$240</c:f>
              <c:strCache>
                <c:ptCount val="1"/>
                <c:pt idx="0">
                  <c:v> Singularity (P10) </c:v>
                </c:pt>
              </c:strCache>
              <c:extLst xmlns:c15="http://schemas.microsoft.com/office/drawing/2012/chart"/>
            </c:strRef>
          </c:tx>
          <c:spPr>
            <a:noFill/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Paths'!$J$241:$J$269</c15:sqref>
                  </c15:fullRef>
                </c:ext>
              </c:extLst>
              <c:f>'Model 1 - Inv &amp; GDP Paths'!$J$242:$J$269</c:f>
              <c:numCache>
                <c:formatCode>0.00%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0.58235260895132823</c:v>
                </c:pt>
                <c:pt idx="8">
                  <c:v>0.58235260895132823</c:v>
                </c:pt>
                <c:pt idx="9">
                  <c:v>0.58235260895132823</c:v>
                </c:pt>
                <c:pt idx="10">
                  <c:v>0.58235260895132823</c:v>
                </c:pt>
                <c:pt idx="11">
                  <c:v>0.58235260895132823</c:v>
                </c:pt>
                <c:pt idx="12">
                  <c:v>0.58235260895132823</c:v>
                </c:pt>
                <c:pt idx="13">
                  <c:v>0.58235260895132823</c:v>
                </c:pt>
                <c:pt idx="14">
                  <c:v>0.58235260895132823</c:v>
                </c:pt>
                <c:pt idx="15">
                  <c:v>0.58235260895132823</c:v>
                </c:pt>
                <c:pt idx="16">
                  <c:v>0.58235260895132823</c:v>
                </c:pt>
                <c:pt idx="17">
                  <c:v>0.58235260895132823</c:v>
                </c:pt>
                <c:pt idx="18">
                  <c:v>0.58235260895132823</c:v>
                </c:pt>
                <c:pt idx="19">
                  <c:v>0.58235260895132823</c:v>
                </c:pt>
                <c:pt idx="20">
                  <c:v>0.58235260895132823</c:v>
                </c:pt>
                <c:pt idx="21">
                  <c:v>0.58235260895132823</c:v>
                </c:pt>
                <c:pt idx="22">
                  <c:v>0.58235260895132823</c:v>
                </c:pt>
                <c:pt idx="23">
                  <c:v>0.58235260895132823</c:v>
                </c:pt>
                <c:pt idx="24">
                  <c:v>0.58235260895132823</c:v>
                </c:pt>
                <c:pt idx="25">
                  <c:v>0.58235260895132823</c:v>
                </c:pt>
                <c:pt idx="26">
                  <c:v>0.58235260895132823</c:v>
                </c:pt>
                <c:pt idx="27">
                  <c:v>0.58235260895132823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CC8C-4505-A29C-73FFD6240872}"/>
            </c:ext>
          </c:extLst>
        </c:ser>
        <c:ser>
          <c:idx val="8"/>
          <c:order val="8"/>
          <c:tx>
            <c:strRef>
              <c:f>'Model 1 - Inv &amp; GDP Paths'!$K$240</c:f>
              <c:strCache>
                <c:ptCount val="1"/>
                <c:pt idx="0">
                  <c:v> Singularity (P90 - P10) </c:v>
                </c:pt>
              </c:strCache>
            </c:strRef>
          </c:tx>
          <c:spPr>
            <a:solidFill>
              <a:srgbClr val="C00000">
                <a:alpha val="20000"/>
              </a:srgbClr>
            </a:solidFill>
            <a:ln>
              <a:noFill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Paths'!$C$240:$C$268</c15:sqref>
                  </c15:fullRef>
                </c:ext>
              </c:extLst>
              <c:f>'Model 1 - Inv &amp; GDP Paths'!$C$241:$C$268</c:f>
              <c:strCache>
                <c:ptCount val="28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  <c:pt idx="20">
                  <c:v>2042</c:v>
                </c:pt>
                <c:pt idx="21">
                  <c:v>2043</c:v>
                </c:pt>
                <c:pt idx="22">
                  <c:v>2044</c:v>
                </c:pt>
                <c:pt idx="23">
                  <c:v>2045</c:v>
                </c:pt>
                <c:pt idx="24">
                  <c:v>2046</c:v>
                </c:pt>
                <c:pt idx="25">
                  <c:v>2047</c:v>
                </c:pt>
                <c:pt idx="26">
                  <c:v>2048</c:v>
                </c:pt>
                <c:pt idx="27">
                  <c:v>2049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Paths'!$K$241:$K$269</c15:sqref>
                  </c15:fullRef>
                </c:ext>
              </c:extLst>
              <c:f>'Model 1 - Inv &amp; GDP Paths'!$K$242:$K$269</c:f>
              <c:numCache>
                <c:formatCode>0.00%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1.0356331609205833</c:v>
                </c:pt>
                <c:pt idx="10">
                  <c:v>1.0356331609205833</c:v>
                </c:pt>
                <c:pt idx="11">
                  <c:v>1.0356331609205833</c:v>
                </c:pt>
                <c:pt idx="12">
                  <c:v>1.0356331609205833</c:v>
                </c:pt>
                <c:pt idx="13">
                  <c:v>1.0356331609205833</c:v>
                </c:pt>
                <c:pt idx="14">
                  <c:v>1.0356331609205833</c:v>
                </c:pt>
                <c:pt idx="15">
                  <c:v>1.0356331609205833</c:v>
                </c:pt>
                <c:pt idx="16">
                  <c:v>1.0356331609205833</c:v>
                </c:pt>
                <c:pt idx="17">
                  <c:v>1.0356331609205833</c:v>
                </c:pt>
                <c:pt idx="18">
                  <c:v>1.0356331609205833</c:v>
                </c:pt>
                <c:pt idx="19">
                  <c:v>1.0356331609205833</c:v>
                </c:pt>
                <c:pt idx="20">
                  <c:v>3.8199114377918666</c:v>
                </c:pt>
                <c:pt idx="21">
                  <c:v>3.8199114377918666</c:v>
                </c:pt>
                <c:pt idx="22">
                  <c:v>3.8199114377918666</c:v>
                </c:pt>
                <c:pt idx="23">
                  <c:v>3.8199114377918666</c:v>
                </c:pt>
                <c:pt idx="24">
                  <c:v>3.8199114377918666</c:v>
                </c:pt>
                <c:pt idx="25">
                  <c:v>3.8199114377918666</c:v>
                </c:pt>
                <c:pt idx="26">
                  <c:v>3.8199114377918666</c:v>
                </c:pt>
                <c:pt idx="27">
                  <c:v>3.8199114377918666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CC8C-4505-A29C-73FFD6240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'Model 1 - Inv &amp; GDP Paths'!$D$240</c15:sqref>
                        </c15:formulaRef>
                      </c:ext>
                    </c:extLst>
                    <c:strCache>
                      <c:ptCount val="1"/>
                      <c:pt idx="0">
                        <c:v> Moderate (P10) </c:v>
                      </c:pt>
                    </c:strCache>
                  </c:strRef>
                </c:tx>
                <c:spPr>
                  <a:noFill/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Paths'!$D$241:$D$269</c15:sqref>
                        </c15:fullRef>
                        <c15:formulaRef>
                          <c15:sqref>'Model 1 - Inv &amp; GDP Paths'!$D$242:$D$269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5.3858790033896042E-2</c:v>
                      </c:pt>
                      <c:pt idx="8">
                        <c:v>5.3858790033896042E-2</c:v>
                      </c:pt>
                      <c:pt idx="9">
                        <c:v>5.3858790033896042E-2</c:v>
                      </c:pt>
                      <c:pt idx="10">
                        <c:v>5.3858790033896042E-2</c:v>
                      </c:pt>
                      <c:pt idx="11">
                        <c:v>5.3858790033896042E-2</c:v>
                      </c:pt>
                      <c:pt idx="12">
                        <c:v>5.3858790033896042E-2</c:v>
                      </c:pt>
                      <c:pt idx="13">
                        <c:v>5.3858790033896042E-2</c:v>
                      </c:pt>
                      <c:pt idx="14">
                        <c:v>5.3858790033896042E-2</c:v>
                      </c:pt>
                      <c:pt idx="15">
                        <c:v>5.3858790033896042E-2</c:v>
                      </c:pt>
                      <c:pt idx="16">
                        <c:v>5.3858790033896042E-2</c:v>
                      </c:pt>
                      <c:pt idx="17">
                        <c:v>5.3858790033896042E-2</c:v>
                      </c:pt>
                      <c:pt idx="18">
                        <c:v>5.3858790033896042E-2</c:v>
                      </c:pt>
                      <c:pt idx="19">
                        <c:v>5.3858790033896042E-2</c:v>
                      </c:pt>
                      <c:pt idx="20">
                        <c:v>5.3858790033896042E-2</c:v>
                      </c:pt>
                      <c:pt idx="21">
                        <c:v>5.3858790033896042E-2</c:v>
                      </c:pt>
                      <c:pt idx="22">
                        <c:v>5.3858790033896042E-2</c:v>
                      </c:pt>
                      <c:pt idx="23">
                        <c:v>5.3858790033896042E-2</c:v>
                      </c:pt>
                      <c:pt idx="24">
                        <c:v>5.3858790033896042E-2</c:v>
                      </c:pt>
                      <c:pt idx="25">
                        <c:v>5.3858790033896042E-2</c:v>
                      </c:pt>
                      <c:pt idx="26">
                        <c:v>5.3858790033896042E-2</c:v>
                      </c:pt>
                      <c:pt idx="27">
                        <c:v>5.3858790033896042E-2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CC8C-4505-A29C-73FFD6240872}"/>
                  </c:ext>
                </c:extLst>
              </c15:ser>
            </c15:filteredAreaSeries>
            <c15:filteredAreaSeries>
              <c15:ser>
                <c:idx val="2"/>
                <c:order val="2"/>
                <c:tx>
                  <c:v>10th-90th Percentile</c:v>
                </c:tx>
                <c:spPr>
                  <a:solidFill>
                    <a:schemeClr val="tx2">
                      <a:lumMod val="60000"/>
                      <a:lumOff val="40000"/>
                      <a:alpha val="27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Paths'!$E$241:$E$268</c15:sqref>
                        </c15:fullRef>
                        <c15:formulaRef>
                          <c15:sqref>'Model 1 - Inv &amp; GDP Paths'!$E$242:$E$268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0.1432823072277396</c:v>
                      </c:pt>
                      <c:pt idx="10">
                        <c:v>0.1432823072277396</c:v>
                      </c:pt>
                      <c:pt idx="11">
                        <c:v>0.1432823072277396</c:v>
                      </c:pt>
                      <c:pt idx="12">
                        <c:v>0.1432823072277396</c:v>
                      </c:pt>
                      <c:pt idx="13">
                        <c:v>0.1432823072277396</c:v>
                      </c:pt>
                      <c:pt idx="14">
                        <c:v>0.1432823072277396</c:v>
                      </c:pt>
                      <c:pt idx="15">
                        <c:v>0.1432823072277396</c:v>
                      </c:pt>
                      <c:pt idx="16">
                        <c:v>0.1432823072277396</c:v>
                      </c:pt>
                      <c:pt idx="17">
                        <c:v>0.1432823072277396</c:v>
                      </c:pt>
                      <c:pt idx="18">
                        <c:v>0.1432823072277396</c:v>
                      </c:pt>
                      <c:pt idx="19">
                        <c:v>0.1432823072277396</c:v>
                      </c:pt>
                      <c:pt idx="20">
                        <c:v>0.52849381891743219</c:v>
                      </c:pt>
                      <c:pt idx="21">
                        <c:v>0.52849381891743219</c:v>
                      </c:pt>
                      <c:pt idx="22">
                        <c:v>0.52849381891743219</c:v>
                      </c:pt>
                      <c:pt idx="23">
                        <c:v>0.52849381891743219</c:v>
                      </c:pt>
                      <c:pt idx="24">
                        <c:v>0.52849381891743219</c:v>
                      </c:pt>
                      <c:pt idx="25">
                        <c:v>0.52849381891743219</c:v>
                      </c:pt>
                      <c:pt idx="26">
                        <c:v>0.52849381891743219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C8C-4505-A29C-73FFD6240872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Paths'!$G$240</c15:sqref>
                        </c15:formulaRef>
                      </c:ext>
                    </c:extLst>
                    <c:strCache>
                      <c:ptCount val="1"/>
                      <c:pt idx="0">
                        <c:v> Transformative (P10) </c:v>
                      </c:pt>
                    </c:strCache>
                  </c:strRef>
                </c:tx>
                <c:spPr>
                  <a:solidFill>
                    <a:schemeClr val="bg1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Paths'!$G$241:$G$269</c15:sqref>
                        </c15:fullRef>
                        <c15:formulaRef>
                          <c15:sqref>'Model 1 - Inv &amp; GDP Paths'!$G$242:$G$269</c15:sqref>
                        </c15:formulaRef>
                      </c:ext>
                    </c:extLst>
                    <c:numCache>
                      <c:formatCode>0.00%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0.19714109726163564</c:v>
                      </c:pt>
                      <c:pt idx="8">
                        <c:v>0.19714109726163564</c:v>
                      </c:pt>
                      <c:pt idx="9">
                        <c:v>0.19714109726163564</c:v>
                      </c:pt>
                      <c:pt idx="10">
                        <c:v>0.19714109726163564</c:v>
                      </c:pt>
                      <c:pt idx="11">
                        <c:v>0.19714109726163564</c:v>
                      </c:pt>
                      <c:pt idx="12">
                        <c:v>0.19714109726163564</c:v>
                      </c:pt>
                      <c:pt idx="13">
                        <c:v>0.19714109726163564</c:v>
                      </c:pt>
                      <c:pt idx="14">
                        <c:v>0.19714109726163564</c:v>
                      </c:pt>
                      <c:pt idx="15">
                        <c:v>0.19714109726163564</c:v>
                      </c:pt>
                      <c:pt idx="16">
                        <c:v>0.19714109726163564</c:v>
                      </c:pt>
                      <c:pt idx="17">
                        <c:v>0.19714109726163564</c:v>
                      </c:pt>
                      <c:pt idx="18">
                        <c:v>0.19714109726163564</c:v>
                      </c:pt>
                      <c:pt idx="19">
                        <c:v>0.19714109726163564</c:v>
                      </c:pt>
                      <c:pt idx="20">
                        <c:v>0.19714109726163564</c:v>
                      </c:pt>
                      <c:pt idx="21">
                        <c:v>0.19714109726163564</c:v>
                      </c:pt>
                      <c:pt idx="22">
                        <c:v>0.19714109726163564</c:v>
                      </c:pt>
                      <c:pt idx="23">
                        <c:v>0.19714109726163564</c:v>
                      </c:pt>
                      <c:pt idx="24">
                        <c:v>0.19714109726163564</c:v>
                      </c:pt>
                      <c:pt idx="25">
                        <c:v>0.19714109726163564</c:v>
                      </c:pt>
                      <c:pt idx="26">
                        <c:v>0.19714109726163564</c:v>
                      </c:pt>
                      <c:pt idx="27">
                        <c:v>0.19714109726163564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CC8C-4505-A29C-73FFD6240872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v>10th-90th Percentile</c:v>
                </c:tx>
                <c:spPr>
                  <a:solidFill>
                    <a:schemeClr val="accent6">
                      <a:lumMod val="40000"/>
                      <a:lumOff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Paths'!$C$240:$C$268</c15:sqref>
                        </c15:fullRef>
                        <c15:formulaRef>
                          <c15:sqref>'Model 1 - Inv &amp; GDP Paths'!$C$241:$C$268</c15:sqref>
                        </c15:formulaRef>
                      </c:ext>
                    </c:extLst>
                    <c:strCache>
                      <c:ptCount val="28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  <c:pt idx="20">
                        <c:v>2042</c:v>
                      </c:pt>
                      <c:pt idx="21">
                        <c:v>2043</c:v>
                      </c:pt>
                      <c:pt idx="22">
                        <c:v>2044</c:v>
                      </c:pt>
                      <c:pt idx="23">
                        <c:v>2045</c:v>
                      </c:pt>
                      <c:pt idx="24">
                        <c:v>2046</c:v>
                      </c:pt>
                      <c:pt idx="25">
                        <c:v>2047</c:v>
                      </c:pt>
                      <c:pt idx="26">
                        <c:v>2048</c:v>
                      </c:pt>
                      <c:pt idx="27">
                        <c:v>2049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Paths'!$H$241:$H$268</c15:sqref>
                        </c15:fullRef>
                        <c15:formulaRef>
                          <c15:sqref>'Model 1 - Inv &amp; GDP Paths'!$H$242:$H$268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0.38521151168969259</c:v>
                      </c:pt>
                      <c:pt idx="10">
                        <c:v>0.38521151168969259</c:v>
                      </c:pt>
                      <c:pt idx="11">
                        <c:v>0.38521151168969259</c:v>
                      </c:pt>
                      <c:pt idx="12">
                        <c:v>0.38521151168969259</c:v>
                      </c:pt>
                      <c:pt idx="13">
                        <c:v>0.38521151168969259</c:v>
                      </c:pt>
                      <c:pt idx="14">
                        <c:v>0.38521151168969259</c:v>
                      </c:pt>
                      <c:pt idx="15">
                        <c:v>0.38521151168969259</c:v>
                      </c:pt>
                      <c:pt idx="16">
                        <c:v>0.38521151168969259</c:v>
                      </c:pt>
                      <c:pt idx="17">
                        <c:v>0.38521151168969259</c:v>
                      </c:pt>
                      <c:pt idx="18">
                        <c:v>0.38521151168969259</c:v>
                      </c:pt>
                      <c:pt idx="19">
                        <c:v>0.38521151168969259</c:v>
                      </c:pt>
                      <c:pt idx="20">
                        <c:v>1.4208446726102759</c:v>
                      </c:pt>
                      <c:pt idx="21">
                        <c:v>1.4208446726102759</c:v>
                      </c:pt>
                      <c:pt idx="22">
                        <c:v>1.4208446726102759</c:v>
                      </c:pt>
                      <c:pt idx="23">
                        <c:v>1.4208446726102759</c:v>
                      </c:pt>
                      <c:pt idx="24">
                        <c:v>1.4208446726102759</c:v>
                      </c:pt>
                      <c:pt idx="25">
                        <c:v>1.4208446726102759</c:v>
                      </c:pt>
                      <c:pt idx="26">
                        <c:v>1.4208446726102759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C8C-4505-A29C-73FFD6240872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9"/>
          <c:order val="9"/>
          <c:tx>
            <c:strRef>
              <c:f>'Model 1 - Inv &amp; GDP Paths'!$L$240</c:f>
              <c:strCache>
                <c:ptCount val="1"/>
                <c:pt idx="0">
                  <c:v> Singularity (Mean)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Paths'!$C$241:$C$269</c15:sqref>
                  </c15:fullRef>
                </c:ext>
              </c:extLst>
              <c:f>'Model 1 - Inv &amp; GDP Paths'!$C$242:$C$269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Paths'!$L$241:$L$269</c15:sqref>
                  </c15:fullRef>
                </c:ext>
              </c:extLst>
              <c:f>'Model 1 - Inv &amp; GDP Paths'!$L$242:$L$269</c:f>
              <c:numCache>
                <c:formatCode>0.00%</c:formatCode>
                <c:ptCount val="28"/>
                <c:pt idx="0">
                  <c:v>0</c:v>
                </c:pt>
                <c:pt idx="1">
                  <c:v>2.8776061433620326E-2</c:v>
                </c:pt>
                <c:pt idx="2">
                  <c:v>3.1030770278702269E-2</c:v>
                </c:pt>
                <c:pt idx="3">
                  <c:v>3.6775947322711167E-2</c:v>
                </c:pt>
                <c:pt idx="4">
                  <c:v>4.8142579130469265E-2</c:v>
                </c:pt>
                <c:pt idx="5">
                  <c:v>5.2342857142857246E-2</c:v>
                </c:pt>
                <c:pt idx="6">
                  <c:v>0.16415609695538524</c:v>
                </c:pt>
                <c:pt idx="7">
                  <c:v>0.62491713186521802</c:v>
                </c:pt>
                <c:pt idx="8">
                  <c:v>0.67044757452185699</c:v>
                </c:pt>
                <c:pt idx="9">
                  <c:v>0.71742952625481726</c:v>
                </c:pt>
                <c:pt idx="10">
                  <c:v>0.76728878075036977</c:v>
                </c:pt>
                <c:pt idx="11">
                  <c:v>0.82383308796490906</c:v>
                </c:pt>
                <c:pt idx="12">
                  <c:v>0.87939623594010607</c:v>
                </c:pt>
                <c:pt idx="13">
                  <c:v>0.9347378688352268</c:v>
                </c:pt>
                <c:pt idx="14">
                  <c:v>1.0075449413581636</c:v>
                </c:pt>
                <c:pt idx="15">
                  <c:v>1.0798229991102901</c:v>
                </c:pt>
                <c:pt idx="16">
                  <c:v>1.1515056506429</c:v>
                </c:pt>
                <c:pt idx="17">
                  <c:v>1.2165295410988335</c:v>
                </c:pt>
                <c:pt idx="18">
                  <c:v>1.3001384514996315</c:v>
                </c:pt>
                <c:pt idx="19">
                  <c:v>1.3926209690152063</c:v>
                </c:pt>
                <c:pt idx="20">
                  <c:v>1.5023248153975046</c:v>
                </c:pt>
                <c:pt idx="21">
                  <c:v>1.6041926943570006</c:v>
                </c:pt>
                <c:pt idx="22">
                  <c:v>1.7179139590474501</c:v>
                </c:pt>
                <c:pt idx="23">
                  <c:v>1.8099465776755321</c:v>
                </c:pt>
                <c:pt idx="24">
                  <c:v>1.937356084069199</c:v>
                </c:pt>
                <c:pt idx="25">
                  <c:v>2.0790283621938102</c:v>
                </c:pt>
                <c:pt idx="26">
                  <c:v>2.2103627713258418</c:v>
                </c:pt>
                <c:pt idx="27">
                  <c:v>2.3508743346509209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8C-4505-A29C-73FFD6240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Paths'!$C$240</c15:sqref>
                        </c15:formulaRef>
                      </c:ext>
                    </c:extLst>
                    <c:strCache>
                      <c:ptCount val="1"/>
                      <c:pt idx="0">
                        <c:v> Year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ullRef>
                          <c15:sqref>'Model 1 - Inv &amp; GDP Paths'!$C$241:$C$269</c15:sqref>
                        </c15:fullRef>
                        <c15:formulaRef>
                          <c15:sqref>'Model 1 - Inv &amp; GDP Paths'!$C$242:$C$269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Paths'!$C$241:$C$269</c15:sqref>
                        </c15:fullRef>
                        <c15:formulaRef>
                          <c15:sqref>'Model 1 - Inv &amp; GDP Paths'!$C$242:$C$269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C8C-4505-A29C-73FFD624087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Mean</c:v>
                </c:tx>
                <c:spPr>
                  <a:ln w="28575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Paths'!$C$241:$C$269</c15:sqref>
                        </c15:fullRef>
                        <c15:formulaRef>
                          <c15:sqref>'Model 1 - Inv &amp; GDP Paths'!$C$242:$C$269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Paths'!$F$241:$F$268</c15:sqref>
                        </c15:fullRef>
                        <c15:formulaRef>
                          <c15:sqref>'Model 1 - Inv &amp; GDP Paths'!$F$242:$F$268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6.9935590906174294E-2</c:v>
                      </c:pt>
                      <c:pt idx="7">
                        <c:v>5.9303517708545382E-2</c:v>
                      </c:pt>
                      <c:pt idx="8">
                        <c:v>6.5203447330681841E-2</c:v>
                      </c:pt>
                      <c:pt idx="9">
                        <c:v>7.1998743389561359E-2</c:v>
                      </c:pt>
                      <c:pt idx="10">
                        <c:v>7.8774534566617926E-2</c:v>
                      </c:pt>
                      <c:pt idx="11">
                        <c:v>8.6930196112816979E-2</c:v>
                      </c:pt>
                      <c:pt idx="12">
                        <c:v>9.4611375327338265E-2</c:v>
                      </c:pt>
                      <c:pt idx="13">
                        <c:v>0.10351306421659272</c:v>
                      </c:pt>
                      <c:pt idx="14">
                        <c:v>0.1120427395715396</c:v>
                      </c:pt>
                      <c:pt idx="15">
                        <c:v>0.12108497512997747</c:v>
                      </c:pt>
                      <c:pt idx="16">
                        <c:v>0.13055840160571053</c:v>
                      </c:pt>
                      <c:pt idx="17">
                        <c:v>0.14252405228460763</c:v>
                      </c:pt>
                      <c:pt idx="18">
                        <c:v>0.154695432920475</c:v>
                      </c:pt>
                      <c:pt idx="19">
                        <c:v>0.16578175224167085</c:v>
                      </c:pt>
                      <c:pt idx="20">
                        <c:v>0.17915364901595343</c:v>
                      </c:pt>
                      <c:pt idx="21">
                        <c:v>0.19352503670362006</c:v>
                      </c:pt>
                      <c:pt idx="22">
                        <c:v>0.20646375580929743</c:v>
                      </c:pt>
                      <c:pt idx="23">
                        <c:v>0.22088786316876227</c:v>
                      </c:pt>
                      <c:pt idx="24">
                        <c:v>0.23793472815818972</c:v>
                      </c:pt>
                      <c:pt idx="25">
                        <c:v>0.25940773802529482</c:v>
                      </c:pt>
                      <c:pt idx="26">
                        <c:v>0.27668737052530495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C8C-4505-A29C-73FFD6240872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v>Mean</c:v>
                </c:tx>
                <c:spPr>
                  <a:ln w="28575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Paths'!$C$241:$C$269</c15:sqref>
                        </c15:fullRef>
                        <c15:formulaRef>
                          <c15:sqref>'Model 1 - Inv &amp; GDP Paths'!$C$242:$C$269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'Model 1 - Inv &amp; GDP Paths'!$I$241:$I$268</c15:sqref>
                        </c15:fullRef>
                        <c15:formulaRef>
                          <c15:sqref>'Model 1 - Inv &amp; GDP Paths'!$I$242:$I$268</c15:sqref>
                        </c15:formulaRef>
                      </c:ext>
                    </c:extLst>
                    <c:numCache>
                      <c:formatCode>0.00%</c:formatCode>
                      <c:ptCount val="27"/>
                      <c:pt idx="0">
                        <c:v>0</c:v>
                      </c:pt>
                      <c:pt idx="1">
                        <c:v>2.8776061433620326E-2</c:v>
                      </c:pt>
                      <c:pt idx="2">
                        <c:v>3.1030770278702269E-2</c:v>
                      </c:pt>
                      <c:pt idx="3">
                        <c:v>3.6775947322711167E-2</c:v>
                      </c:pt>
                      <c:pt idx="4">
                        <c:v>4.8142579130469265E-2</c:v>
                      </c:pt>
                      <c:pt idx="5">
                        <c:v>5.2342857142857246E-2</c:v>
                      </c:pt>
                      <c:pt idx="6">
                        <c:v>0.16415609695538524</c:v>
                      </c:pt>
                      <c:pt idx="7">
                        <c:v>0.21281920578744001</c:v>
                      </c:pt>
                      <c:pt idx="8">
                        <c:v>0.22863496085981533</c:v>
                      </c:pt>
                      <c:pt idx="9">
                        <c:v>0.24568077595889509</c:v>
                      </c:pt>
                      <c:pt idx="10">
                        <c:v>0.26084983723538269</c:v>
                      </c:pt>
                      <c:pt idx="11">
                        <c:v>0.27865397914865259</c:v>
                      </c:pt>
                      <c:pt idx="12">
                        <c:v>0.29749375422284335</c:v>
                      </c:pt>
                      <c:pt idx="13">
                        <c:v>0.31989657807650668</c:v>
                      </c:pt>
                      <c:pt idx="14">
                        <c:v>0.34243340625691326</c:v>
                      </c:pt>
                      <c:pt idx="15">
                        <c:v>0.36696400258215656</c:v>
                      </c:pt>
                      <c:pt idx="16">
                        <c:v>0.39352148109407881</c:v>
                      </c:pt>
                      <c:pt idx="17">
                        <c:v>0.42219494628152276</c:v>
                      </c:pt>
                      <c:pt idx="18">
                        <c:v>0.45071357423796071</c:v>
                      </c:pt>
                      <c:pt idx="19">
                        <c:v>0.48708445729558497</c:v>
                      </c:pt>
                      <c:pt idx="20">
                        <c:v>0.52508510385239271</c:v>
                      </c:pt>
                      <c:pt idx="21">
                        <c:v>0.56124905425791627</c:v>
                      </c:pt>
                      <c:pt idx="22">
                        <c:v>0.60025656489282309</c:v>
                      </c:pt>
                      <c:pt idx="23">
                        <c:v>0.64901380975047962</c:v>
                      </c:pt>
                      <c:pt idx="24">
                        <c:v>0.69416825507390811</c:v>
                      </c:pt>
                      <c:pt idx="25">
                        <c:v>0.75285529813368712</c:v>
                      </c:pt>
                      <c:pt idx="26">
                        <c:v>0.81056372758329165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C8C-4505-A29C-73FFD6240872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Risk-free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'Model 2 - Riskfree and ERP'!$D$34</c:f>
              <c:strCache>
                <c:ptCount val="1"/>
                <c:pt idx="0">
                  <c:v> No AI 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ERP'!$C$36:$C$41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ERP'!$D$36:$D$41</c:f>
              <c:numCache>
                <c:formatCode>0.00%</c:formatCode>
                <c:ptCount val="6"/>
                <c:pt idx="0">
                  <c:v>3.8990872960193934E-2</c:v>
                </c:pt>
                <c:pt idx="1">
                  <c:v>3.7692866178037729E-2</c:v>
                </c:pt>
                <c:pt idx="2">
                  <c:v>3.6263500892810566E-2</c:v>
                </c:pt>
                <c:pt idx="3">
                  <c:v>3.4685998823678205E-2</c:v>
                </c:pt>
                <c:pt idx="4">
                  <c:v>3.2942222037019429E-2</c:v>
                </c:pt>
                <c:pt idx="5">
                  <c:v>3.1012821646448835E-2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A1-4D5E-91CA-7A71850BADEB}"/>
            </c:ext>
          </c:extLst>
        </c:ser>
        <c:ser>
          <c:idx val="1"/>
          <c:order val="1"/>
          <c:tx>
            <c:strRef>
              <c:f>'Model 2 - Riskfree and ERP'!$F$34</c:f>
              <c:strCache>
                <c:ptCount val="1"/>
                <c:pt idx="0">
                  <c:v> Moderate 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ERP'!$C$36:$C$41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ERP'!$F$36:$F$41</c:f>
              <c:numCache>
                <c:formatCode>0.00%</c:formatCode>
                <c:ptCount val="6"/>
                <c:pt idx="0">
                  <c:v>4.102625428720539E-2</c:v>
                </c:pt>
                <c:pt idx="1">
                  <c:v>3.9626842906641341E-2</c:v>
                </c:pt>
                <c:pt idx="2">
                  <c:v>3.8100943232113126E-2</c:v>
                </c:pt>
                <c:pt idx="3">
                  <c:v>3.6431560829698215E-2</c:v>
                </c:pt>
                <c:pt idx="4">
                  <c:v>3.4600349464938979E-2</c:v>
                </c:pt>
                <c:pt idx="5">
                  <c:v>3.2587759694396978E-2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CA1-4D5E-91CA-7A71850BADEB}"/>
            </c:ext>
          </c:extLst>
        </c:ser>
        <c:ser>
          <c:idx val="2"/>
          <c:order val="2"/>
          <c:tx>
            <c:strRef>
              <c:f>'Model 2 - Riskfree and ERP'!$H$34</c:f>
              <c:strCache>
                <c:ptCount val="1"/>
                <c:pt idx="0">
                  <c:v> Transformative 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ERP'!$C$36:$C$41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ERP'!$H$36:$H$41</c:f>
              <c:numCache>
                <c:formatCode>0.00%</c:formatCode>
                <c:ptCount val="6"/>
                <c:pt idx="0">
                  <c:v>4.3644985153387793E-2</c:v>
                </c:pt>
                <c:pt idx="1">
                  <c:v>4.1815501567304479E-2</c:v>
                </c:pt>
                <c:pt idx="2">
                  <c:v>3.9913518432100351E-2</c:v>
                </c:pt>
                <c:pt idx="3">
                  <c:v>3.7916137429046551E-2</c:v>
                </c:pt>
                <c:pt idx="4">
                  <c:v>3.5799649703362392E-2</c:v>
                </c:pt>
                <c:pt idx="5">
                  <c:v>3.353965501123192E-2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CA1-4D5E-91CA-7A71850BADEB}"/>
            </c:ext>
          </c:extLst>
        </c:ser>
        <c:ser>
          <c:idx val="3"/>
          <c:order val="3"/>
          <c:tx>
            <c:strRef>
              <c:f>'Model 2 - Riskfree and ERP'!$L$34</c:f>
              <c:strCache>
                <c:ptCount val="1"/>
                <c:pt idx="0">
                  <c:v> Absorbing Limit 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'Model 2 - Riskfree and ERP'!$C$36:$C$41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ERP'!$L$36:$L$41</c:f>
              <c:numCache>
                <c:formatCode>0.00%</c:formatCode>
                <c:ptCount val="6"/>
                <c:pt idx="0">
                  <c:v>5.8159518489367165E-2</c:v>
                </c:pt>
                <c:pt idx="1">
                  <c:v>4.7753038204029263E-2</c:v>
                </c:pt>
                <c:pt idx="2">
                  <c:v>4.1506647730080351E-2</c:v>
                </c:pt>
                <c:pt idx="3">
                  <c:v>3.7408601897654173E-2</c:v>
                </c:pt>
                <c:pt idx="4">
                  <c:v>3.435327802912691E-2</c:v>
                </c:pt>
                <c:pt idx="5">
                  <c:v>3.1743407958947117E-2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CA1-4D5E-91CA-7A71850BADEB}"/>
            </c:ext>
          </c:extLst>
        </c:ser>
        <c:ser>
          <c:idx val="4"/>
          <c:order val="4"/>
          <c:tx>
            <c:strRef>
              <c:f>'Model 2 - Riskfree and ERP'!$J$34</c:f>
              <c:strCache>
                <c:ptCount val="1"/>
                <c:pt idx="0">
                  <c:v> Singularity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ERP'!$C$36:$C$41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ERP'!$J$36:$J$41</c:f>
              <c:numCache>
                <c:formatCode>0.00%</c:formatCode>
                <c:ptCount val="6"/>
                <c:pt idx="0">
                  <c:v>4.7899128062149056E-2</c:v>
                </c:pt>
                <c:pt idx="1">
                  <c:v>4.4647067218971284E-2</c:v>
                </c:pt>
                <c:pt idx="2">
                  <c:v>4.1682811036179573E-2</c:v>
                </c:pt>
                <c:pt idx="3">
                  <c:v>3.8903413945845559E-2</c:v>
                </c:pt>
                <c:pt idx="4">
                  <c:v>3.622078672187598E-2</c:v>
                </c:pt>
                <c:pt idx="5">
                  <c:v>3.355940734621677E-2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CA1-4D5E-91CA-7A71850BA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9465407"/>
        <c:axId val="1019453407"/>
      </c:lineChart>
      <c:catAx>
        <c:axId val="1019465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53407"/>
        <c:crosses val="autoZero"/>
        <c:auto val="1"/>
        <c:lblAlgn val="ctr"/>
        <c:lblOffset val="100"/>
        <c:noMultiLvlLbl val="0"/>
      </c:catAx>
      <c:valAx>
        <c:axId val="1019453407"/>
        <c:scaling>
          <c:orientation val="minMax"/>
          <c:max val="6.0000000000000012E-2"/>
          <c:min val="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65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'Model 2 - Riskfree and ERP'!$D$34</c:f>
              <c:strCache>
                <c:ptCount val="1"/>
                <c:pt idx="0">
                  <c:v> No AI 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ERP'!$E$36:$E$41</c:f>
              <c:numCache>
                <c:formatCode>0.00%</c:formatCode>
                <c:ptCount val="6"/>
                <c:pt idx="0">
                  <c:v>1.1819993323024418E-3</c:v>
                </c:pt>
                <c:pt idx="1">
                  <c:v>2.4800061144585341E-3</c:v>
                </c:pt>
                <c:pt idx="2">
                  <c:v>3.9093713996859059E-3</c:v>
                </c:pt>
                <c:pt idx="3">
                  <c:v>5.4868734688181342E-3</c:v>
                </c:pt>
                <c:pt idx="4">
                  <c:v>7.2306502554769841E-3</c:v>
                </c:pt>
                <c:pt idx="5">
                  <c:v>9.1600506460474997E-3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D2-4711-814F-580C83A15D4D}"/>
            </c:ext>
          </c:extLst>
        </c:ser>
        <c:ser>
          <c:idx val="1"/>
          <c:order val="1"/>
          <c:tx>
            <c:strRef>
              <c:f>'Model 2 - Riskfree and ERP'!$F$34</c:f>
              <c:strCache>
                <c:ptCount val="1"/>
                <c:pt idx="0">
                  <c:v> Moderate 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ERP'!$G$36:$G$41</c:f>
              <c:numCache>
                <c:formatCode>0.00%</c:formatCode>
                <c:ptCount val="6"/>
                <c:pt idx="0">
                  <c:v>1.2884982312645174E-3</c:v>
                </c:pt>
                <c:pt idx="1">
                  <c:v>2.6879096118284265E-3</c:v>
                </c:pt>
                <c:pt idx="2">
                  <c:v>4.2138092863568972E-3</c:v>
                </c:pt>
                <c:pt idx="3">
                  <c:v>5.8831916887717248E-3</c:v>
                </c:pt>
                <c:pt idx="4">
                  <c:v>7.7144030535308585E-3</c:v>
                </c:pt>
                <c:pt idx="5">
                  <c:v>9.7269928240729109E-3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D2-4711-814F-580C83A15D4D}"/>
            </c:ext>
          </c:extLst>
        </c:ser>
        <c:ser>
          <c:idx val="2"/>
          <c:order val="2"/>
          <c:tx>
            <c:strRef>
              <c:f>'Model 2 - Riskfree and ERP'!$H$34</c:f>
              <c:strCache>
                <c:ptCount val="1"/>
                <c:pt idx="0">
                  <c:v> Transformative 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ERP'!$I$36:$I$41</c:f>
              <c:numCache>
                <c:formatCode>0.00%</c:formatCode>
                <c:ptCount val="6"/>
                <c:pt idx="0">
                  <c:v>1.7790283235247558E-3</c:v>
                </c:pt>
                <c:pt idx="1">
                  <c:v>3.6085119096080317E-3</c:v>
                </c:pt>
                <c:pt idx="2">
                  <c:v>5.5104950448123515E-3</c:v>
                </c:pt>
                <c:pt idx="3">
                  <c:v>7.5078760478660567E-3</c:v>
                </c:pt>
                <c:pt idx="4">
                  <c:v>9.6243637735503769E-3</c:v>
                </c:pt>
                <c:pt idx="5">
                  <c:v>1.1884358465680814E-2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D2-4711-814F-580C83A15D4D}"/>
            </c:ext>
          </c:extLst>
        </c:ser>
        <c:ser>
          <c:idx val="3"/>
          <c:order val="3"/>
          <c:tx>
            <c:strRef>
              <c:f>'Model 2 - Riskfree and ERP'!$L$34</c:f>
              <c:strCache>
                <c:ptCount val="1"/>
                <c:pt idx="0">
                  <c:v> Absorbing Limit 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'Model 2 - Riskfree and ERP'!$M$36:$M$41</c:f>
              <c:numCache>
                <c:formatCode>0.00%</c:formatCode>
                <c:ptCount val="6"/>
                <c:pt idx="0">
                  <c:v>1.8064699632105444E-2</c:v>
                </c:pt>
                <c:pt idx="1">
                  <c:v>2.8471179917443214E-2</c:v>
                </c:pt>
                <c:pt idx="2">
                  <c:v>3.4717570391392311E-2</c:v>
                </c:pt>
                <c:pt idx="3">
                  <c:v>3.881561622381835E-2</c:v>
                </c:pt>
                <c:pt idx="4">
                  <c:v>4.1870940092345668E-2</c:v>
                </c:pt>
                <c:pt idx="5">
                  <c:v>4.4480810162525405E-2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D2-4711-814F-580C83A15D4D}"/>
            </c:ext>
          </c:extLst>
        </c:ser>
        <c:ser>
          <c:idx val="4"/>
          <c:order val="4"/>
          <c:tx>
            <c:strRef>
              <c:f>'Model 2 - Riskfree and ERP'!$J$34</c:f>
              <c:strCache>
                <c:ptCount val="1"/>
                <c:pt idx="0">
                  <c:v> Singularity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ERP'!$K$36:$K$41</c:f>
              <c:numCache>
                <c:formatCode>0.00%</c:formatCode>
                <c:ptCount val="6"/>
                <c:pt idx="0">
                  <c:v>3.6598528692073241E-3</c:v>
                </c:pt>
                <c:pt idx="1">
                  <c:v>6.9119137123848096E-3</c:v>
                </c:pt>
                <c:pt idx="2">
                  <c:v>9.8761698951766556E-3</c:v>
                </c:pt>
                <c:pt idx="3">
                  <c:v>1.2655566985510692E-2</c:v>
                </c:pt>
                <c:pt idx="4">
                  <c:v>1.5338194209480308E-2</c:v>
                </c:pt>
                <c:pt idx="5">
                  <c:v>1.7999573585139442E-2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D2-4711-814F-580C83A15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9465407"/>
        <c:axId val="1019453407"/>
      </c:lineChart>
      <c:catAx>
        <c:axId val="10194654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53407"/>
        <c:crosses val="autoZero"/>
        <c:auto val="1"/>
        <c:lblAlgn val="ctr"/>
        <c:lblOffset val="100"/>
        <c:noMultiLvlLbl val="0"/>
      </c:catAx>
      <c:valAx>
        <c:axId val="1019453407"/>
        <c:scaling>
          <c:orientation val="minMax"/>
          <c:max val="4.500000000000001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65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0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0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99392</xdr:colOff>
      <xdr:row>25</xdr:row>
      <xdr:rowOff>129298</xdr:rowOff>
    </xdr:from>
    <xdr:to>
      <xdr:col>17</xdr:col>
      <xdr:colOff>238643</xdr:colOff>
      <xdr:row>49</xdr:row>
      <xdr:rowOff>24847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C584AE59-9851-E191-2640-FD4952FC3291}"/>
            </a:ext>
          </a:extLst>
        </xdr:cNvPr>
        <xdr:cNvGrpSpPr/>
      </xdr:nvGrpSpPr>
      <xdr:grpSpPr>
        <a:xfrm>
          <a:off x="226392" y="4307598"/>
          <a:ext cx="10362751" cy="3857949"/>
          <a:chOff x="115957" y="3967370"/>
          <a:chExt cx="9076185" cy="4442701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86E89765-7B31-412F-91B4-842D5969A7BE}"/>
              </a:ext>
            </a:extLst>
          </xdr:cNvPr>
          <xdr:cNvGraphicFramePr>
            <a:graphicFrameLocks/>
          </xdr:cNvGraphicFramePr>
        </xdr:nvGraphicFramePr>
        <xdr:xfrm>
          <a:off x="115957" y="3967370"/>
          <a:ext cx="4536868" cy="22213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26C0B429-8926-40B1-97C1-D28EED50795C}"/>
              </a:ext>
            </a:extLst>
          </xdr:cNvPr>
          <xdr:cNvGraphicFramePr>
            <a:graphicFrameLocks/>
          </xdr:cNvGraphicFramePr>
        </xdr:nvGraphicFramePr>
        <xdr:xfrm>
          <a:off x="4659415" y="3967370"/>
          <a:ext cx="4532727" cy="22213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C8C41E79-0DDB-414C-AAB1-AF0CC44F5913}"/>
              </a:ext>
            </a:extLst>
          </xdr:cNvPr>
          <xdr:cNvGraphicFramePr>
            <a:graphicFrameLocks/>
          </xdr:cNvGraphicFramePr>
        </xdr:nvGraphicFramePr>
        <xdr:xfrm>
          <a:off x="115957" y="6188720"/>
          <a:ext cx="4536868" cy="222135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FDF1AA6C-97D0-4B18-9A99-F08B16621BF4}"/>
              </a:ext>
            </a:extLst>
          </xdr:cNvPr>
          <xdr:cNvGraphicFramePr>
            <a:graphicFrameLocks/>
          </xdr:cNvGraphicFramePr>
        </xdr:nvGraphicFramePr>
        <xdr:xfrm>
          <a:off x="4659414" y="6188720"/>
          <a:ext cx="4532727" cy="222135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2</xdr:col>
      <xdr:colOff>0</xdr:colOff>
      <xdr:row>49</xdr:row>
      <xdr:rowOff>87082</xdr:rowOff>
    </xdr:from>
    <xdr:to>
      <xdr:col>17</xdr:col>
      <xdr:colOff>251310</xdr:colOff>
      <xdr:row>73</xdr:row>
      <xdr:rowOff>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3265144A-5BD5-3F1E-506F-7A1AAF4154DD}"/>
            </a:ext>
          </a:extLst>
        </xdr:cNvPr>
        <xdr:cNvGrpSpPr/>
      </xdr:nvGrpSpPr>
      <xdr:grpSpPr>
        <a:xfrm>
          <a:off x="254000" y="8227782"/>
          <a:ext cx="10347810" cy="3875318"/>
          <a:chOff x="306457" y="9360618"/>
          <a:chExt cx="9076185" cy="4451301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70302619-B272-4B24-9E17-DE8C889C7116}"/>
              </a:ext>
            </a:extLst>
          </xdr:cNvPr>
          <xdr:cNvGraphicFramePr>
            <a:graphicFrameLocks/>
          </xdr:cNvGraphicFramePr>
        </xdr:nvGraphicFramePr>
        <xdr:xfrm>
          <a:off x="306457" y="9360618"/>
          <a:ext cx="4536868" cy="22256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A1555CA5-C284-48D6-BDFF-7D566D8E72AB}"/>
              </a:ext>
            </a:extLst>
          </xdr:cNvPr>
          <xdr:cNvGraphicFramePr>
            <a:graphicFrameLocks/>
          </xdr:cNvGraphicFramePr>
        </xdr:nvGraphicFramePr>
        <xdr:xfrm>
          <a:off x="4841632" y="9360618"/>
          <a:ext cx="4532727" cy="22256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8A1E6CAB-04E7-4AD8-9678-5554E2A6862C}"/>
              </a:ext>
            </a:extLst>
          </xdr:cNvPr>
          <xdr:cNvGraphicFramePr>
            <a:graphicFrameLocks/>
          </xdr:cNvGraphicFramePr>
        </xdr:nvGraphicFramePr>
        <xdr:xfrm>
          <a:off x="306457" y="11586259"/>
          <a:ext cx="4536868" cy="22256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C76B342D-E1C3-4A22-8716-2DED1B09B6EB}"/>
              </a:ext>
            </a:extLst>
          </xdr:cNvPr>
          <xdr:cNvGraphicFramePr>
            <a:graphicFrameLocks/>
          </xdr:cNvGraphicFramePr>
        </xdr:nvGraphicFramePr>
        <xdr:xfrm>
          <a:off x="4849915" y="11586259"/>
          <a:ext cx="4532727" cy="22256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85725</xdr:colOff>
      <xdr:row>74</xdr:row>
      <xdr:rowOff>150649</xdr:rowOff>
    </xdr:from>
    <xdr:to>
      <xdr:col>9</xdr:col>
      <xdr:colOff>390180</xdr:colOff>
      <xdr:row>86</xdr:row>
      <xdr:rowOff>118885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1A10056-4EA1-4DE3-AEAE-4430AD6308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388487</xdr:colOff>
      <xdr:row>74</xdr:row>
      <xdr:rowOff>150649</xdr:rowOff>
    </xdr:from>
    <xdr:to>
      <xdr:col>17</xdr:col>
      <xdr:colOff>216693</xdr:colOff>
      <xdr:row>86</xdr:row>
      <xdr:rowOff>118885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745AF35-AAF1-4117-BF35-6B062F37E3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79099</xdr:colOff>
      <xdr:row>87</xdr:row>
      <xdr:rowOff>147845</xdr:rowOff>
    </xdr:from>
    <xdr:to>
      <xdr:col>9</xdr:col>
      <xdr:colOff>397634</xdr:colOff>
      <xdr:row>99</xdr:row>
      <xdr:rowOff>83197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3F550D47-2783-408C-9C0E-1C2BE515FD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70816</xdr:colOff>
      <xdr:row>100</xdr:row>
      <xdr:rowOff>15322</xdr:rowOff>
    </xdr:from>
    <xdr:to>
      <xdr:col>9</xdr:col>
      <xdr:colOff>408746</xdr:colOff>
      <xdr:row>116</xdr:row>
      <xdr:rowOff>108087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0030B27-C136-41E3-B6F1-9853C0C994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100852</xdr:colOff>
      <xdr:row>120</xdr:row>
      <xdr:rowOff>101970</xdr:rowOff>
    </xdr:from>
    <xdr:to>
      <xdr:col>9</xdr:col>
      <xdr:colOff>403411</xdr:colOff>
      <xdr:row>138</xdr:row>
      <xdr:rowOff>21288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F5CED97-235B-47E3-BFD5-755619644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442634</xdr:colOff>
      <xdr:row>120</xdr:row>
      <xdr:rowOff>100852</xdr:rowOff>
    </xdr:from>
    <xdr:to>
      <xdr:col>17</xdr:col>
      <xdr:colOff>263340</xdr:colOff>
      <xdr:row>138</xdr:row>
      <xdr:rowOff>20170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D6CC192B-1F79-4951-85AB-4EF6104CAF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67360</xdr:colOff>
      <xdr:row>6</xdr:row>
      <xdr:rowOff>16372</xdr:rowOff>
    </xdr:from>
    <xdr:to>
      <xdr:col>9</xdr:col>
      <xdr:colOff>344583</xdr:colOff>
      <xdr:row>23</xdr:row>
      <xdr:rowOff>89648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A120092-F36A-4CEC-A6F9-DD39CCF595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509870</xdr:colOff>
      <xdr:row>6</xdr:row>
      <xdr:rowOff>14910</xdr:rowOff>
    </xdr:from>
    <xdr:to>
      <xdr:col>17</xdr:col>
      <xdr:colOff>330576</xdr:colOff>
      <xdr:row>23</xdr:row>
      <xdr:rowOff>91110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28B132B3-B7AA-4748-B389-C100D4429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495300</xdr:colOff>
      <xdr:row>100</xdr:row>
      <xdr:rowOff>28575</xdr:rowOff>
    </xdr:from>
    <xdr:to>
      <xdr:col>17</xdr:col>
      <xdr:colOff>342900</xdr:colOff>
      <xdr:row>117</xdr:row>
      <xdr:rowOff>19050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8D7AB39C-42C8-44E8-AE48-49A195639F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374023</xdr:colOff>
      <xdr:row>100</xdr:row>
      <xdr:rowOff>29747</xdr:rowOff>
    </xdr:from>
    <xdr:to>
      <xdr:col>25</xdr:col>
      <xdr:colOff>221623</xdr:colOff>
      <xdr:row>117</xdr:row>
      <xdr:rowOff>20222</xdr:rowOff>
    </xdr:to>
    <xdr:graphicFrame macro="">
      <xdr:nvGraphicFramePr>
        <xdr:cNvPr id="25" name="Chart 2">
          <a:extLst>
            <a:ext uri="{FF2B5EF4-FFF2-40B4-BE49-F238E27FC236}">
              <a16:creationId xmlns:a16="http://schemas.microsoft.com/office/drawing/2014/main" id="{BE7EB4B2-CE4C-4F4D-A582-51199134D3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240673</xdr:colOff>
      <xdr:row>100</xdr:row>
      <xdr:rowOff>29747</xdr:rowOff>
    </xdr:from>
    <xdr:to>
      <xdr:col>33</xdr:col>
      <xdr:colOff>88273</xdr:colOff>
      <xdr:row>117</xdr:row>
      <xdr:rowOff>20222</xdr:rowOff>
    </xdr:to>
    <xdr:graphicFrame macro="">
      <xdr:nvGraphicFramePr>
        <xdr:cNvPr id="26" name="Chart 16">
          <a:extLst>
            <a:ext uri="{FF2B5EF4-FFF2-40B4-BE49-F238E27FC236}">
              <a16:creationId xmlns:a16="http://schemas.microsoft.com/office/drawing/2014/main" id="{EC54E5E9-DDD3-4970-9F3A-BC06392AD6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333375</xdr:colOff>
      <xdr:row>3</xdr:row>
      <xdr:rowOff>152400</xdr:rowOff>
    </xdr:from>
    <xdr:to>
      <xdr:col>15</xdr:col>
      <xdr:colOff>108014</xdr:colOff>
      <xdr:row>19</xdr:row>
      <xdr:rowOff>35176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32D4CE-40D5-45EF-BF35-6D5E64A717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130426</xdr:colOff>
      <xdr:row>3</xdr:row>
      <xdr:rowOff>152402</xdr:rowOff>
    </xdr:from>
    <xdr:to>
      <xdr:col>23</xdr:col>
      <xdr:colOff>54226</xdr:colOff>
      <xdr:row>19</xdr:row>
      <xdr:rowOff>38102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E19C9D4-6A08-4321-B5BE-91E9115F18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137832</xdr:colOff>
      <xdr:row>25</xdr:row>
      <xdr:rowOff>1188</xdr:rowOff>
    </xdr:from>
    <xdr:to>
      <xdr:col>42</xdr:col>
      <xdr:colOff>98266</xdr:colOff>
      <xdr:row>36</xdr:row>
      <xdr:rowOff>149278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53392A-14FF-8043-8E4D-84DED20B05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537110</xdr:colOff>
      <xdr:row>25</xdr:row>
      <xdr:rowOff>23599</xdr:rowOff>
    </xdr:from>
    <xdr:to>
      <xdr:col>51</xdr:col>
      <xdr:colOff>497545</xdr:colOff>
      <xdr:row>37</xdr:row>
      <xdr:rowOff>14807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4602BD7-6350-E64D-8ABB-0DFC2900E2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52</xdr:col>
      <xdr:colOff>366431</xdr:colOff>
      <xdr:row>25</xdr:row>
      <xdr:rowOff>21218</xdr:rowOff>
    </xdr:from>
    <xdr:to>
      <xdr:col>60</xdr:col>
      <xdr:colOff>326865</xdr:colOff>
      <xdr:row>37</xdr:row>
      <xdr:rowOff>12426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9EA045-D93F-8E49-A0FF-28A8EC191A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384710</xdr:colOff>
      <xdr:row>25</xdr:row>
      <xdr:rowOff>21218</xdr:rowOff>
    </xdr:from>
    <xdr:to>
      <xdr:col>68</xdr:col>
      <xdr:colOff>345145</xdr:colOff>
      <xdr:row>37</xdr:row>
      <xdr:rowOff>12426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F2F9CF0-8A71-2946-8ECB-780EC3320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986116</xdr:colOff>
      <xdr:row>83</xdr:row>
      <xdr:rowOff>158000</xdr:rowOff>
    </xdr:from>
    <xdr:to>
      <xdr:col>11</xdr:col>
      <xdr:colOff>414616</xdr:colOff>
      <xdr:row>101</xdr:row>
      <xdr:rowOff>43700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AA1FD7-59F7-0648-B2BC-FA29772258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245102</xdr:colOff>
      <xdr:row>254</xdr:row>
      <xdr:rowOff>55978</xdr:rowOff>
    </xdr:from>
    <xdr:to>
      <xdr:col>5</xdr:col>
      <xdr:colOff>1388102</xdr:colOff>
      <xdr:row>271</xdr:row>
      <xdr:rowOff>46453</xdr:rowOff>
    </xdr:to>
    <xdr:graphicFrame macro="">
      <xdr:nvGraphicFramePr>
        <xdr:cNvPr id="7" name="Chart 21">
          <a:extLst>
            <a:ext uri="{FF2B5EF4-FFF2-40B4-BE49-F238E27FC236}">
              <a16:creationId xmlns:a16="http://schemas.microsoft.com/office/drawing/2014/main" id="{8F99AEA7-7D99-C143-BDEA-2BEDE5306E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1419225</xdr:colOff>
      <xdr:row>254</xdr:row>
      <xdr:rowOff>57150</xdr:rowOff>
    </xdr:from>
    <xdr:to>
      <xdr:col>8</xdr:col>
      <xdr:colOff>847725</xdr:colOff>
      <xdr:row>271</xdr:row>
      <xdr:rowOff>47625</xdr:rowOff>
    </xdr:to>
    <xdr:graphicFrame macro="">
      <xdr:nvGraphicFramePr>
        <xdr:cNvPr id="8" name="Chart 13">
          <a:extLst>
            <a:ext uri="{FF2B5EF4-FFF2-40B4-BE49-F238E27FC236}">
              <a16:creationId xmlns:a16="http://schemas.microsoft.com/office/drawing/2014/main" id="{2D3A90CA-9C4A-4145-94B2-ADBDC394EA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866775</xdr:colOff>
      <xdr:row>254</xdr:row>
      <xdr:rowOff>57150</xdr:rowOff>
    </xdr:from>
    <xdr:to>
      <xdr:col>11</xdr:col>
      <xdr:colOff>295275</xdr:colOff>
      <xdr:row>271</xdr:row>
      <xdr:rowOff>47625</xdr:rowOff>
    </xdr:to>
    <xdr:graphicFrame macro="">
      <xdr:nvGraphicFramePr>
        <xdr:cNvPr id="9" name="Chart 14">
          <a:extLst>
            <a:ext uri="{FF2B5EF4-FFF2-40B4-BE49-F238E27FC236}">
              <a16:creationId xmlns:a16="http://schemas.microsoft.com/office/drawing/2014/main" id="{1D46E3E3-B4B9-9545-A70D-F5E76317F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137832</xdr:colOff>
      <xdr:row>35</xdr:row>
      <xdr:rowOff>1188</xdr:rowOff>
    </xdr:from>
    <xdr:to>
      <xdr:col>42</xdr:col>
      <xdr:colOff>98266</xdr:colOff>
      <xdr:row>46</xdr:row>
      <xdr:rowOff>149278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BCABE6D-A573-491F-8617-20DF173C0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537110</xdr:colOff>
      <xdr:row>35</xdr:row>
      <xdr:rowOff>23599</xdr:rowOff>
    </xdr:from>
    <xdr:to>
      <xdr:col>51</xdr:col>
      <xdr:colOff>497545</xdr:colOff>
      <xdr:row>47</xdr:row>
      <xdr:rowOff>14807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BBBED65-090A-476B-B865-C99E513E74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52</xdr:col>
      <xdr:colOff>366431</xdr:colOff>
      <xdr:row>35</xdr:row>
      <xdr:rowOff>21218</xdr:rowOff>
    </xdr:from>
    <xdr:to>
      <xdr:col>60</xdr:col>
      <xdr:colOff>326865</xdr:colOff>
      <xdr:row>47</xdr:row>
      <xdr:rowOff>12426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BC59170-0177-47B3-AB92-72639B44F9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384710</xdr:colOff>
      <xdr:row>35</xdr:row>
      <xdr:rowOff>21218</xdr:rowOff>
    </xdr:from>
    <xdr:to>
      <xdr:col>68</xdr:col>
      <xdr:colOff>345145</xdr:colOff>
      <xdr:row>47</xdr:row>
      <xdr:rowOff>12426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31B36D6-2BCF-494C-924B-357AF1C60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986116</xdr:colOff>
      <xdr:row>93</xdr:row>
      <xdr:rowOff>158000</xdr:rowOff>
    </xdr:from>
    <xdr:to>
      <xdr:col>11</xdr:col>
      <xdr:colOff>414616</xdr:colOff>
      <xdr:row>111</xdr:row>
      <xdr:rowOff>43700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9744401F-05FF-BC3B-6C82-F4562EE9D9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245102</xdr:colOff>
      <xdr:row>270</xdr:row>
      <xdr:rowOff>55978</xdr:rowOff>
    </xdr:from>
    <xdr:to>
      <xdr:col>5</xdr:col>
      <xdr:colOff>1388102</xdr:colOff>
      <xdr:row>287</xdr:row>
      <xdr:rowOff>46453</xdr:rowOff>
    </xdr:to>
    <xdr:graphicFrame macro="">
      <xdr:nvGraphicFramePr>
        <xdr:cNvPr id="4" name="Chart 21">
          <a:extLst>
            <a:ext uri="{FF2B5EF4-FFF2-40B4-BE49-F238E27FC236}">
              <a16:creationId xmlns:a16="http://schemas.microsoft.com/office/drawing/2014/main" id="{211B0D82-0408-3719-063E-55DB6C7B68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1419225</xdr:colOff>
      <xdr:row>270</xdr:row>
      <xdr:rowOff>57150</xdr:rowOff>
    </xdr:from>
    <xdr:to>
      <xdr:col>8</xdr:col>
      <xdr:colOff>847725</xdr:colOff>
      <xdr:row>287</xdr:row>
      <xdr:rowOff>47625</xdr:rowOff>
    </xdr:to>
    <xdr:graphicFrame macro="">
      <xdr:nvGraphicFramePr>
        <xdr:cNvPr id="10" name="Chart 13">
          <a:extLst>
            <a:ext uri="{FF2B5EF4-FFF2-40B4-BE49-F238E27FC236}">
              <a16:creationId xmlns:a16="http://schemas.microsoft.com/office/drawing/2014/main" id="{FF344A46-512B-4DD2-9D56-726C032A4F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866775</xdr:colOff>
      <xdr:row>270</xdr:row>
      <xdr:rowOff>57150</xdr:rowOff>
    </xdr:from>
    <xdr:to>
      <xdr:col>11</xdr:col>
      <xdr:colOff>295275</xdr:colOff>
      <xdr:row>287</xdr:row>
      <xdr:rowOff>47625</xdr:rowOff>
    </xdr:to>
    <xdr:graphicFrame macro="">
      <xdr:nvGraphicFramePr>
        <xdr:cNvPr id="13" name="Chart 14">
          <a:extLst>
            <a:ext uri="{FF2B5EF4-FFF2-40B4-BE49-F238E27FC236}">
              <a16:creationId xmlns:a16="http://schemas.microsoft.com/office/drawing/2014/main" id="{94E28ED0-0DFA-476E-BCE7-55EEC14C2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106453</xdr:colOff>
      <xdr:row>42</xdr:row>
      <xdr:rowOff>68354</xdr:rowOff>
    </xdr:from>
    <xdr:to>
      <xdr:col>5</xdr:col>
      <xdr:colOff>543483</xdr:colOff>
      <xdr:row>59</xdr:row>
      <xdr:rowOff>144554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796A8B-C509-5734-6972-FB7C6D7704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582706</xdr:colOff>
      <xdr:row>42</xdr:row>
      <xdr:rowOff>67236</xdr:rowOff>
    </xdr:from>
    <xdr:to>
      <xdr:col>8</xdr:col>
      <xdr:colOff>1019735</xdr:colOff>
      <xdr:row>59</xdr:row>
      <xdr:rowOff>143436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920BD70-E99A-46B7-AEFA-B04451F81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penno365-my.sharepoint.com/Users/fanghema/Downloads/AI_Transition_Excel_Model_with_macro_claude_copy%2020260526-ecb3.xlsx" TargetMode="External"/><Relationship Id="rId1" Type="http://schemas.openxmlformats.org/officeDocument/2006/relationships/externalLinkPath" Target="https://penno365-my.sharepoint.com/Users/fanghema/Downloads/AI_Transition_Excel_Model_with_macro_claude_copy%2020260526-ecb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"/>
      <sheetName val="Summary Dashboard"/>
      <sheetName val="Parameters"/>
      <sheetName val="CAPEX Data"/>
      <sheetName val="Model 1 - Calibration"/>
      <sheetName val="Model 1 - Inv &amp; GDP Paths"/>
      <sheetName val="Model 2 - Riskfree and ERP"/>
    </sheetNames>
    <sheetDataSet>
      <sheetData sheetId="0"/>
      <sheetData sheetId="1"/>
      <sheetData sheetId="2">
        <row r="8">
          <cell r="D8">
            <v>0.33333333333333331</v>
          </cell>
        </row>
        <row r="9">
          <cell r="D9">
            <v>0.25</v>
          </cell>
        </row>
        <row r="10">
          <cell r="D10">
            <v>7.0000000000000007E-2</v>
          </cell>
        </row>
        <row r="11">
          <cell r="D11">
            <v>0.15</v>
          </cell>
        </row>
        <row r="13">
          <cell r="D13">
            <v>0.5</v>
          </cell>
        </row>
        <row r="14">
          <cell r="D14">
            <v>3</v>
          </cell>
        </row>
        <row r="15">
          <cell r="D15">
            <v>3.1E-2</v>
          </cell>
        </row>
        <row r="16">
          <cell r="D16">
            <v>25500</v>
          </cell>
        </row>
        <row r="24">
          <cell r="D24">
            <v>155</v>
          </cell>
        </row>
        <row r="25">
          <cell r="D25">
            <v>2452</v>
          </cell>
        </row>
        <row r="26">
          <cell r="D26">
            <v>620</v>
          </cell>
        </row>
        <row r="27">
          <cell r="D27">
            <v>2.6884792626728111</v>
          </cell>
        </row>
        <row r="28">
          <cell r="D28">
            <v>0.98897570389316147</v>
          </cell>
        </row>
        <row r="29">
          <cell r="D29">
            <v>815.01116556768739</v>
          </cell>
        </row>
        <row r="31">
          <cell r="D31">
            <v>744.00000000000045</v>
          </cell>
        </row>
        <row r="32">
          <cell r="D32">
            <v>23256.000000000011</v>
          </cell>
        </row>
        <row r="33">
          <cell r="D33">
            <v>24000.000000000011</v>
          </cell>
        </row>
        <row r="35">
          <cell r="D35">
            <v>3.9325327510917031E-2</v>
          </cell>
        </row>
        <row r="40">
          <cell r="D40">
            <v>3.5999999999999997E-2</v>
          </cell>
        </row>
        <row r="41">
          <cell r="D41">
            <v>-0.15</v>
          </cell>
        </row>
        <row r="42">
          <cell r="D42">
            <v>0.02</v>
          </cell>
        </row>
        <row r="43">
          <cell r="D43">
            <v>2.5000000000000001E-2</v>
          </cell>
        </row>
        <row r="44">
          <cell r="D44">
            <v>0.02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38"/>
  <sheetViews>
    <sheetView showGridLines="0" tabSelected="1" zoomScaleNormal="100" workbookViewId="0">
      <selection activeCell="E30" sqref="E30"/>
    </sheetView>
  </sheetViews>
  <sheetFormatPr baseColWidth="10" defaultColWidth="8.6640625" defaultRowHeight="13" x14ac:dyDescent="0.15"/>
  <cols>
    <col min="1" max="2" width="1.6640625" style="35" customWidth="1"/>
    <col min="3" max="3" width="56.1640625" style="35" bestFit="1" customWidth="1"/>
    <col min="4" max="4" width="55" style="35" customWidth="1"/>
    <col min="5" max="5" width="22" style="35" customWidth="1"/>
    <col min="6" max="16384" width="8.6640625" style="35"/>
  </cols>
  <sheetData>
    <row r="2" spans="1:5" ht="15.75" customHeight="1" x14ac:dyDescent="0.2">
      <c r="B2" s="36"/>
      <c r="C2" s="2" t="s">
        <v>0</v>
      </c>
    </row>
    <row r="3" spans="1:5" ht="15" customHeight="1" x14ac:dyDescent="0.15">
      <c r="C3" s="3" t="s">
        <v>1</v>
      </c>
    </row>
    <row r="5" spans="1:5" ht="15" customHeight="1" x14ac:dyDescent="0.15">
      <c r="A5" s="35" t="s">
        <v>112</v>
      </c>
      <c r="C5" s="4" t="s">
        <v>2</v>
      </c>
    </row>
    <row r="6" spans="1:5" ht="15" customHeight="1" x14ac:dyDescent="0.3">
      <c r="C6" s="19" t="s">
        <v>3</v>
      </c>
      <c r="D6" s="19" t="s">
        <v>4</v>
      </c>
      <c r="E6" s="19"/>
    </row>
    <row r="7" spans="1:5" ht="15" customHeight="1" x14ac:dyDescent="0.15">
      <c r="C7" s="17" t="s">
        <v>5</v>
      </c>
      <c r="D7" s="5"/>
      <c r="E7" s="6"/>
    </row>
    <row r="8" spans="1:5" ht="15" customHeight="1" x14ac:dyDescent="0.15">
      <c r="C8" s="17" t="s">
        <v>189</v>
      </c>
      <c r="D8" s="5" t="s">
        <v>190</v>
      </c>
      <c r="E8" s="6"/>
    </row>
    <row r="9" spans="1:5" ht="15" customHeight="1" x14ac:dyDescent="0.15">
      <c r="C9" s="17" t="s">
        <v>6</v>
      </c>
      <c r="D9" s="5" t="s">
        <v>7</v>
      </c>
      <c r="E9" s="6"/>
    </row>
    <row r="10" spans="1:5" ht="15" customHeight="1" x14ac:dyDescent="0.15">
      <c r="C10" s="17" t="s">
        <v>317</v>
      </c>
      <c r="D10" s="5" t="s">
        <v>318</v>
      </c>
      <c r="E10" s="6"/>
    </row>
    <row r="11" spans="1:5" ht="15" customHeight="1" x14ac:dyDescent="0.15">
      <c r="C11" s="17" t="s">
        <v>144</v>
      </c>
      <c r="D11" s="5" t="s">
        <v>9</v>
      </c>
      <c r="E11" s="6"/>
    </row>
    <row r="12" spans="1:5" ht="15" customHeight="1" x14ac:dyDescent="0.15">
      <c r="C12" s="17" t="s">
        <v>188</v>
      </c>
      <c r="D12" s="5" t="s">
        <v>191</v>
      </c>
      <c r="E12" s="6"/>
    </row>
    <row r="13" spans="1:5" ht="15" customHeight="1" x14ac:dyDescent="0.15">
      <c r="C13" s="17" t="s">
        <v>319</v>
      </c>
      <c r="D13" s="5" t="s">
        <v>192</v>
      </c>
      <c r="E13" s="6"/>
    </row>
    <row r="15" spans="1:5" ht="15" customHeight="1" x14ac:dyDescent="0.15">
      <c r="A15" s="35" t="s">
        <v>112</v>
      </c>
      <c r="C15" s="4" t="s">
        <v>10</v>
      </c>
    </row>
    <row r="16" spans="1:5" ht="15" customHeight="1" x14ac:dyDescent="0.15">
      <c r="C16" s="31" t="s">
        <v>121</v>
      </c>
    </row>
    <row r="17" spans="1:3" ht="15" customHeight="1" x14ac:dyDescent="0.15">
      <c r="C17" s="31"/>
    </row>
    <row r="18" spans="1:3" ht="15" customHeight="1" x14ac:dyDescent="0.15">
      <c r="A18" s="35" t="s">
        <v>112</v>
      </c>
      <c r="C18" s="4" t="s">
        <v>320</v>
      </c>
    </row>
    <row r="19" spans="1:3" ht="15" customHeight="1" x14ac:dyDescent="0.15">
      <c r="C19" s="32" t="s">
        <v>122</v>
      </c>
    </row>
    <row r="20" spans="1:3" ht="15" customHeight="1" x14ac:dyDescent="0.15">
      <c r="C20" s="33" t="s">
        <v>123</v>
      </c>
    </row>
    <row r="21" spans="1:3" ht="15" customHeight="1" x14ac:dyDescent="0.15">
      <c r="C21" s="31" t="s">
        <v>124</v>
      </c>
    </row>
    <row r="22" spans="1:3" ht="15" customHeight="1" x14ac:dyDescent="0.15">
      <c r="C22" s="34" t="s">
        <v>125</v>
      </c>
    </row>
    <row r="23" spans="1:3" ht="15" customHeight="1" x14ac:dyDescent="0.15">
      <c r="C23" s="5"/>
    </row>
    <row r="24" spans="1:3" ht="15" customHeight="1" x14ac:dyDescent="0.15">
      <c r="A24" s="35" t="s">
        <v>112</v>
      </c>
      <c r="C24" s="132" t="s">
        <v>324</v>
      </c>
    </row>
    <row r="25" spans="1:3" ht="15" customHeight="1" x14ac:dyDescent="0.15">
      <c r="C25" s="31" t="s">
        <v>325</v>
      </c>
    </row>
    <row r="26" spans="1:3" ht="15" customHeight="1" x14ac:dyDescent="0.15">
      <c r="C26" s="133"/>
    </row>
    <row r="27" spans="1:3" ht="15" customHeight="1" x14ac:dyDescent="0.15">
      <c r="C27" s="134"/>
    </row>
    <row r="28" spans="1:3" ht="15" customHeight="1" x14ac:dyDescent="0.15">
      <c r="C28" s="135"/>
    </row>
    <row r="29" spans="1:3" ht="15" customHeight="1" x14ac:dyDescent="0.15">
      <c r="C29" s="133"/>
    </row>
    <row r="30" spans="1:3" ht="15" customHeight="1" x14ac:dyDescent="0.15">
      <c r="C30" s="134"/>
    </row>
    <row r="31" spans="1:3" ht="15" customHeight="1" x14ac:dyDescent="0.15">
      <c r="C31" s="134"/>
    </row>
    <row r="32" spans="1:3" ht="15" customHeight="1" x14ac:dyDescent="0.15">
      <c r="C32" s="136"/>
    </row>
    <row r="33" spans="3:3" ht="15" customHeight="1" x14ac:dyDescent="0.15">
      <c r="C33" s="134"/>
    </row>
    <row r="34" spans="3:3" ht="15" customHeight="1" x14ac:dyDescent="0.15">
      <c r="C34" s="133"/>
    </row>
    <row r="35" spans="3:3" ht="15" customHeight="1" x14ac:dyDescent="0.15">
      <c r="C35" s="133"/>
    </row>
    <row r="36" spans="3:3" x14ac:dyDescent="0.15">
      <c r="C36" s="137"/>
    </row>
    <row r="37" spans="3:3" x14ac:dyDescent="0.15">
      <c r="C37" s="135"/>
    </row>
    <row r="38" spans="3:3" x14ac:dyDescent="0.15">
      <c r="C38" s="133"/>
    </row>
  </sheetData>
  <sheetProtection algorithmName="SHA-512" hashValue="wS6F4f20KBdwWPNlyTDTuSa76J7lpM9UOAfqfRQ9pBhoOzb0ibRKttllVOoPbATu54ILZ3UDF9W6GO4BQn6TXw==" saltValue="WdLubVqR3RvjgpVczIPBIg==" spinCount="100000" sheet="1" objects="1" scenarios="1"/>
  <pageMargins left="0.75" right="0.75" top="1" bottom="1" header="0.511811023622047" footer="0.511811023622047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2A9A8-ED51-412D-A091-9E1C356A714B}">
  <sheetPr codeName="Sheet2"/>
  <dimension ref="A2:V120"/>
  <sheetViews>
    <sheetView showGridLines="0" zoomScaleNormal="100" workbookViewId="0">
      <selection activeCell="T20" sqref="T20"/>
    </sheetView>
  </sheetViews>
  <sheetFormatPr baseColWidth="10" defaultColWidth="8.83203125" defaultRowHeight="13" x14ac:dyDescent="0.15"/>
  <cols>
    <col min="1" max="2" width="1.6640625" style="35" customWidth="1"/>
    <col min="3" max="16384" width="8.83203125" style="35"/>
  </cols>
  <sheetData>
    <row r="2" spans="1:22" ht="15.75" customHeight="1" x14ac:dyDescent="0.2">
      <c r="B2" s="36"/>
      <c r="C2" s="2" t="s">
        <v>120</v>
      </c>
    </row>
    <row r="3" spans="1:22" ht="15.75" customHeight="1" x14ac:dyDescent="0.15">
      <c r="C3" s="3" t="s">
        <v>128</v>
      </c>
    </row>
    <row r="6" spans="1:22" x14ac:dyDescent="0.15">
      <c r="A6" s="35" t="s">
        <v>112</v>
      </c>
      <c r="C6" s="94" t="s">
        <v>8</v>
      </c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94"/>
    </row>
    <row r="25" spans="1:22" x14ac:dyDescent="0.15">
      <c r="A25" s="35" t="s">
        <v>112</v>
      </c>
      <c r="C25" s="94" t="s">
        <v>164</v>
      </c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</row>
    <row r="30" spans="1:22" x14ac:dyDescent="0.15">
      <c r="I30" s="93"/>
    </row>
    <row r="74" spans="1:22" x14ac:dyDescent="0.15">
      <c r="A74" s="35" t="s">
        <v>112</v>
      </c>
      <c r="C74" s="94" t="s">
        <v>165</v>
      </c>
      <c r="D74" s="94"/>
      <c r="E74" s="94"/>
      <c r="F74" s="94"/>
      <c r="G74" s="94"/>
      <c r="H74" s="94"/>
      <c r="I74" s="94"/>
      <c r="J74" s="94"/>
      <c r="K74" s="94"/>
      <c r="L74" s="94"/>
      <c r="M74" s="94"/>
      <c r="N74" s="94"/>
      <c r="O74" s="94"/>
      <c r="P74" s="94"/>
      <c r="Q74" s="94"/>
      <c r="R74" s="94"/>
      <c r="S74" s="94"/>
      <c r="T74" s="94"/>
      <c r="U74" s="94"/>
      <c r="V74" s="94"/>
    </row>
    <row r="120" spans="1:22" x14ac:dyDescent="0.15">
      <c r="A120" s="35" t="s">
        <v>112</v>
      </c>
      <c r="C120" s="94" t="s">
        <v>214</v>
      </c>
      <c r="D120" s="94"/>
      <c r="E120" s="94"/>
      <c r="F120" s="94"/>
      <c r="G120" s="94"/>
      <c r="H120" s="94"/>
      <c r="I120" s="94"/>
      <c r="J120" s="94"/>
      <c r="K120" s="94"/>
      <c r="L120" s="94"/>
      <c r="M120" s="94"/>
      <c r="N120" s="94"/>
      <c r="O120" s="94"/>
      <c r="P120" s="94"/>
      <c r="Q120" s="94"/>
      <c r="R120" s="94"/>
      <c r="S120" s="94"/>
      <c r="T120" s="94"/>
      <c r="U120" s="94"/>
      <c r="V120" s="94"/>
    </row>
  </sheetData>
  <sheetProtection algorithmName="SHA-512" hashValue="WgZ4KLRzH62J9jbBSI82tVruv/K6ToMg0JSbE4vZg5EOHzyFdMBsztzNyS5e2TSI/wRGN0tgCt3H2nPMB+EcMg==" saltValue="uJTseAGsqJ8TLzExm3ETZA==" spinCount="100000" sheet="1" objects="1" scenarios="1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E54"/>
  <sheetViews>
    <sheetView showGridLines="0" zoomScaleNormal="100" workbookViewId="0">
      <selection activeCell="D33" sqref="D33"/>
    </sheetView>
  </sheetViews>
  <sheetFormatPr baseColWidth="10" defaultColWidth="8.6640625" defaultRowHeight="13" x14ac:dyDescent="0.15"/>
  <cols>
    <col min="1" max="2" width="1.6640625" style="35" customWidth="1"/>
    <col min="3" max="3" width="32" style="35" customWidth="1"/>
    <col min="4" max="4" width="18" style="35" customWidth="1"/>
    <col min="5" max="5" width="50" style="35" customWidth="1"/>
    <col min="6" max="16384" width="8.6640625" style="35"/>
  </cols>
  <sheetData>
    <row r="2" spans="1:5" ht="15.75" customHeight="1" x14ac:dyDescent="0.2">
      <c r="B2" s="36"/>
      <c r="C2" s="2" t="s">
        <v>6</v>
      </c>
    </row>
    <row r="3" spans="1:5" ht="15.75" customHeight="1" x14ac:dyDescent="0.15">
      <c r="C3" s="3" t="s">
        <v>128</v>
      </c>
    </row>
    <row r="5" spans="1:5" ht="15" customHeight="1" x14ac:dyDescent="0.15">
      <c r="A5" s="35" t="s">
        <v>112</v>
      </c>
      <c r="C5" s="162" t="s">
        <v>130</v>
      </c>
      <c r="D5" s="162"/>
      <c r="E5" s="162"/>
    </row>
    <row r="6" spans="1:5" ht="15" customHeight="1" x14ac:dyDescent="0.15">
      <c r="C6" s="56"/>
      <c r="D6" s="56"/>
      <c r="E6" s="56"/>
    </row>
    <row r="7" spans="1:5" ht="15" customHeight="1" x14ac:dyDescent="0.3">
      <c r="C7" s="19" t="s">
        <v>11</v>
      </c>
      <c r="D7" s="19" t="s">
        <v>12</v>
      </c>
      <c r="E7" s="19" t="s">
        <v>4</v>
      </c>
    </row>
    <row r="8" spans="1:5" ht="15" customHeight="1" x14ac:dyDescent="0.15">
      <c r="C8" s="17" t="s">
        <v>13</v>
      </c>
      <c r="D8" s="152">
        <f>1/3</f>
        <v>0.33333333333333331</v>
      </c>
      <c r="E8" s="5" t="s">
        <v>14</v>
      </c>
    </row>
    <row r="9" spans="1:5" ht="15" customHeight="1" x14ac:dyDescent="0.15">
      <c r="C9" s="17" t="s">
        <v>15</v>
      </c>
      <c r="D9" s="153">
        <v>0.25</v>
      </c>
      <c r="E9" s="5" t="s">
        <v>16</v>
      </c>
    </row>
    <row r="10" spans="1:5" ht="15" customHeight="1" x14ac:dyDescent="0.15">
      <c r="C10" s="17" t="s">
        <v>17</v>
      </c>
      <c r="D10" s="153">
        <v>7.0000000000000007E-2</v>
      </c>
      <c r="E10" s="5" t="s">
        <v>18</v>
      </c>
    </row>
    <row r="11" spans="1:5" ht="15" customHeight="1" x14ac:dyDescent="0.15">
      <c r="C11" s="17" t="s">
        <v>19</v>
      </c>
      <c r="D11" s="153">
        <v>0.15</v>
      </c>
      <c r="E11" s="5" t="s">
        <v>20</v>
      </c>
    </row>
    <row r="12" spans="1:5" ht="15" customHeight="1" x14ac:dyDescent="0.15">
      <c r="C12" s="17" t="s">
        <v>21</v>
      </c>
      <c r="D12" s="153">
        <v>0.05</v>
      </c>
      <c r="E12" s="5" t="s">
        <v>22</v>
      </c>
    </row>
    <row r="13" spans="1:5" ht="15" customHeight="1" x14ac:dyDescent="0.15">
      <c r="C13" s="17" t="s">
        <v>23</v>
      </c>
      <c r="D13" s="153">
        <v>0.5</v>
      </c>
      <c r="E13" s="5" t="s">
        <v>24</v>
      </c>
    </row>
    <row r="14" spans="1:5" ht="15" customHeight="1" x14ac:dyDescent="0.15">
      <c r="C14" s="17" t="s">
        <v>26</v>
      </c>
      <c r="D14" s="152">
        <v>3</v>
      </c>
      <c r="E14" s="5" t="s">
        <v>27</v>
      </c>
    </row>
    <row r="15" spans="1:5" ht="15" customHeight="1" x14ac:dyDescent="0.15">
      <c r="C15" s="17" t="s">
        <v>28</v>
      </c>
      <c r="D15" s="153">
        <v>3.1E-2</v>
      </c>
      <c r="E15" s="5" t="s">
        <v>29</v>
      </c>
    </row>
    <row r="16" spans="1:5" ht="15" customHeight="1" x14ac:dyDescent="0.15">
      <c r="C16" s="17" t="s">
        <v>30</v>
      </c>
      <c r="D16" s="154">
        <v>25500</v>
      </c>
      <c r="E16" s="5" t="s">
        <v>31</v>
      </c>
    </row>
    <row r="17" spans="1:5" customFormat="1" ht="15" customHeight="1" x14ac:dyDescent="0.2">
      <c r="C17" s="17" t="s">
        <v>95</v>
      </c>
      <c r="D17" s="153">
        <v>1.06E-2</v>
      </c>
      <c r="E17" s="5" t="s">
        <v>96</v>
      </c>
    </row>
    <row r="18" spans="1:5" customFormat="1" ht="15" customHeight="1" x14ac:dyDescent="0.2">
      <c r="C18" s="17" t="s">
        <v>97</v>
      </c>
      <c r="D18" s="153">
        <v>2.7E-2</v>
      </c>
      <c r="E18" s="5" t="s">
        <v>98</v>
      </c>
    </row>
    <row r="19" spans="1:5" customFormat="1" ht="15" customHeight="1" x14ac:dyDescent="0.2">
      <c r="C19" s="17" t="s">
        <v>99</v>
      </c>
      <c r="D19" s="153">
        <v>0.05</v>
      </c>
      <c r="E19" s="5" t="s">
        <v>100</v>
      </c>
    </row>
    <row r="21" spans="1:5" ht="15" customHeight="1" x14ac:dyDescent="0.15">
      <c r="A21" s="35" t="s">
        <v>112</v>
      </c>
      <c r="C21" s="162" t="s">
        <v>129</v>
      </c>
      <c r="D21" s="162"/>
      <c r="E21" s="162"/>
    </row>
    <row r="22" spans="1:5" ht="15" customHeight="1" x14ac:dyDescent="0.15">
      <c r="C22" s="56"/>
      <c r="D22" s="56"/>
      <c r="E22" s="56"/>
    </row>
    <row r="23" spans="1:5" ht="15" customHeight="1" x14ac:dyDescent="0.3">
      <c r="C23" s="19" t="s">
        <v>11</v>
      </c>
      <c r="D23" s="19" t="s">
        <v>32</v>
      </c>
      <c r="E23" s="19" t="s">
        <v>33</v>
      </c>
    </row>
    <row r="24" spans="1:5" ht="15" customHeight="1" x14ac:dyDescent="0.15">
      <c r="C24" s="17" t="s">
        <v>34</v>
      </c>
      <c r="D24" s="7">
        <f>CAPEX!D13</f>
        <v>155</v>
      </c>
      <c r="E24" s="5" t="s">
        <v>35</v>
      </c>
    </row>
    <row r="25" spans="1:5" ht="15" customHeight="1" x14ac:dyDescent="0.15">
      <c r="C25" s="17" t="s">
        <v>36</v>
      </c>
      <c r="D25" s="7">
        <f>'CAPEX Build'!D17</f>
        <v>2452</v>
      </c>
      <c r="E25" s="5" t="s">
        <v>37</v>
      </c>
    </row>
    <row r="26" spans="1:5" ht="15" customHeight="1" x14ac:dyDescent="0.15">
      <c r="C26" s="17" t="s">
        <v>38</v>
      </c>
      <c r="D26" s="29">
        <f>I_pre/delta_a</f>
        <v>620</v>
      </c>
      <c r="E26" s="5" t="s">
        <v>39</v>
      </c>
    </row>
    <row r="27" spans="1:5" ht="15" customHeight="1" x14ac:dyDescent="0.15">
      <c r="C27" s="17" t="s">
        <v>40</v>
      </c>
      <c r="D27" s="45">
        <f>'Model 1 - Calibration'!D14</f>
        <v>2.6884792626728111</v>
      </c>
      <c r="E27" s="5" t="s">
        <v>117</v>
      </c>
    </row>
    <row r="28" spans="1:5" ht="15" customHeight="1" x14ac:dyDescent="0.15">
      <c r="C28" s="17" t="s">
        <v>41</v>
      </c>
      <c r="D28" s="8">
        <f>'Model 1 - Calibration'!D15</f>
        <v>0.98897570389316147</v>
      </c>
      <c r="E28" s="5" t="s">
        <v>118</v>
      </c>
    </row>
    <row r="29" spans="1:5" ht="15" customHeight="1" x14ac:dyDescent="0.15">
      <c r="C29" s="17" t="s">
        <v>42</v>
      </c>
      <c r="D29" s="29">
        <f>K0*((r_a+delta_a)/alpha)^(1/(1-alpha))</f>
        <v>815.01116556768739</v>
      </c>
      <c r="E29" s="5" t="s">
        <v>43</v>
      </c>
    </row>
    <row r="30" spans="1:5" ht="15" customHeight="1" x14ac:dyDescent="0.15">
      <c r="C30" s="17" t="s">
        <v>44</v>
      </c>
      <c r="D30" s="29">
        <f>z0*exp_xi</f>
        <v>2191.1406174755248</v>
      </c>
      <c r="E30" s="5" t="s">
        <v>45</v>
      </c>
    </row>
    <row r="31" spans="1:5" ht="15" customHeight="1" x14ac:dyDescent="0.15">
      <c r="C31" s="17" t="s">
        <v>46</v>
      </c>
      <c r="D31" s="29">
        <f>z0^(1-alpha)*K0^alpha</f>
        <v>744.00000000000045</v>
      </c>
      <c r="E31" s="5" t="s">
        <v>47</v>
      </c>
    </row>
    <row r="32" spans="1:5" ht="15" customHeight="1" x14ac:dyDescent="0.15">
      <c r="C32" s="17" t="s">
        <v>48</v>
      </c>
      <c r="D32" s="29">
        <f>Ya0*(1-Ya0_share)/Ya0_share</f>
        <v>23256.000000000011</v>
      </c>
      <c r="E32" s="5" t="s">
        <v>49</v>
      </c>
    </row>
    <row r="33" spans="1:5" ht="15" customHeight="1" x14ac:dyDescent="0.15">
      <c r="C33" s="17" t="s">
        <v>50</v>
      </c>
      <c r="D33" s="29">
        <f>Ya0+Yn0</f>
        <v>24000.000000000011</v>
      </c>
      <c r="E33" s="5" t="s">
        <v>51</v>
      </c>
    </row>
    <row r="34" spans="1:5" ht="15" customHeight="1" x14ac:dyDescent="0.15">
      <c r="C34" s="17" t="s">
        <v>52</v>
      </c>
      <c r="D34" s="29">
        <f>(GDP0-I_pre)/delta_n</f>
        <v>362071.42857142852</v>
      </c>
      <c r="E34" s="5" t="s">
        <v>53</v>
      </c>
    </row>
    <row r="35" spans="1:5" ht="15" customHeight="1" x14ac:dyDescent="0.15">
      <c r="C35" s="17" t="s">
        <v>25</v>
      </c>
      <c r="D35" s="57">
        <f>'Model 1 - Calibration'!D50</f>
        <v>3.9325327510917031E-2</v>
      </c>
      <c r="E35" s="5"/>
    </row>
    <row r="37" spans="1:5" ht="15" customHeight="1" x14ac:dyDescent="0.15">
      <c r="A37" s="35" t="s">
        <v>112</v>
      </c>
      <c r="C37" s="162" t="s">
        <v>146</v>
      </c>
      <c r="D37" s="162"/>
      <c r="E37" s="162"/>
    </row>
    <row r="38" spans="1:5" ht="15" customHeight="1" x14ac:dyDescent="0.15">
      <c r="C38" s="56"/>
      <c r="D38" s="56"/>
      <c r="E38" s="56"/>
    </row>
    <row r="39" spans="1:5" ht="15" customHeight="1" x14ac:dyDescent="0.3">
      <c r="C39" s="19" t="s">
        <v>11</v>
      </c>
      <c r="D39" s="19" t="s">
        <v>12</v>
      </c>
      <c r="E39" s="19" t="s">
        <v>4</v>
      </c>
    </row>
    <row r="40" spans="1:5" ht="15" customHeight="1" x14ac:dyDescent="0.15">
      <c r="C40" s="17" t="s">
        <v>54</v>
      </c>
      <c r="D40" s="153">
        <v>3.5999999999999997E-2</v>
      </c>
      <c r="E40" s="5" t="s">
        <v>55</v>
      </c>
    </row>
    <row r="41" spans="1:5" ht="15" customHeight="1" x14ac:dyDescent="0.15">
      <c r="C41" s="17" t="s">
        <v>56</v>
      </c>
      <c r="D41" s="155">
        <v>-0.15</v>
      </c>
      <c r="E41" s="5" t="s">
        <v>57</v>
      </c>
    </row>
    <row r="42" spans="1:5" ht="15" customHeight="1" x14ac:dyDescent="0.15">
      <c r="C42" s="17" t="s">
        <v>58</v>
      </c>
      <c r="D42" s="153">
        <v>0.02</v>
      </c>
      <c r="E42" s="5" t="s">
        <v>59</v>
      </c>
    </row>
    <row r="43" spans="1:5" ht="15" customHeight="1" x14ac:dyDescent="0.15">
      <c r="C43" s="17" t="s">
        <v>60</v>
      </c>
      <c r="D43" s="153">
        <v>2.5000000000000001E-2</v>
      </c>
      <c r="E43" s="5" t="s">
        <v>61</v>
      </c>
    </row>
    <row r="44" spans="1:5" ht="15" customHeight="1" x14ac:dyDescent="0.15">
      <c r="C44" s="17" t="s">
        <v>62</v>
      </c>
      <c r="D44" s="153">
        <v>0.02</v>
      </c>
      <c r="E44" s="5" t="s">
        <v>63</v>
      </c>
    </row>
    <row r="45" spans="1:5" ht="15" customHeight="1" x14ac:dyDescent="0.15">
      <c r="C45" s="17" t="s">
        <v>64</v>
      </c>
      <c r="D45" s="8">
        <f>EXP(-rho)</f>
        <v>0.98019867330675525</v>
      </c>
      <c r="E45" s="5" t="s">
        <v>200</v>
      </c>
    </row>
    <row r="47" spans="1:5" ht="15" customHeight="1" x14ac:dyDescent="0.15">
      <c r="C47" s="163"/>
      <c r="D47" s="163"/>
      <c r="E47" s="163"/>
    </row>
    <row r="48" spans="1:5" ht="15" customHeight="1" x14ac:dyDescent="0.15">
      <c r="C48" s="56"/>
      <c r="D48" s="56"/>
      <c r="E48" s="56"/>
    </row>
    <row r="49" spans="3:5" ht="15" customHeight="1" x14ac:dyDescent="0.3">
      <c r="C49" s="19"/>
      <c r="D49" s="19"/>
      <c r="E49" s="19"/>
    </row>
    <row r="50" spans="3:5" ht="15" customHeight="1" x14ac:dyDescent="0.15">
      <c r="C50" s="5"/>
      <c r="D50" s="9"/>
      <c r="E50" s="95"/>
    </row>
    <row r="51" spans="3:5" ht="15" customHeight="1" x14ac:dyDescent="0.15">
      <c r="C51" s="5"/>
      <c r="D51" s="9"/>
      <c r="E51" s="95"/>
    </row>
    <row r="52" spans="3:5" ht="15" customHeight="1" x14ac:dyDescent="0.15">
      <c r="C52" s="5"/>
      <c r="D52" s="9"/>
      <c r="E52" s="95"/>
    </row>
    <row r="53" spans="3:5" ht="15" customHeight="1" x14ac:dyDescent="0.15">
      <c r="C53" s="5"/>
      <c r="D53" s="10"/>
      <c r="E53" s="95"/>
    </row>
    <row r="54" spans="3:5" ht="15" customHeight="1" x14ac:dyDescent="0.15">
      <c r="C54" s="5"/>
      <c r="D54" s="10"/>
      <c r="E54" s="95"/>
    </row>
  </sheetData>
  <sheetProtection algorithmName="SHA-512" hashValue="siyTEgTXlq74lL+SVnrgqegRxEr6LFV+LzZbHBlCu2jzsCEShvaPeVi+wCofxUf6DHzoTsIzfRJWQf4C9pHGxg==" saltValue="WzZYD/8ea0ma5v3PgzqPFw==" spinCount="100000" sheet="1" objects="1" scenarios="1"/>
  <mergeCells count="4">
    <mergeCell ref="C5:E5"/>
    <mergeCell ref="C21:E21"/>
    <mergeCell ref="C37:E37"/>
    <mergeCell ref="C47:E47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85EF3-92B6-B84C-B477-ED3E40A894AA}">
  <sheetPr codeName="Sheet7"/>
  <dimension ref="A2:L137"/>
  <sheetViews>
    <sheetView showGridLines="0" zoomScaleNormal="100" workbookViewId="0">
      <selection activeCell="C24" sqref="C24:K24"/>
    </sheetView>
  </sheetViews>
  <sheetFormatPr baseColWidth="10" defaultColWidth="8.6640625" defaultRowHeight="13" customHeight="1" x14ac:dyDescent="0.15"/>
  <cols>
    <col min="1" max="2" width="1.6640625" style="109" customWidth="1"/>
    <col min="3" max="3" width="31.5" style="109" customWidth="1"/>
    <col min="4" max="4" width="11.5" style="109" customWidth="1"/>
    <col min="5" max="10" width="10" style="109" customWidth="1"/>
    <col min="11" max="11" width="12.83203125" style="109" customWidth="1"/>
    <col min="12" max="12" width="28" style="109" customWidth="1"/>
    <col min="13" max="26" width="8.6640625" style="109" customWidth="1"/>
    <col min="27" max="16384" width="8.6640625" style="109"/>
  </cols>
  <sheetData>
    <row r="2" spans="1:11" ht="13" customHeight="1" x14ac:dyDescent="0.2">
      <c r="B2" s="36"/>
      <c r="C2" s="169" t="s">
        <v>279</v>
      </c>
      <c r="D2" s="170"/>
      <c r="E2" s="170"/>
      <c r="F2" s="170"/>
      <c r="G2" s="170"/>
      <c r="H2" s="170"/>
      <c r="I2" s="170"/>
      <c r="J2" s="170"/>
      <c r="K2" s="170"/>
    </row>
    <row r="3" spans="1:11" ht="15.75" customHeight="1" x14ac:dyDescent="0.15">
      <c r="C3" s="168" t="s">
        <v>215</v>
      </c>
      <c r="D3" s="165"/>
      <c r="E3" s="165"/>
      <c r="F3" s="165"/>
      <c r="G3" s="165"/>
      <c r="H3" s="165"/>
      <c r="I3" s="165"/>
      <c r="J3" s="165"/>
      <c r="K3" s="165"/>
    </row>
    <row r="4" spans="1:11" ht="15" customHeight="1" x14ac:dyDescent="0.15"/>
    <row r="5" spans="1:11" ht="13" customHeight="1" x14ac:dyDescent="0.15">
      <c r="A5" s="109" t="s">
        <v>112</v>
      </c>
      <c r="C5" s="129" t="s">
        <v>293</v>
      </c>
      <c r="D5" s="130"/>
      <c r="E5" s="130"/>
      <c r="F5" s="130"/>
      <c r="G5" s="130"/>
      <c r="H5" s="130"/>
      <c r="I5" s="130"/>
      <c r="J5" s="130"/>
      <c r="K5" s="130"/>
    </row>
    <row r="6" spans="1:11" ht="13" customHeight="1" x14ac:dyDescent="0.15">
      <c r="E6" s="165"/>
      <c r="F6" s="165"/>
      <c r="G6" s="165"/>
    </row>
    <row r="7" spans="1:11" ht="13" customHeight="1" x14ac:dyDescent="0.15">
      <c r="C7" s="109" t="s">
        <v>280</v>
      </c>
      <c r="D7" s="156" t="s">
        <v>216</v>
      </c>
      <c r="E7" s="112"/>
    </row>
    <row r="8" spans="1:11" ht="15" customHeight="1" x14ac:dyDescent="0.15">
      <c r="C8" s="109" t="s">
        <v>217</v>
      </c>
      <c r="D8" s="157" t="s">
        <v>216</v>
      </c>
      <c r="E8" s="112"/>
    </row>
    <row r="9" spans="1:11" ht="15" customHeight="1" x14ac:dyDescent="0.15">
      <c r="C9" s="109" t="s">
        <v>218</v>
      </c>
      <c r="D9" s="157" t="s">
        <v>216</v>
      </c>
      <c r="E9" s="112"/>
    </row>
    <row r="10" spans="1:11" ht="15" customHeight="1" x14ac:dyDescent="0.15">
      <c r="C10" s="109" t="s">
        <v>219</v>
      </c>
      <c r="D10" s="158">
        <v>0.5</v>
      </c>
      <c r="E10" s="112"/>
    </row>
    <row r="11" spans="1:11" ht="15" customHeight="1" x14ac:dyDescent="0.15">
      <c r="C11" s="109" t="s">
        <v>220</v>
      </c>
      <c r="D11" s="157" t="s">
        <v>221</v>
      </c>
      <c r="E11" s="112"/>
    </row>
    <row r="12" spans="1:11" ht="15" customHeight="1" x14ac:dyDescent="0.15"/>
    <row r="13" spans="1:11" ht="15" customHeight="1" x14ac:dyDescent="0.15">
      <c r="C13" s="113" t="s">
        <v>222</v>
      </c>
    </row>
    <row r="14" spans="1:11" ht="15" customHeight="1" x14ac:dyDescent="0.15">
      <c r="C14" s="109" t="s">
        <v>304</v>
      </c>
      <c r="D14" s="110" cm="1">
        <f t="array" ref="D14">K85</f>
        <v>2452</v>
      </c>
    </row>
    <row r="15" spans="1:11" ht="14.25" customHeight="1" x14ac:dyDescent="0.15">
      <c r="C15" s="109" t="s">
        <v>305</v>
      </c>
      <c r="D15" s="110" cm="1">
        <f t="array" ref="D15">K102</f>
        <v>2452</v>
      </c>
    </row>
    <row r="16" spans="1:11" ht="15" customHeight="1" x14ac:dyDescent="0.15"/>
    <row r="17" spans="1:12" ht="13" customHeight="1" x14ac:dyDescent="0.15">
      <c r="C17" s="113" t="s">
        <v>303</v>
      </c>
      <c r="D17" s="116" cm="1">
        <f t="array" ref="D17">IF(D11="5-firm",D14,D15)</f>
        <v>2452</v>
      </c>
    </row>
    <row r="18" spans="1:12" ht="13" customHeight="1" x14ac:dyDescent="0.15">
      <c r="E18" s="165"/>
      <c r="F18" s="165"/>
      <c r="G18" s="165"/>
    </row>
    <row r="20" spans="1:12" ht="15" customHeight="1" x14ac:dyDescent="0.15">
      <c r="L20" s="111"/>
    </row>
    <row r="21" spans="1:12" ht="15" customHeight="1" x14ac:dyDescent="0.15">
      <c r="A21" s="109" t="s">
        <v>112</v>
      </c>
      <c r="C21" s="129" t="s">
        <v>294</v>
      </c>
      <c r="D21" s="129"/>
      <c r="E21" s="129"/>
      <c r="F21" s="129"/>
      <c r="G21" s="129"/>
      <c r="H21" s="129"/>
      <c r="I21" s="129"/>
      <c r="J21" s="129"/>
      <c r="K21" s="129"/>
    </row>
    <row r="22" spans="1:12" ht="15" customHeight="1" x14ac:dyDescent="0.15"/>
    <row r="23" spans="1:12" ht="15" customHeight="1" x14ac:dyDescent="0.15">
      <c r="C23" s="114" t="s">
        <v>88</v>
      </c>
      <c r="D23" s="114" t="s">
        <v>223</v>
      </c>
      <c r="E23" s="114">
        <v>2022</v>
      </c>
      <c r="F23" s="114">
        <v>2023</v>
      </c>
      <c r="G23" s="114">
        <v>2024</v>
      </c>
      <c r="H23" s="114">
        <v>2025</v>
      </c>
      <c r="I23" s="114" t="s">
        <v>71</v>
      </c>
      <c r="J23" s="114" t="s">
        <v>224</v>
      </c>
      <c r="K23" s="114" t="s">
        <v>225</v>
      </c>
    </row>
    <row r="24" spans="1:12" ht="15" customHeight="1" x14ac:dyDescent="0.15">
      <c r="C24" s="166" t="s">
        <v>281</v>
      </c>
      <c r="D24" s="167"/>
      <c r="E24" s="167"/>
      <c r="F24" s="167"/>
      <c r="G24" s="167"/>
      <c r="H24" s="167"/>
      <c r="I24" s="167"/>
      <c r="J24" s="167"/>
      <c r="K24" s="167"/>
    </row>
    <row r="25" spans="1:12" ht="15" customHeight="1" x14ac:dyDescent="0.15">
      <c r="C25" s="109" t="s">
        <v>72</v>
      </c>
      <c r="D25" s="109" t="s">
        <v>226</v>
      </c>
      <c r="E25" s="138">
        <v>64</v>
      </c>
      <c r="F25" s="138">
        <v>53</v>
      </c>
      <c r="G25" s="138">
        <v>83</v>
      </c>
      <c r="H25" s="138">
        <v>132</v>
      </c>
      <c r="I25" s="138">
        <v>200</v>
      </c>
      <c r="J25" s="138">
        <v>285</v>
      </c>
      <c r="K25" s="115">
        <f t="shared" ref="K25:K42" si="0">SUM(G25:J25)</f>
        <v>700</v>
      </c>
    </row>
    <row r="26" spans="1:12" ht="15" customHeight="1" x14ac:dyDescent="0.15">
      <c r="C26" s="109" t="s">
        <v>73</v>
      </c>
      <c r="D26" s="109" t="s">
        <v>226</v>
      </c>
      <c r="E26" s="138">
        <v>31</v>
      </c>
      <c r="F26" s="138">
        <v>32</v>
      </c>
      <c r="G26" s="138">
        <v>53</v>
      </c>
      <c r="H26" s="138">
        <v>91</v>
      </c>
      <c r="I26" s="138">
        <v>180</v>
      </c>
      <c r="J26" s="138">
        <v>255</v>
      </c>
      <c r="K26" s="115">
        <f t="shared" si="0"/>
        <v>579</v>
      </c>
    </row>
    <row r="27" spans="1:12" ht="13" customHeight="1" x14ac:dyDescent="0.15">
      <c r="C27" s="109" t="s">
        <v>91</v>
      </c>
      <c r="D27" s="109" t="s">
        <v>227</v>
      </c>
      <c r="E27" s="138">
        <v>24</v>
      </c>
      <c r="F27" s="138">
        <v>28</v>
      </c>
      <c r="G27" s="138">
        <v>44</v>
      </c>
      <c r="H27" s="138">
        <v>65</v>
      </c>
      <c r="I27" s="138">
        <v>175</v>
      </c>
      <c r="J27" s="138">
        <v>250</v>
      </c>
      <c r="K27" s="115">
        <f t="shared" si="0"/>
        <v>534</v>
      </c>
    </row>
    <row r="28" spans="1:12" ht="13" customHeight="1" x14ac:dyDescent="0.15">
      <c r="C28" s="109" t="s">
        <v>92</v>
      </c>
      <c r="D28" s="109" t="s">
        <v>226</v>
      </c>
      <c r="E28" s="138">
        <v>31</v>
      </c>
      <c r="F28" s="138">
        <v>28</v>
      </c>
      <c r="G28" s="138">
        <v>39</v>
      </c>
      <c r="H28" s="138">
        <v>72</v>
      </c>
      <c r="I28" s="138">
        <v>135</v>
      </c>
      <c r="J28" s="138">
        <v>195</v>
      </c>
      <c r="K28" s="115">
        <f t="shared" si="0"/>
        <v>441</v>
      </c>
    </row>
    <row r="29" spans="1:12" ht="13" customHeight="1" x14ac:dyDescent="0.15">
      <c r="C29" s="109" t="s">
        <v>93</v>
      </c>
      <c r="D29" s="109" t="s">
        <v>228</v>
      </c>
      <c r="E29" s="138">
        <v>5</v>
      </c>
      <c r="F29" s="138">
        <v>9</v>
      </c>
      <c r="G29" s="138">
        <v>7</v>
      </c>
      <c r="H29" s="138">
        <v>21</v>
      </c>
      <c r="I29" s="138">
        <v>65</v>
      </c>
      <c r="J29" s="138">
        <v>105</v>
      </c>
      <c r="K29" s="115">
        <f t="shared" si="0"/>
        <v>198</v>
      </c>
    </row>
    <row r="30" spans="1:12" ht="13" customHeight="1" thickBot="1" x14ac:dyDescent="0.2">
      <c r="C30" s="124" t="s">
        <v>229</v>
      </c>
      <c r="D30" s="125"/>
      <c r="E30" s="126">
        <f t="shared" ref="E30:K38" si="1">SUM(E25:E29)</f>
        <v>155</v>
      </c>
      <c r="F30" s="126">
        <f t="shared" si="1"/>
        <v>150</v>
      </c>
      <c r="G30" s="126">
        <f t="shared" si="1"/>
        <v>226</v>
      </c>
      <c r="H30" s="126">
        <f t="shared" si="1"/>
        <v>381</v>
      </c>
      <c r="I30" s="126">
        <f t="shared" si="1"/>
        <v>755</v>
      </c>
      <c r="J30" s="126">
        <f t="shared" si="1"/>
        <v>1090</v>
      </c>
      <c r="K30" s="127">
        <f t="shared" si="1"/>
        <v>2452</v>
      </c>
    </row>
    <row r="31" spans="1:12" ht="13" customHeight="1" thickTop="1" x14ac:dyDescent="0.15"/>
    <row r="32" spans="1:12" ht="13" customHeight="1" x14ac:dyDescent="0.15">
      <c r="C32" s="166" t="s">
        <v>282</v>
      </c>
      <c r="D32" s="167"/>
      <c r="E32" s="167"/>
      <c r="F32" s="167"/>
      <c r="G32" s="167"/>
      <c r="H32" s="167"/>
      <c r="I32" s="167"/>
      <c r="J32" s="167"/>
      <c r="K32" s="167"/>
    </row>
    <row r="33" spans="1:11" ht="13" customHeight="1" x14ac:dyDescent="0.15">
      <c r="C33" s="109" t="s">
        <v>288</v>
      </c>
      <c r="D33" s="109" t="s">
        <v>226</v>
      </c>
      <c r="E33" s="138">
        <v>0</v>
      </c>
      <c r="F33" s="138">
        <v>0.5</v>
      </c>
      <c r="G33" s="138">
        <v>5.6</v>
      </c>
      <c r="H33" s="138">
        <v>12.7</v>
      </c>
      <c r="I33" s="138">
        <v>40</v>
      </c>
      <c r="J33" s="138">
        <v>60</v>
      </c>
      <c r="K33" s="115">
        <f t="shared" si="0"/>
        <v>118.3</v>
      </c>
    </row>
    <row r="34" spans="1:11" ht="13" customHeight="1" x14ac:dyDescent="0.15">
      <c r="C34" s="109" t="s">
        <v>230</v>
      </c>
      <c r="D34" s="109" t="s">
        <v>226</v>
      </c>
      <c r="E34" s="138">
        <v>0</v>
      </c>
      <c r="F34" s="138">
        <v>0</v>
      </c>
      <c r="G34" s="138">
        <v>10.3</v>
      </c>
      <c r="H34" s="138">
        <v>21.5</v>
      </c>
      <c r="I34" s="138">
        <v>33</v>
      </c>
      <c r="J34" s="138">
        <v>52</v>
      </c>
      <c r="K34" s="115">
        <f t="shared" si="0"/>
        <v>116.8</v>
      </c>
    </row>
    <row r="35" spans="1:11" ht="13" customHeight="1" x14ac:dyDescent="0.15">
      <c r="C35" s="109" t="s">
        <v>231</v>
      </c>
      <c r="D35" s="109" t="s">
        <v>227</v>
      </c>
      <c r="E35" s="138">
        <v>0</v>
      </c>
      <c r="F35" s="138">
        <v>0</v>
      </c>
      <c r="G35" s="138">
        <v>0.5</v>
      </c>
      <c r="H35" s="138">
        <v>1.6</v>
      </c>
      <c r="I35" s="138">
        <v>6</v>
      </c>
      <c r="J35" s="138">
        <v>10</v>
      </c>
      <c r="K35" s="115">
        <f t="shared" si="0"/>
        <v>18.100000000000001</v>
      </c>
    </row>
    <row r="36" spans="1:11" ht="13" customHeight="1" x14ac:dyDescent="0.15">
      <c r="C36" s="109" t="s">
        <v>232</v>
      </c>
      <c r="D36" s="109" t="s">
        <v>226</v>
      </c>
      <c r="E36" s="138">
        <v>0</v>
      </c>
      <c r="F36" s="138">
        <v>0</v>
      </c>
      <c r="G36" s="138">
        <v>1</v>
      </c>
      <c r="H36" s="138">
        <v>4</v>
      </c>
      <c r="I36" s="138">
        <v>12</v>
      </c>
      <c r="J36" s="138">
        <v>14</v>
      </c>
      <c r="K36" s="115">
        <f t="shared" si="0"/>
        <v>31</v>
      </c>
    </row>
    <row r="37" spans="1:11" ht="13" customHeight="1" x14ac:dyDescent="0.15">
      <c r="C37" s="109" t="s">
        <v>233</v>
      </c>
      <c r="D37" s="109" t="s">
        <v>226</v>
      </c>
      <c r="E37" s="138">
        <v>0</v>
      </c>
      <c r="F37" s="138">
        <v>0</v>
      </c>
      <c r="G37" s="138">
        <v>0.3</v>
      </c>
      <c r="H37" s="138">
        <v>1</v>
      </c>
      <c r="I37" s="138">
        <v>4</v>
      </c>
      <c r="J37" s="138">
        <v>7</v>
      </c>
      <c r="K37" s="115">
        <f t="shared" si="0"/>
        <v>12.3</v>
      </c>
    </row>
    <row r="38" spans="1:11" ht="13" customHeight="1" thickBot="1" x14ac:dyDescent="0.2">
      <c r="C38" s="124" t="s">
        <v>234</v>
      </c>
      <c r="D38" s="125"/>
      <c r="E38" s="126">
        <f t="shared" si="1"/>
        <v>0</v>
      </c>
      <c r="F38" s="126">
        <f t="shared" si="1"/>
        <v>0.5</v>
      </c>
      <c r="G38" s="126">
        <f t="shared" si="1"/>
        <v>17.7</v>
      </c>
      <c r="H38" s="126">
        <f t="shared" si="1"/>
        <v>40.800000000000004</v>
      </c>
      <c r="I38" s="126">
        <f t="shared" si="1"/>
        <v>95</v>
      </c>
      <c r="J38" s="126">
        <f t="shared" si="1"/>
        <v>143</v>
      </c>
      <c r="K38" s="127">
        <f t="shared" si="1"/>
        <v>296.5</v>
      </c>
    </row>
    <row r="39" spans="1:11" ht="13" customHeight="1" thickTop="1" x14ac:dyDescent="0.15"/>
    <row r="40" spans="1:11" ht="13" customHeight="1" x14ac:dyDescent="0.15">
      <c r="C40" s="166" t="s">
        <v>283</v>
      </c>
      <c r="D40" s="167"/>
      <c r="E40" s="167"/>
      <c r="F40" s="167"/>
      <c r="G40" s="167"/>
      <c r="H40" s="167"/>
      <c r="I40" s="167"/>
      <c r="J40" s="167"/>
      <c r="K40" s="167"/>
    </row>
    <row r="41" spans="1:11" ht="13" customHeight="1" x14ac:dyDescent="0.15">
      <c r="C41" s="109" t="s">
        <v>289</v>
      </c>
      <c r="D41" s="109" t="s">
        <v>228</v>
      </c>
      <c r="E41" s="138">
        <v>0</v>
      </c>
      <c r="F41" s="138">
        <v>0</v>
      </c>
      <c r="G41" s="138">
        <v>0.2</v>
      </c>
      <c r="H41" s="138">
        <v>1</v>
      </c>
      <c r="I41" s="138">
        <v>4</v>
      </c>
      <c r="J41" s="138">
        <v>5.5</v>
      </c>
      <c r="K41" s="115">
        <f t="shared" si="0"/>
        <v>10.7</v>
      </c>
    </row>
    <row r="42" spans="1:11" ht="13" customHeight="1" x14ac:dyDescent="0.15">
      <c r="C42" s="109" t="s">
        <v>290</v>
      </c>
      <c r="D42" s="109" t="s">
        <v>226</v>
      </c>
      <c r="E42" s="138">
        <v>0</v>
      </c>
      <c r="F42" s="138">
        <v>0</v>
      </c>
      <c r="G42" s="138">
        <v>0.1</v>
      </c>
      <c r="H42" s="138">
        <v>0.2</v>
      </c>
      <c r="I42" s="138">
        <v>2</v>
      </c>
      <c r="J42" s="138">
        <v>4.5</v>
      </c>
      <c r="K42" s="115">
        <f t="shared" si="0"/>
        <v>6.8</v>
      </c>
    </row>
    <row r="43" spans="1:11" ht="13" customHeight="1" thickBot="1" x14ac:dyDescent="0.2">
      <c r="C43" s="124" t="s">
        <v>235</v>
      </c>
      <c r="D43" s="125"/>
      <c r="E43" s="126">
        <f t="shared" ref="E43:K43" si="2">SUM(E41:E42)</f>
        <v>0</v>
      </c>
      <c r="F43" s="126">
        <f t="shared" si="2"/>
        <v>0</v>
      </c>
      <c r="G43" s="126">
        <f t="shared" si="2"/>
        <v>0.30000000000000004</v>
      </c>
      <c r="H43" s="126">
        <f t="shared" si="2"/>
        <v>1.2</v>
      </c>
      <c r="I43" s="126">
        <f t="shared" si="2"/>
        <v>6</v>
      </c>
      <c r="J43" s="126">
        <f t="shared" si="2"/>
        <v>10</v>
      </c>
      <c r="K43" s="127">
        <f t="shared" si="2"/>
        <v>17.5</v>
      </c>
    </row>
    <row r="44" spans="1:11" ht="13" customHeight="1" thickTop="1" x14ac:dyDescent="0.15"/>
    <row r="45" spans="1:11" ht="13" customHeight="1" x14ac:dyDescent="0.15">
      <c r="A45" s="109" t="s">
        <v>112</v>
      </c>
      <c r="C45" s="129" t="s">
        <v>295</v>
      </c>
      <c r="D45" s="129"/>
      <c r="E45" s="129"/>
      <c r="F45" s="129"/>
      <c r="G45" s="129"/>
      <c r="H45" s="129"/>
      <c r="I45" s="129"/>
      <c r="J45" s="129"/>
      <c r="K45" s="129"/>
    </row>
    <row r="46" spans="1:11" ht="13" customHeight="1" x14ac:dyDescent="0.15">
      <c r="C46" s="168" t="s">
        <v>291</v>
      </c>
      <c r="D46" s="165"/>
      <c r="E46" s="165"/>
      <c r="F46" s="165"/>
      <c r="G46" s="165"/>
      <c r="H46" s="165"/>
      <c r="I46" s="165"/>
      <c r="J46" s="165"/>
      <c r="K46" s="165"/>
    </row>
    <row r="47" spans="1:11" ht="13" customHeight="1" x14ac:dyDescent="0.15">
      <c r="C47" s="114" t="s">
        <v>236</v>
      </c>
      <c r="D47" s="114" t="s">
        <v>237</v>
      </c>
      <c r="E47" s="114" t="s">
        <v>238</v>
      </c>
      <c r="F47" s="114" t="s">
        <v>239</v>
      </c>
      <c r="G47" s="114" t="s">
        <v>240</v>
      </c>
    </row>
    <row r="48" spans="1:11" ht="13" customHeight="1" x14ac:dyDescent="0.15">
      <c r="C48" s="109" t="s">
        <v>241</v>
      </c>
      <c r="D48" s="109" t="s">
        <v>242</v>
      </c>
      <c r="E48" s="138">
        <v>19.399999999999999</v>
      </c>
      <c r="F48" s="139" t="s">
        <v>243</v>
      </c>
      <c r="G48" s="139" t="s">
        <v>244</v>
      </c>
    </row>
    <row r="49" spans="3:11" ht="13" customHeight="1" x14ac:dyDescent="0.15">
      <c r="C49" s="109" t="s">
        <v>245</v>
      </c>
      <c r="D49" s="109" t="s">
        <v>246</v>
      </c>
      <c r="E49" s="138">
        <v>29.9</v>
      </c>
      <c r="F49" s="139" t="s">
        <v>243</v>
      </c>
      <c r="G49" s="139" t="s">
        <v>247</v>
      </c>
    </row>
    <row r="50" spans="3:11" ht="13" customHeight="1" x14ac:dyDescent="0.15">
      <c r="C50" s="109" t="s">
        <v>248</v>
      </c>
      <c r="D50" s="109" t="s">
        <v>249</v>
      </c>
      <c r="E50" s="138">
        <v>30.9</v>
      </c>
      <c r="F50" s="139" t="s">
        <v>243</v>
      </c>
      <c r="G50" s="139" t="s">
        <v>250</v>
      </c>
    </row>
    <row r="51" spans="3:11" ht="13" customHeight="1" x14ac:dyDescent="0.15">
      <c r="C51" s="109" t="s">
        <v>251</v>
      </c>
      <c r="D51" s="109" t="s">
        <v>252</v>
      </c>
      <c r="E51" s="110">
        <f>I27-SUM(E48:E50)</f>
        <v>94.800000000000011</v>
      </c>
      <c r="F51" s="109" t="s">
        <v>253</v>
      </c>
      <c r="G51" s="109" t="s">
        <v>254</v>
      </c>
    </row>
    <row r="53" spans="3:11" ht="13" customHeight="1" x14ac:dyDescent="0.15">
      <c r="C53" s="109" t="s">
        <v>255</v>
      </c>
      <c r="D53" s="110">
        <f>E48+E49</f>
        <v>49.3</v>
      </c>
    </row>
    <row r="54" spans="3:11" ht="13" customHeight="1" x14ac:dyDescent="0.15">
      <c r="C54" s="109" t="s">
        <v>256</v>
      </c>
      <c r="D54" s="110">
        <f t="shared" ref="D54:D62" si="3">H27*0.5</f>
        <v>32.5</v>
      </c>
    </row>
    <row r="55" spans="3:11" ht="13" customHeight="1" x14ac:dyDescent="0.15">
      <c r="C55" s="113" t="s">
        <v>257</v>
      </c>
      <c r="D55" s="116">
        <f t="shared" ref="D55" si="4">D53+D54</f>
        <v>81.8</v>
      </c>
    </row>
    <row r="57" spans="3:11" ht="13" customHeight="1" x14ac:dyDescent="0.15">
      <c r="C57" s="168" t="s">
        <v>292</v>
      </c>
      <c r="D57" s="165"/>
      <c r="E57" s="165"/>
      <c r="F57" s="165"/>
      <c r="G57" s="165"/>
      <c r="H57" s="165"/>
      <c r="I57" s="165"/>
      <c r="J57" s="165"/>
      <c r="K57" s="165"/>
    </row>
    <row r="58" spans="3:11" ht="13" customHeight="1" x14ac:dyDescent="0.15">
      <c r="C58" s="114" t="s">
        <v>236</v>
      </c>
      <c r="D58" s="114" t="s">
        <v>237</v>
      </c>
      <c r="E58" s="114" t="s">
        <v>238</v>
      </c>
      <c r="F58" s="114" t="s">
        <v>239</v>
      </c>
      <c r="G58" s="114" t="s">
        <v>240</v>
      </c>
    </row>
    <row r="59" spans="3:11" ht="13" customHeight="1" x14ac:dyDescent="0.15">
      <c r="C59" s="109" t="s">
        <v>258</v>
      </c>
      <c r="D59" s="109" t="s">
        <v>259</v>
      </c>
      <c r="E59" s="140">
        <v>2.61</v>
      </c>
      <c r="F59" s="139" t="s">
        <v>243</v>
      </c>
      <c r="G59" s="139" t="s">
        <v>260</v>
      </c>
    </row>
    <row r="60" spans="3:11" ht="13" customHeight="1" x14ac:dyDescent="0.15">
      <c r="C60" s="109" t="s">
        <v>248</v>
      </c>
      <c r="D60" s="109" t="s">
        <v>249</v>
      </c>
      <c r="E60" s="140">
        <v>1.48</v>
      </c>
      <c r="F60" s="139" t="s">
        <v>243</v>
      </c>
      <c r="G60" s="139" t="s">
        <v>250</v>
      </c>
    </row>
    <row r="61" spans="3:11" ht="13" customHeight="1" x14ac:dyDescent="0.15">
      <c r="C61" s="109" t="s">
        <v>261</v>
      </c>
      <c r="D61" s="109" t="s">
        <v>262</v>
      </c>
      <c r="E61" s="118">
        <f>E59-E60</f>
        <v>1.1299999999999999</v>
      </c>
      <c r="F61" s="109" t="s">
        <v>263</v>
      </c>
      <c r="G61" s="109" t="s">
        <v>264</v>
      </c>
    </row>
    <row r="62" spans="3:11" ht="13" customHeight="1" x14ac:dyDescent="0.15">
      <c r="C62" s="109" t="s">
        <v>265</v>
      </c>
      <c r="D62" s="118">
        <f t="shared" si="3"/>
        <v>0.8</v>
      </c>
    </row>
    <row r="63" spans="3:11" ht="13" customHeight="1" x14ac:dyDescent="0.15">
      <c r="C63" s="113" t="s">
        <v>266</v>
      </c>
      <c r="D63" s="119">
        <f>E61+D62</f>
        <v>1.93</v>
      </c>
    </row>
    <row r="66" spans="1:11" ht="13" customHeight="1" x14ac:dyDescent="0.15">
      <c r="A66" s="109" t="s">
        <v>112</v>
      </c>
      <c r="C66" s="129" t="s">
        <v>296</v>
      </c>
      <c r="D66" s="129"/>
      <c r="E66" s="129"/>
      <c r="F66" s="129"/>
      <c r="G66" s="129"/>
      <c r="H66" s="129"/>
      <c r="I66" s="129"/>
      <c r="J66" s="129"/>
      <c r="K66" s="129"/>
    </row>
    <row r="67" spans="1:11" ht="13" customHeight="1" x14ac:dyDescent="0.15">
      <c r="C67" s="164" t="s">
        <v>284</v>
      </c>
      <c r="D67" s="165"/>
      <c r="E67" s="165"/>
      <c r="F67" s="165"/>
      <c r="G67" s="165"/>
      <c r="H67" s="165"/>
      <c r="I67" s="165"/>
      <c r="J67" s="165"/>
      <c r="K67" s="165"/>
    </row>
    <row r="69" spans="1:11" ht="13" customHeight="1" x14ac:dyDescent="0.15">
      <c r="C69" s="114" t="s">
        <v>88</v>
      </c>
      <c r="D69" s="114" t="s">
        <v>223</v>
      </c>
      <c r="E69" s="114">
        <v>2022</v>
      </c>
      <c r="F69" s="114">
        <v>2023</v>
      </c>
      <c r="G69" s="114">
        <v>2024</v>
      </c>
      <c r="H69" s="114">
        <v>2025</v>
      </c>
      <c r="I69" s="114" t="s">
        <v>71</v>
      </c>
      <c r="J69" s="114" t="s">
        <v>224</v>
      </c>
      <c r="K69" s="114" t="s">
        <v>225</v>
      </c>
    </row>
    <row r="70" spans="1:11" ht="13" customHeight="1" x14ac:dyDescent="0.15">
      <c r="C70" s="109" t="s">
        <v>285</v>
      </c>
      <c r="D70" s="109" t="s">
        <v>227</v>
      </c>
      <c r="E70" s="110">
        <f>0.5*E27+0.5*F27</f>
        <v>26</v>
      </c>
      <c r="F70" s="110">
        <f>0.5*F27+0.5*G27</f>
        <v>36</v>
      </c>
      <c r="G70" s="110">
        <f>0.5*G27+0.5*H27</f>
        <v>54.5</v>
      </c>
      <c r="H70" s="110" cm="1">
        <f t="array" ref="H70">D55</f>
        <v>81.8</v>
      </c>
      <c r="I70" s="110" cm="1">
        <f t="array" ref="I70">I27</f>
        <v>175</v>
      </c>
      <c r="J70" s="110" cm="1">
        <f t="array" ref="J70">J27</f>
        <v>250</v>
      </c>
      <c r="K70" s="115">
        <f t="shared" ref="K70:K73" si="5">SUM(G70:J70)</f>
        <v>561.29999999999995</v>
      </c>
    </row>
    <row r="71" spans="1:11" ht="13" customHeight="1" x14ac:dyDescent="0.15">
      <c r="C71" s="109" t="s">
        <v>286</v>
      </c>
      <c r="D71" s="109" t="s">
        <v>228</v>
      </c>
      <c r="E71" s="110">
        <f>(5/12)*E29+(7/12)*F29</f>
        <v>7.3333333333333339</v>
      </c>
      <c r="F71" s="110">
        <f>(5/12)*F29+(7/12)*G29</f>
        <v>7.8333333333333339</v>
      </c>
      <c r="G71" s="110">
        <f>(5/12)*G29+(7/12)*H29</f>
        <v>15.166666666666668</v>
      </c>
      <c r="H71" s="110">
        <f>(5/12)*H29+(7/12)*I29</f>
        <v>46.666666666666671</v>
      </c>
      <c r="I71" s="110" cm="1">
        <f t="array" ref="I71">I29</f>
        <v>65</v>
      </c>
      <c r="J71" s="110" cm="1">
        <f t="array" ref="J71">J29</f>
        <v>105</v>
      </c>
      <c r="K71" s="115">
        <f t="shared" si="5"/>
        <v>231.83333333333334</v>
      </c>
    </row>
    <row r="72" spans="1:11" ht="13" customHeight="1" x14ac:dyDescent="0.15">
      <c r="C72" s="109" t="s">
        <v>267</v>
      </c>
      <c r="D72" s="109" t="s">
        <v>227</v>
      </c>
      <c r="E72" s="110">
        <f>0.5*E35+0.5*F35</f>
        <v>0</v>
      </c>
      <c r="F72" s="110">
        <f>0.5*F35+0.5*G35</f>
        <v>0.25</v>
      </c>
      <c r="G72" s="110">
        <f>0.5*G35+0.5*H35</f>
        <v>1.05</v>
      </c>
      <c r="H72" s="110" cm="1">
        <f t="array" ref="H72">D63</f>
        <v>1.93</v>
      </c>
      <c r="I72" s="110" cm="1">
        <f t="array" ref="I72">I35</f>
        <v>6</v>
      </c>
      <c r="J72" s="110" cm="1">
        <f t="array" ref="J72">J35</f>
        <v>10</v>
      </c>
      <c r="K72" s="115">
        <f t="shared" si="5"/>
        <v>18.98</v>
      </c>
    </row>
    <row r="73" spans="1:11" ht="13" customHeight="1" x14ac:dyDescent="0.15">
      <c r="C73" s="109" t="s">
        <v>287</v>
      </c>
      <c r="D73" s="109" t="s">
        <v>228</v>
      </c>
      <c r="E73" s="110">
        <f>(5/12)*E41+(7/12)*F41</f>
        <v>0</v>
      </c>
      <c r="F73" s="110">
        <f>(5/12)*F41+(7/12)*G41</f>
        <v>0.11666666666666668</v>
      </c>
      <c r="G73" s="110">
        <f>(5/12)*G41+(7/12)*H41</f>
        <v>0.66666666666666674</v>
      </c>
      <c r="H73" s="110">
        <f>(5/12)*H41+(7/12)*I41</f>
        <v>2.75</v>
      </c>
      <c r="I73" s="110" cm="1">
        <f t="array" ref="I73">I41</f>
        <v>4</v>
      </c>
      <c r="J73" s="110" cm="1">
        <f t="array" ref="J73">J41</f>
        <v>5.5</v>
      </c>
      <c r="K73" s="115">
        <f t="shared" si="5"/>
        <v>12.916666666666668</v>
      </c>
    </row>
    <row r="75" spans="1:11" ht="13" customHeight="1" x14ac:dyDescent="0.15">
      <c r="A75" s="109" t="s">
        <v>112</v>
      </c>
      <c r="C75" s="129" t="s">
        <v>297</v>
      </c>
      <c r="D75" s="129"/>
      <c r="E75" s="129"/>
      <c r="F75" s="129"/>
      <c r="G75" s="129"/>
      <c r="H75" s="129"/>
      <c r="I75" s="129"/>
      <c r="J75" s="129"/>
      <c r="K75" s="129"/>
    </row>
    <row r="76" spans="1:11" ht="13" customHeight="1" x14ac:dyDescent="0.15">
      <c r="C76" s="164" t="s">
        <v>268</v>
      </c>
      <c r="D76" s="165"/>
      <c r="E76" s="165"/>
      <c r="F76" s="165"/>
      <c r="G76" s="165"/>
      <c r="H76" s="165"/>
      <c r="I76" s="165"/>
      <c r="J76" s="165"/>
      <c r="K76" s="165"/>
    </row>
    <row r="78" spans="1:11" ht="13" customHeight="1" x14ac:dyDescent="0.15">
      <c r="C78" s="114" t="s">
        <v>88</v>
      </c>
      <c r="D78" s="114" t="s">
        <v>223</v>
      </c>
      <c r="E78" s="114">
        <v>2022</v>
      </c>
      <c r="F78" s="114">
        <v>2023</v>
      </c>
      <c r="G78" s="114">
        <v>2024</v>
      </c>
      <c r="H78" s="114">
        <v>2025</v>
      </c>
      <c r="I78" s="114" t="s">
        <v>71</v>
      </c>
      <c r="J78" s="114" t="s">
        <v>224</v>
      </c>
      <c r="K78" s="114" t="s">
        <v>225</v>
      </c>
    </row>
    <row r="79" spans="1:11" ht="13" customHeight="1" x14ac:dyDescent="0.15">
      <c r="C79" s="166" t="s">
        <v>281</v>
      </c>
      <c r="D79" s="167"/>
      <c r="E79" s="167"/>
      <c r="F79" s="167"/>
      <c r="G79" s="167"/>
      <c r="H79" s="167"/>
      <c r="I79" s="167"/>
      <c r="J79" s="167"/>
      <c r="K79" s="167"/>
    </row>
    <row r="80" spans="1:11" ht="13" customHeight="1" x14ac:dyDescent="0.15">
      <c r="C80" s="109" t="s">
        <v>72</v>
      </c>
      <c r="D80" s="109" t="s">
        <v>226</v>
      </c>
      <c r="E80" s="110" cm="1">
        <f t="array" ref="E80">E25</f>
        <v>64</v>
      </c>
      <c r="F80" s="110" cm="1">
        <f t="array" ref="F80">F25</f>
        <v>53</v>
      </c>
      <c r="G80" s="110" cm="1">
        <f t="array" ref="G80">G25</f>
        <v>83</v>
      </c>
      <c r="H80" s="110" cm="1">
        <f t="array" ref="H80">H25</f>
        <v>132</v>
      </c>
      <c r="I80" s="110" cm="1">
        <f t="array" ref="I80">I25</f>
        <v>200</v>
      </c>
      <c r="J80" s="110" cm="1">
        <f t="array" ref="J80">J25</f>
        <v>285</v>
      </c>
      <c r="K80" s="115">
        <f t="shared" ref="K80:K84" si="6">SUM(G80:J80)</f>
        <v>700</v>
      </c>
    </row>
    <row r="81" spans="3:11" ht="13" customHeight="1" x14ac:dyDescent="0.15">
      <c r="C81" s="109" t="s">
        <v>73</v>
      </c>
      <c r="D81" s="109" t="s">
        <v>226</v>
      </c>
      <c r="E81" s="110" cm="1">
        <f t="array" ref="E81">E26</f>
        <v>31</v>
      </c>
      <c r="F81" s="110" cm="1">
        <f t="array" ref="F81">F26</f>
        <v>32</v>
      </c>
      <c r="G81" s="110" cm="1">
        <f t="array" ref="G81">G26</f>
        <v>53</v>
      </c>
      <c r="H81" s="110" cm="1">
        <f t="array" ref="H81">H26</f>
        <v>91</v>
      </c>
      <c r="I81" s="110" cm="1">
        <f t="array" ref="I81">I26</f>
        <v>180</v>
      </c>
      <c r="J81" s="110" cm="1">
        <f t="array" ref="J81">J26</f>
        <v>255</v>
      </c>
      <c r="K81" s="115">
        <f t="shared" si="6"/>
        <v>579</v>
      </c>
    </row>
    <row r="82" spans="3:11" ht="13" customHeight="1" x14ac:dyDescent="0.15">
      <c r="C82" s="109" t="s">
        <v>91</v>
      </c>
      <c r="D82" s="109" t="s">
        <v>227</v>
      </c>
      <c r="E82" s="110" cm="1">
        <f t="array" ref="E82">IF($D$7="Yes",E70,E27)</f>
        <v>24</v>
      </c>
      <c r="F82" s="110" cm="1">
        <f t="array" ref="F82">IF($D$7="Yes",F70,F27)</f>
        <v>28</v>
      </c>
      <c r="G82" s="110" cm="1">
        <f t="array" ref="G82">IF($D$7="Yes",G70,G27)</f>
        <v>44</v>
      </c>
      <c r="H82" s="110" cm="1">
        <f t="array" ref="H82">IF($D$7="Yes",H70,H27)</f>
        <v>65</v>
      </c>
      <c r="I82" s="110" cm="1">
        <f t="array" ref="I82">I27</f>
        <v>175</v>
      </c>
      <c r="J82" s="110" cm="1">
        <f t="array" ref="J82">J27</f>
        <v>250</v>
      </c>
      <c r="K82" s="115">
        <f t="shared" si="6"/>
        <v>534</v>
      </c>
    </row>
    <row r="83" spans="3:11" ht="13" customHeight="1" x14ac:dyDescent="0.15">
      <c r="C83" s="109" t="s">
        <v>92</v>
      </c>
      <c r="D83" s="109" t="s">
        <v>226</v>
      </c>
      <c r="E83" s="110" cm="1">
        <f t="array" ref="E83">E28</f>
        <v>31</v>
      </c>
      <c r="F83" s="110" cm="1">
        <f t="array" ref="F83">F28</f>
        <v>28</v>
      </c>
      <c r="G83" s="110" cm="1">
        <f t="array" ref="G83">G28</f>
        <v>39</v>
      </c>
      <c r="H83" s="110" cm="1">
        <f t="array" ref="H83">H28</f>
        <v>72</v>
      </c>
      <c r="I83" s="110" cm="1">
        <f t="array" ref="I83">I28</f>
        <v>135</v>
      </c>
      <c r="J83" s="110" cm="1">
        <f t="array" ref="J83">J28</f>
        <v>195</v>
      </c>
      <c r="K83" s="115">
        <f t="shared" si="6"/>
        <v>441</v>
      </c>
    </row>
    <row r="84" spans="3:11" ht="13" customHeight="1" x14ac:dyDescent="0.15">
      <c r="C84" s="109" t="s">
        <v>93</v>
      </c>
      <c r="D84" s="109" t="s">
        <v>228</v>
      </c>
      <c r="E84" s="110" cm="1">
        <f t="array" ref="E84">IF($D$7="Yes",E71,E29)</f>
        <v>5</v>
      </c>
      <c r="F84" s="110" cm="1">
        <f t="array" ref="F84">IF($D$7="Yes",F71,F29)</f>
        <v>9</v>
      </c>
      <c r="G84" s="110" cm="1">
        <f t="array" ref="G84">IF($D$7="Yes",G71,G29)</f>
        <v>7</v>
      </c>
      <c r="H84" s="110" cm="1">
        <f t="array" ref="H84">IF($D$7="Yes",H71,H29)</f>
        <v>21</v>
      </c>
      <c r="I84" s="110" cm="1">
        <f t="array" ref="I84">I29</f>
        <v>65</v>
      </c>
      <c r="J84" s="110" cm="1">
        <f t="array" ref="J84">J29</f>
        <v>105</v>
      </c>
      <c r="K84" s="115">
        <f t="shared" si="6"/>
        <v>198</v>
      </c>
    </row>
    <row r="85" spans="3:11" ht="13" customHeight="1" thickBot="1" x14ac:dyDescent="0.2">
      <c r="C85" s="124" t="s">
        <v>229</v>
      </c>
      <c r="D85" s="125"/>
      <c r="E85" s="126">
        <f t="shared" ref="E85:K85" si="7">SUM(E80:E84)</f>
        <v>155</v>
      </c>
      <c r="F85" s="126">
        <f t="shared" si="7"/>
        <v>150</v>
      </c>
      <c r="G85" s="126">
        <f t="shared" si="7"/>
        <v>226</v>
      </c>
      <c r="H85" s="126">
        <f t="shared" si="7"/>
        <v>381</v>
      </c>
      <c r="I85" s="126">
        <f t="shared" si="7"/>
        <v>755</v>
      </c>
      <c r="J85" s="126">
        <f t="shared" si="7"/>
        <v>1090</v>
      </c>
      <c r="K85" s="127">
        <f t="shared" si="7"/>
        <v>2452</v>
      </c>
    </row>
    <row r="86" spans="3:11" ht="13" customHeight="1" thickTop="1" x14ac:dyDescent="0.15"/>
    <row r="87" spans="3:11" ht="13" customHeight="1" x14ac:dyDescent="0.15">
      <c r="C87" s="166" t="s">
        <v>282</v>
      </c>
      <c r="D87" s="167"/>
      <c r="E87" s="167"/>
      <c r="F87" s="167"/>
      <c r="G87" s="167"/>
      <c r="H87" s="167"/>
      <c r="I87" s="167"/>
      <c r="J87" s="167"/>
      <c r="K87" s="167"/>
    </row>
    <row r="88" spans="3:11" ht="13" customHeight="1" x14ac:dyDescent="0.15">
      <c r="C88" s="109" t="s">
        <v>288</v>
      </c>
      <c r="D88" s="109" t="s">
        <v>226</v>
      </c>
      <c r="E88" s="110" cm="1">
        <f t="array" ref="E88">IF($D$8="Yes",E33,0)</f>
        <v>0</v>
      </c>
      <c r="F88" s="110" cm="1">
        <f t="array" ref="F88">IF($D$8="Yes",F33,0)</f>
        <v>0</v>
      </c>
      <c r="G88" s="110" cm="1">
        <f t="array" ref="G88">IF($D$8="Yes",G33,0)</f>
        <v>0</v>
      </c>
      <c r="H88" s="110" cm="1">
        <f t="array" ref="H88">IF($D$8="Yes",H33,0)</f>
        <v>0</v>
      </c>
      <c r="I88" s="110" cm="1">
        <f t="array" ref="I88">IF($D$8="Yes",I33,0)</f>
        <v>0</v>
      </c>
      <c r="J88" s="110" cm="1">
        <f t="array" ref="J88">IF($D$8="Yes",J33,0)</f>
        <v>0</v>
      </c>
      <c r="K88" s="115">
        <f t="shared" ref="K88:K92" si="8">SUM(G88:J88)</f>
        <v>0</v>
      </c>
    </row>
    <row r="89" spans="3:11" ht="13" customHeight="1" x14ac:dyDescent="0.15">
      <c r="C89" s="109" t="s">
        <v>230</v>
      </c>
      <c r="D89" s="109" t="s">
        <v>226</v>
      </c>
      <c r="E89" s="110" cm="1">
        <f t="array" ref="E89">IF($D$8="Yes",E34,0)</f>
        <v>0</v>
      </c>
      <c r="F89" s="110" cm="1">
        <f t="array" ref="F89">IF($D$8="Yes",F34,0)</f>
        <v>0</v>
      </c>
      <c r="G89" s="110" cm="1">
        <f t="array" ref="G89">IF($D$8="Yes",G34,0)</f>
        <v>0</v>
      </c>
      <c r="H89" s="110" cm="1">
        <f t="array" ref="H89">IF($D$8="Yes",H34,0)</f>
        <v>0</v>
      </c>
      <c r="I89" s="110" cm="1">
        <f t="array" ref="I89">IF($D$8="Yes",I34,0)</f>
        <v>0</v>
      </c>
      <c r="J89" s="110" cm="1">
        <f t="array" ref="J89">IF($D$8="Yes",J34,0)</f>
        <v>0</v>
      </c>
      <c r="K89" s="115">
        <f t="shared" si="8"/>
        <v>0</v>
      </c>
    </row>
    <row r="90" spans="3:11" ht="13" customHeight="1" x14ac:dyDescent="0.15">
      <c r="C90" s="109" t="s">
        <v>231</v>
      </c>
      <c r="D90" s="109" t="s">
        <v>227</v>
      </c>
      <c r="E90" s="110" cm="1">
        <f t="array" ref="E90">IF($D$8="Yes",IF($D$7="Yes",E72,E35),0)</f>
        <v>0</v>
      </c>
      <c r="F90" s="110" cm="1">
        <f t="array" ref="F90">IF($D$8="Yes",IF($D$7="Yes",F72,F35),0)</f>
        <v>0</v>
      </c>
      <c r="G90" s="110" cm="1">
        <f t="array" ref="G90">IF($D$8="Yes",IF($D$7="Yes",G72,G35),0)</f>
        <v>0</v>
      </c>
      <c r="H90" s="110" cm="1">
        <f t="array" ref="H90">IF($D$8="Yes",IF($D$7="Yes",H72,H35),0)</f>
        <v>0</v>
      </c>
      <c r="I90" s="110" cm="1">
        <f t="array" ref="I90">IF($D$8="Yes",I35,0)</f>
        <v>0</v>
      </c>
      <c r="J90" s="110" cm="1">
        <f t="array" ref="J90">IF($D$8="Yes",J35,0)</f>
        <v>0</v>
      </c>
      <c r="K90" s="115">
        <f t="shared" si="8"/>
        <v>0</v>
      </c>
    </row>
    <row r="91" spans="3:11" ht="13" customHeight="1" x14ac:dyDescent="0.15">
      <c r="C91" s="109" t="s">
        <v>232</v>
      </c>
      <c r="D91" s="109" t="s">
        <v>226</v>
      </c>
      <c r="E91" s="110" cm="1">
        <f t="array" ref="E91">IF($D$8="Yes",E36,0)</f>
        <v>0</v>
      </c>
      <c r="F91" s="110" cm="1">
        <f t="array" ref="F91">IF($D$8="Yes",F36,0)</f>
        <v>0</v>
      </c>
      <c r="G91" s="110" cm="1">
        <f t="array" ref="G91">IF($D$8="Yes",G36,0)</f>
        <v>0</v>
      </c>
      <c r="H91" s="110" cm="1">
        <f t="array" ref="H91">IF($D$8="Yes",H36,0)</f>
        <v>0</v>
      </c>
      <c r="I91" s="110" cm="1">
        <f t="array" ref="I91">IF($D$8="Yes",I36,0)</f>
        <v>0</v>
      </c>
      <c r="J91" s="110" cm="1">
        <f t="array" ref="J91">IF($D$8="Yes",J36,0)</f>
        <v>0</v>
      </c>
      <c r="K91" s="115">
        <f t="shared" si="8"/>
        <v>0</v>
      </c>
    </row>
    <row r="92" spans="3:11" ht="13" customHeight="1" x14ac:dyDescent="0.15">
      <c r="C92" s="109" t="s">
        <v>233</v>
      </c>
      <c r="D92" s="109" t="s">
        <v>226</v>
      </c>
      <c r="E92" s="110" cm="1">
        <f t="array" ref="E92">IF($D$8="Yes",E37,0)</f>
        <v>0</v>
      </c>
      <c r="F92" s="110" cm="1">
        <f t="array" ref="F92">IF($D$8="Yes",F37,0)</f>
        <v>0</v>
      </c>
      <c r="G92" s="110" cm="1">
        <f t="array" ref="G92">IF($D$8="Yes",G37,0)</f>
        <v>0</v>
      </c>
      <c r="H92" s="110" cm="1">
        <f t="array" ref="H92">IF($D$8="Yes",H37,0)</f>
        <v>0</v>
      </c>
      <c r="I92" s="110" cm="1">
        <f t="array" ref="I92">IF($D$8="Yes",I37,0)</f>
        <v>0</v>
      </c>
      <c r="J92" s="110" cm="1">
        <f t="array" ref="J92">IF($D$8="Yes",J37,0)</f>
        <v>0</v>
      </c>
      <c r="K92" s="115">
        <f t="shared" si="8"/>
        <v>0</v>
      </c>
    </row>
    <row r="93" spans="3:11" ht="13" customHeight="1" thickBot="1" x14ac:dyDescent="0.2">
      <c r="C93" s="124" t="s">
        <v>234</v>
      </c>
      <c r="D93" s="125"/>
      <c r="E93" s="126">
        <f t="shared" ref="E93:K93" si="9">SUM(E88:E92)</f>
        <v>0</v>
      </c>
      <c r="F93" s="126">
        <f t="shared" si="9"/>
        <v>0</v>
      </c>
      <c r="G93" s="126">
        <f t="shared" si="9"/>
        <v>0</v>
      </c>
      <c r="H93" s="126">
        <f t="shared" si="9"/>
        <v>0</v>
      </c>
      <c r="I93" s="126">
        <f t="shared" si="9"/>
        <v>0</v>
      </c>
      <c r="J93" s="126">
        <f t="shared" si="9"/>
        <v>0</v>
      </c>
      <c r="K93" s="127">
        <f t="shared" si="9"/>
        <v>0</v>
      </c>
    </row>
    <row r="94" spans="3:11" ht="13" customHeight="1" thickTop="1" x14ac:dyDescent="0.15"/>
    <row r="95" spans="3:11" ht="13" customHeight="1" x14ac:dyDescent="0.15">
      <c r="C95" s="166" t="s">
        <v>283</v>
      </c>
      <c r="D95" s="167"/>
      <c r="E95" s="167"/>
      <c r="F95" s="167"/>
      <c r="G95" s="167"/>
      <c r="H95" s="167"/>
      <c r="I95" s="167"/>
      <c r="J95" s="167"/>
      <c r="K95" s="167"/>
    </row>
    <row r="96" spans="3:11" ht="13" customHeight="1" x14ac:dyDescent="0.15">
      <c r="C96" s="109" t="s">
        <v>289</v>
      </c>
      <c r="D96" s="109" t="s">
        <v>228</v>
      </c>
      <c r="E96" s="110" cm="1">
        <f t="array" ref="E96">IF($D$9="Yes",IF($D$7="Yes",E73,E41),0)</f>
        <v>0</v>
      </c>
      <c r="F96" s="110" cm="1">
        <f t="array" ref="F96">IF($D$9="Yes",IF($D$7="Yes",F73,F41),0)</f>
        <v>0</v>
      </c>
      <c r="G96" s="110" cm="1">
        <f t="array" ref="G96">IF($D$9="Yes",IF($D$7="Yes",G73,G41),0)</f>
        <v>0</v>
      </c>
      <c r="H96" s="110" cm="1">
        <f t="array" ref="H96">IF($D$9="Yes",IF($D$7="Yes",H73,H41),0)</f>
        <v>0</v>
      </c>
      <c r="I96" s="110" cm="1">
        <f t="array" ref="I96">IF($D$9="Yes",I41,0)</f>
        <v>0</v>
      </c>
      <c r="J96" s="110" cm="1">
        <f t="array" ref="J96">IF($D$9="Yes",J41,0)</f>
        <v>0</v>
      </c>
      <c r="K96" s="115">
        <f t="shared" ref="K96:K99" si="10">SUM(G96:J96)</f>
        <v>0</v>
      </c>
    </row>
    <row r="97" spans="1:11" ht="13" customHeight="1" x14ac:dyDescent="0.15">
      <c r="C97" s="109" t="s">
        <v>290</v>
      </c>
      <c r="D97" s="109" t="s">
        <v>226</v>
      </c>
      <c r="E97" s="110" cm="1">
        <f t="array" ref="E97">IF($D$9="Yes",E42,0)</f>
        <v>0</v>
      </c>
      <c r="F97" s="110" cm="1">
        <f t="array" ref="F97">IF($D$9="Yes",F42,0)</f>
        <v>0</v>
      </c>
      <c r="G97" s="110" cm="1">
        <f t="array" ref="G97">IF($D$9="Yes",G42,0)</f>
        <v>0</v>
      </c>
      <c r="H97" s="110" cm="1">
        <f t="array" ref="H97">IF($D$9="Yes",H42,0)</f>
        <v>0</v>
      </c>
      <c r="I97" s="110" cm="1">
        <f t="array" ref="I97">IF($D$9="Yes",I42,0)</f>
        <v>0</v>
      </c>
      <c r="J97" s="110" cm="1">
        <f t="array" ref="J97">IF($D$9="Yes",J42,0)</f>
        <v>0</v>
      </c>
      <c r="K97" s="115">
        <f t="shared" si="10"/>
        <v>0</v>
      </c>
    </row>
    <row r="98" spans="1:11" ht="13" customHeight="1" x14ac:dyDescent="0.15">
      <c r="C98" s="113" t="s">
        <v>235</v>
      </c>
      <c r="E98" s="116">
        <f t="shared" ref="E98:K100" si="11">SUM(E96:E97)</f>
        <v>0</v>
      </c>
      <c r="F98" s="116">
        <f t="shared" si="11"/>
        <v>0</v>
      </c>
      <c r="G98" s="116">
        <f t="shared" si="11"/>
        <v>0</v>
      </c>
      <c r="H98" s="116">
        <f t="shared" si="11"/>
        <v>0</v>
      </c>
      <c r="I98" s="116">
        <f t="shared" si="11"/>
        <v>0</v>
      </c>
      <c r="J98" s="116">
        <f t="shared" si="11"/>
        <v>0</v>
      </c>
      <c r="K98" s="117">
        <f t="shared" si="11"/>
        <v>0</v>
      </c>
    </row>
    <row r="99" spans="1:11" ht="13" customHeight="1" x14ac:dyDescent="0.15">
      <c r="C99" s="120" t="s">
        <v>298</v>
      </c>
      <c r="E99" s="121">
        <f t="shared" ref="E99:J99" si="12">-E98*$D$10</f>
        <v>0</v>
      </c>
      <c r="F99" s="121">
        <f t="shared" si="12"/>
        <v>0</v>
      </c>
      <c r="G99" s="121">
        <f t="shared" si="12"/>
        <v>0</v>
      </c>
      <c r="H99" s="121">
        <f t="shared" si="12"/>
        <v>0</v>
      </c>
      <c r="I99" s="121">
        <f t="shared" si="12"/>
        <v>0</v>
      </c>
      <c r="J99" s="121">
        <f t="shared" si="12"/>
        <v>0</v>
      </c>
      <c r="K99" s="122">
        <f t="shared" si="10"/>
        <v>0</v>
      </c>
    </row>
    <row r="100" spans="1:11" ht="13" customHeight="1" thickBot="1" x14ac:dyDescent="0.2">
      <c r="C100" s="124" t="s">
        <v>269</v>
      </c>
      <c r="D100" s="125"/>
      <c r="E100" s="126">
        <f t="shared" ref="E100:J100" si="13">E98+E99</f>
        <v>0</v>
      </c>
      <c r="F100" s="126">
        <f t="shared" si="13"/>
        <v>0</v>
      </c>
      <c r="G100" s="126">
        <f t="shared" si="13"/>
        <v>0</v>
      </c>
      <c r="H100" s="126">
        <f t="shared" si="13"/>
        <v>0</v>
      </c>
      <c r="I100" s="126">
        <f t="shared" si="13"/>
        <v>0</v>
      </c>
      <c r="J100" s="126">
        <f t="shared" si="13"/>
        <v>0</v>
      </c>
      <c r="K100" s="127">
        <f t="shared" si="11"/>
        <v>0</v>
      </c>
    </row>
    <row r="101" spans="1:11" ht="13" customHeight="1" thickTop="1" x14ac:dyDescent="0.15"/>
    <row r="102" spans="1:11" ht="13" customHeight="1" thickBot="1" x14ac:dyDescent="0.2">
      <c r="C102" s="124" t="s">
        <v>270</v>
      </c>
      <c r="D102" s="125"/>
      <c r="E102" s="126">
        <f t="shared" ref="E102:K102" si="14">E85+E93+E100</f>
        <v>155</v>
      </c>
      <c r="F102" s="126">
        <f t="shared" si="14"/>
        <v>150</v>
      </c>
      <c r="G102" s="126">
        <f t="shared" si="14"/>
        <v>226</v>
      </c>
      <c r="H102" s="126">
        <f t="shared" si="14"/>
        <v>381</v>
      </c>
      <c r="I102" s="126">
        <f t="shared" si="14"/>
        <v>755</v>
      </c>
      <c r="J102" s="126">
        <f t="shared" si="14"/>
        <v>1090</v>
      </c>
      <c r="K102" s="127">
        <f t="shared" si="14"/>
        <v>2452</v>
      </c>
    </row>
    <row r="103" spans="1:11" ht="13" customHeight="1" thickTop="1" x14ac:dyDescent="0.15"/>
    <row r="105" spans="1:11" ht="13" customHeight="1" x14ac:dyDescent="0.15">
      <c r="A105" s="109" t="s">
        <v>112</v>
      </c>
      <c r="C105" s="129" t="s">
        <v>301</v>
      </c>
      <c r="D105" s="129"/>
      <c r="E105" s="129"/>
      <c r="F105" s="129"/>
      <c r="G105" s="129"/>
      <c r="H105" s="129"/>
      <c r="I105" s="129"/>
      <c r="J105" s="129"/>
      <c r="K105" s="129"/>
    </row>
    <row r="107" spans="1:11" ht="13" customHeight="1" x14ac:dyDescent="0.15">
      <c r="C107" s="114" t="s">
        <v>271</v>
      </c>
      <c r="D107" s="114"/>
      <c r="E107" s="114">
        <v>2022</v>
      </c>
      <c r="F107" s="114">
        <v>2023</v>
      </c>
      <c r="G107" s="114">
        <v>2024</v>
      </c>
      <c r="H107" s="114">
        <v>2025</v>
      </c>
      <c r="I107" s="114" t="s">
        <v>71</v>
      </c>
      <c r="J107" s="114" t="s">
        <v>224</v>
      </c>
    </row>
    <row r="108" spans="1:11" ht="13" customHeight="1" x14ac:dyDescent="0.15">
      <c r="C108" s="109" t="s">
        <v>299</v>
      </c>
      <c r="E108" s="110" cm="1">
        <f t="array" ref="E108">E85</f>
        <v>155</v>
      </c>
      <c r="F108" s="110" cm="1">
        <f t="array" ref="F108">F85</f>
        <v>150</v>
      </c>
      <c r="G108" s="110" cm="1">
        <f t="array" ref="G108">G85</f>
        <v>226</v>
      </c>
      <c r="H108" s="110" cm="1">
        <f t="array" ref="H108">H85</f>
        <v>381</v>
      </c>
      <c r="I108" s="110" cm="1">
        <f t="array" ref="I108">I85</f>
        <v>755</v>
      </c>
      <c r="J108" s="110" cm="1">
        <f t="array" ref="J108">J85</f>
        <v>1090</v>
      </c>
    </row>
    <row r="109" spans="1:11" ht="13" customHeight="1" x14ac:dyDescent="0.15">
      <c r="C109" s="109" t="s">
        <v>300</v>
      </c>
      <c r="E109" s="110" cm="1">
        <f t="array" ref="E109">E102</f>
        <v>155</v>
      </c>
      <c r="F109" s="110" cm="1">
        <f t="array" ref="F109">F102</f>
        <v>150</v>
      </c>
      <c r="G109" s="110" cm="1">
        <f t="array" ref="G109">G102</f>
        <v>226</v>
      </c>
      <c r="H109" s="110" cm="1">
        <f t="array" ref="H109">H102</f>
        <v>381</v>
      </c>
      <c r="I109" s="110" cm="1">
        <f t="array" ref="I109">I102</f>
        <v>755</v>
      </c>
      <c r="J109" s="110" cm="1">
        <f t="array" ref="J109">J102</f>
        <v>1090</v>
      </c>
    </row>
    <row r="110" spans="1:11" ht="13" customHeight="1" x14ac:dyDescent="0.15">
      <c r="C110" s="109" t="s">
        <v>77</v>
      </c>
      <c r="E110" s="138">
        <v>25.5</v>
      </c>
      <c r="F110" s="138">
        <v>27.4</v>
      </c>
      <c r="G110" s="138">
        <v>29.2</v>
      </c>
      <c r="H110" s="138">
        <v>30.5</v>
      </c>
      <c r="I110" s="138">
        <v>31.5</v>
      </c>
      <c r="J110" s="138">
        <v>32.4</v>
      </c>
    </row>
    <row r="111" spans="1:11" ht="13" customHeight="1" x14ac:dyDescent="0.15">
      <c r="C111" s="109" t="s">
        <v>272</v>
      </c>
      <c r="E111" s="138">
        <v>4.7</v>
      </c>
      <c r="F111" s="138">
        <v>5</v>
      </c>
      <c r="G111" s="138">
        <v>5.2</v>
      </c>
      <c r="H111" s="138">
        <v>5.4</v>
      </c>
      <c r="I111" s="138">
        <v>5.5</v>
      </c>
      <c r="J111" s="138">
        <v>5.7</v>
      </c>
    </row>
    <row r="112" spans="1:11" ht="13" customHeight="1" x14ac:dyDescent="0.15">
      <c r="C112" s="109" t="s">
        <v>273</v>
      </c>
      <c r="E112" s="123">
        <f t="shared" ref="E112:J112" si="15">E108/(E110*1000)</f>
        <v>6.0784313725490199E-3</v>
      </c>
      <c r="F112" s="123">
        <f t="shared" si="15"/>
        <v>5.4744525547445258E-3</v>
      </c>
      <c r="G112" s="123">
        <f t="shared" si="15"/>
        <v>7.7397260273972604E-3</v>
      </c>
      <c r="H112" s="123">
        <f t="shared" si="15"/>
        <v>1.2491803278688525E-2</v>
      </c>
      <c r="I112" s="123">
        <f t="shared" si="15"/>
        <v>2.3968253968253968E-2</v>
      </c>
      <c r="J112" s="123">
        <f t="shared" si="15"/>
        <v>3.3641975308641978E-2</v>
      </c>
    </row>
    <row r="113" spans="1:11" ht="13" customHeight="1" x14ac:dyDescent="0.15">
      <c r="C113" s="109" t="s">
        <v>306</v>
      </c>
      <c r="E113" s="123">
        <f t="shared" ref="E113:J113" si="16">E109/(E110*1000)</f>
        <v>6.0784313725490199E-3</v>
      </c>
      <c r="F113" s="123">
        <f t="shared" si="16"/>
        <v>5.4744525547445258E-3</v>
      </c>
      <c r="G113" s="123">
        <f t="shared" si="16"/>
        <v>7.7397260273972604E-3</v>
      </c>
      <c r="H113" s="123">
        <f t="shared" si="16"/>
        <v>1.2491803278688525E-2</v>
      </c>
      <c r="I113" s="123">
        <f t="shared" si="16"/>
        <v>2.3968253968253968E-2</v>
      </c>
      <c r="J113" s="123">
        <f t="shared" si="16"/>
        <v>3.3641975308641978E-2</v>
      </c>
    </row>
    <row r="114" spans="1:11" ht="13" customHeight="1" x14ac:dyDescent="0.15">
      <c r="C114" s="109" t="s">
        <v>274</v>
      </c>
      <c r="E114" s="123">
        <f t="shared" ref="E114:J114" si="17">E108/(E111*1000)</f>
        <v>3.2978723404255318E-2</v>
      </c>
      <c r="F114" s="123">
        <f t="shared" si="17"/>
        <v>0.03</v>
      </c>
      <c r="G114" s="123">
        <f t="shared" si="17"/>
        <v>4.3461538461538461E-2</v>
      </c>
      <c r="H114" s="123">
        <f t="shared" si="17"/>
        <v>7.0555555555555552E-2</v>
      </c>
      <c r="I114" s="123">
        <f t="shared" si="17"/>
        <v>0.13727272727272727</v>
      </c>
      <c r="J114" s="123">
        <f t="shared" si="17"/>
        <v>0.19122807017543861</v>
      </c>
    </row>
    <row r="115" spans="1:11" ht="13" customHeight="1" x14ac:dyDescent="0.15">
      <c r="C115" s="109" t="s">
        <v>307</v>
      </c>
      <c r="E115" s="123">
        <f t="shared" ref="E115:J115" si="18">E109/(E111*1000)</f>
        <v>3.2978723404255318E-2</v>
      </c>
      <c r="F115" s="123">
        <f t="shared" si="18"/>
        <v>0.03</v>
      </c>
      <c r="G115" s="123">
        <f t="shared" si="18"/>
        <v>4.3461538461538461E-2</v>
      </c>
      <c r="H115" s="123">
        <f t="shared" si="18"/>
        <v>7.0555555555555552E-2</v>
      </c>
      <c r="I115" s="123">
        <f t="shared" si="18"/>
        <v>0.13727272727272727</v>
      </c>
      <c r="J115" s="123">
        <f t="shared" si="18"/>
        <v>0.19122807017543861</v>
      </c>
    </row>
    <row r="117" spans="1:11" ht="13" customHeight="1" x14ac:dyDescent="0.15">
      <c r="A117" s="109" t="s">
        <v>112</v>
      </c>
      <c r="C117" s="129" t="s">
        <v>302</v>
      </c>
      <c r="D117" s="129"/>
      <c r="E117" s="129"/>
      <c r="F117" s="129"/>
      <c r="G117" s="129"/>
      <c r="H117" s="129"/>
      <c r="I117" s="129"/>
      <c r="J117" s="129"/>
      <c r="K117" s="129"/>
    </row>
    <row r="119" spans="1:11" ht="13" customHeight="1" x14ac:dyDescent="0.15">
      <c r="C119" s="114" t="s">
        <v>275</v>
      </c>
      <c r="E119" s="114">
        <v>2022</v>
      </c>
      <c r="F119" s="114">
        <v>2023</v>
      </c>
      <c r="G119" s="114">
        <v>2024</v>
      </c>
      <c r="H119" s="114">
        <v>2025</v>
      </c>
      <c r="I119" s="114" t="s">
        <v>71</v>
      </c>
      <c r="J119" s="114" t="s">
        <v>224</v>
      </c>
      <c r="K119" s="114" t="s">
        <v>276</v>
      </c>
    </row>
    <row r="120" spans="1:11" ht="13" customHeight="1" x14ac:dyDescent="0.15">
      <c r="C120" s="109" t="s">
        <v>277</v>
      </c>
      <c r="E120" s="131"/>
      <c r="F120" s="131"/>
      <c r="G120" s="110" cm="1">
        <f t="array" ref="G120">G85</f>
        <v>226</v>
      </c>
      <c r="H120" s="110" cm="1">
        <f t="array" ref="H120">H85</f>
        <v>381</v>
      </c>
      <c r="I120" s="110" cm="1">
        <f t="array" ref="I120">I85</f>
        <v>755</v>
      </c>
      <c r="J120" s="110" cm="1">
        <f t="array" ref="J120">J85</f>
        <v>1090</v>
      </c>
      <c r="K120" s="110">
        <f t="shared" ref="K120:K121" si="19">SUM(G120:J120)</f>
        <v>2452</v>
      </c>
    </row>
    <row r="121" spans="1:11" ht="13" customHeight="1" x14ac:dyDescent="0.15">
      <c r="C121" s="109" t="s">
        <v>316</v>
      </c>
      <c r="E121" s="131"/>
      <c r="F121" s="131"/>
      <c r="G121" s="110" cm="1">
        <f t="array" ref="G121">G102</f>
        <v>226</v>
      </c>
      <c r="H121" s="110" cm="1">
        <f t="array" ref="H121">H102</f>
        <v>381</v>
      </c>
      <c r="I121" s="110" cm="1">
        <f t="array" ref="I121">I102</f>
        <v>755</v>
      </c>
      <c r="J121" s="110" cm="1">
        <f t="array" ref="J121">J102</f>
        <v>1090</v>
      </c>
      <c r="K121" s="110">
        <f t="shared" si="19"/>
        <v>2452</v>
      </c>
    </row>
    <row r="123" spans="1:11" ht="13" customHeight="1" x14ac:dyDescent="0.15">
      <c r="C123" s="113" t="s">
        <v>278</v>
      </c>
      <c r="G123" s="116" cm="1">
        <f t="array" ref="G123">D17</f>
        <v>2452</v>
      </c>
    </row>
    <row r="124" spans="1:11" ht="13" customHeight="1" x14ac:dyDescent="0.15">
      <c r="G124" s="128"/>
    </row>
    <row r="127" spans="1:11" ht="13" customHeight="1" x14ac:dyDescent="0.15">
      <c r="A127" s="109" t="s">
        <v>112</v>
      </c>
      <c r="C127" s="129" t="s">
        <v>178</v>
      </c>
      <c r="D127" s="129"/>
      <c r="E127" s="129"/>
      <c r="F127" s="129"/>
      <c r="G127" s="129"/>
      <c r="H127" s="129"/>
      <c r="I127" s="129"/>
      <c r="J127" s="129"/>
      <c r="K127" s="129"/>
    </row>
    <row r="128" spans="1:11" ht="13" customHeight="1" x14ac:dyDescent="0.15">
      <c r="C128" s="164"/>
      <c r="D128" s="165"/>
      <c r="E128" s="165"/>
      <c r="F128" s="165"/>
      <c r="G128" s="165"/>
      <c r="H128" s="165"/>
      <c r="I128" s="165"/>
      <c r="J128" s="165"/>
      <c r="K128" s="165"/>
    </row>
    <row r="129" spans="3:10" ht="13" customHeight="1" x14ac:dyDescent="0.15">
      <c r="C129" s="114" t="s">
        <v>88</v>
      </c>
      <c r="D129" s="114">
        <f>E78</f>
        <v>2022</v>
      </c>
      <c r="E129" s="114">
        <f t="shared" ref="E129:I129" si="20">F78</f>
        <v>2023</v>
      </c>
      <c r="F129" s="114">
        <f t="shared" si="20"/>
        <v>2024</v>
      </c>
      <c r="G129" s="114">
        <f t="shared" si="20"/>
        <v>2025</v>
      </c>
      <c r="H129" s="114" t="str">
        <f t="shared" si="20"/>
        <v>2026f</v>
      </c>
      <c r="I129" s="114" t="str">
        <f t="shared" si="20"/>
        <v>2027e</v>
      </c>
      <c r="J129" s="113"/>
    </row>
    <row r="130" spans="3:10" ht="13" customHeight="1" x14ac:dyDescent="0.15">
      <c r="C130" s="109" t="str">
        <f>C80</f>
        <v>Amazon</v>
      </c>
      <c r="D130" s="110">
        <f>E80</f>
        <v>64</v>
      </c>
      <c r="E130" s="110">
        <f t="shared" ref="E130:I130" si="21">F80</f>
        <v>53</v>
      </c>
      <c r="F130" s="110">
        <f t="shared" si="21"/>
        <v>83</v>
      </c>
      <c r="G130" s="110">
        <f t="shared" si="21"/>
        <v>132</v>
      </c>
      <c r="H130" s="110">
        <f t="shared" si="21"/>
        <v>200</v>
      </c>
      <c r="I130" s="110">
        <f t="shared" si="21"/>
        <v>285</v>
      </c>
    </row>
    <row r="131" spans="3:10" ht="13" customHeight="1" x14ac:dyDescent="0.15">
      <c r="C131" s="109" t="str">
        <f t="shared" ref="C131:C134" si="22">C81</f>
        <v>Alphabet</v>
      </c>
      <c r="D131" s="110">
        <f t="shared" ref="D131:I134" si="23">E81</f>
        <v>31</v>
      </c>
      <c r="E131" s="110">
        <f t="shared" si="23"/>
        <v>32</v>
      </c>
      <c r="F131" s="110">
        <f t="shared" si="23"/>
        <v>53</v>
      </c>
      <c r="G131" s="110">
        <f t="shared" si="23"/>
        <v>91</v>
      </c>
      <c r="H131" s="110">
        <f t="shared" si="23"/>
        <v>180</v>
      </c>
      <c r="I131" s="110">
        <f t="shared" si="23"/>
        <v>255</v>
      </c>
    </row>
    <row r="132" spans="3:10" ht="13" customHeight="1" x14ac:dyDescent="0.15">
      <c r="C132" s="109" t="str">
        <f t="shared" si="22"/>
        <v>Microsoft</v>
      </c>
      <c r="D132" s="110">
        <f t="shared" si="23"/>
        <v>24</v>
      </c>
      <c r="E132" s="110">
        <f t="shared" si="23"/>
        <v>28</v>
      </c>
      <c r="F132" s="110">
        <f t="shared" si="23"/>
        <v>44</v>
      </c>
      <c r="G132" s="110">
        <f t="shared" si="23"/>
        <v>65</v>
      </c>
      <c r="H132" s="110">
        <f t="shared" si="23"/>
        <v>175</v>
      </c>
      <c r="I132" s="110">
        <f t="shared" si="23"/>
        <v>250</v>
      </c>
    </row>
    <row r="133" spans="3:10" ht="13" customHeight="1" x14ac:dyDescent="0.15">
      <c r="C133" s="109" t="str">
        <f t="shared" si="22"/>
        <v>Meta</v>
      </c>
      <c r="D133" s="110">
        <f t="shared" si="23"/>
        <v>31</v>
      </c>
      <c r="E133" s="110">
        <f t="shared" si="23"/>
        <v>28</v>
      </c>
      <c r="F133" s="110">
        <f t="shared" si="23"/>
        <v>39</v>
      </c>
      <c r="G133" s="110">
        <f t="shared" si="23"/>
        <v>72</v>
      </c>
      <c r="H133" s="110">
        <f t="shared" si="23"/>
        <v>135</v>
      </c>
      <c r="I133" s="110">
        <f t="shared" si="23"/>
        <v>195</v>
      </c>
    </row>
    <row r="134" spans="3:10" ht="13" customHeight="1" x14ac:dyDescent="0.15">
      <c r="C134" s="109" t="str">
        <f t="shared" si="22"/>
        <v>Oracle</v>
      </c>
      <c r="D134" s="110">
        <f t="shared" si="23"/>
        <v>5</v>
      </c>
      <c r="E134" s="110">
        <f t="shared" si="23"/>
        <v>9</v>
      </c>
      <c r="F134" s="110">
        <f t="shared" si="23"/>
        <v>7</v>
      </c>
      <c r="G134" s="110">
        <f t="shared" si="23"/>
        <v>21</v>
      </c>
      <c r="H134" s="110">
        <f t="shared" si="23"/>
        <v>65</v>
      </c>
      <c r="I134" s="110">
        <f t="shared" si="23"/>
        <v>105</v>
      </c>
    </row>
    <row r="135" spans="3:10" ht="13" customHeight="1" x14ac:dyDescent="0.15">
      <c r="C135" s="109" t="str">
        <f>IF(D8="Yes",C87,"T1 Neoclouds Excluded")</f>
        <v>T1 Neoclouds Excluded</v>
      </c>
      <c r="D135" s="110" cm="1">
        <f t="array" ref="D135">IF(D8="Yes",E93:J93, 0)</f>
        <v>0</v>
      </c>
      <c r="E135" s="110"/>
      <c r="F135" s="110"/>
      <c r="G135" s="110"/>
      <c r="H135" s="110"/>
      <c r="I135" s="110"/>
    </row>
    <row r="136" spans="3:10" ht="13" customHeight="1" x14ac:dyDescent="0.15">
      <c r="C136" s="109" t="str">
        <f>IF(D9="Yes",C95,"T2 Neoclouds Excluded")</f>
        <v>T2 Neoclouds Excluded</v>
      </c>
      <c r="D136" s="110" cm="1">
        <f t="array" ref="D136">IF(D9="Yes",E100:J100, 0)</f>
        <v>0</v>
      </c>
      <c r="E136" s="110"/>
      <c r="F136" s="110"/>
      <c r="G136" s="110"/>
      <c r="H136" s="110"/>
      <c r="I136" s="110"/>
    </row>
    <row r="137" spans="3:10" ht="13" customHeight="1" x14ac:dyDescent="0.15">
      <c r="D137" s="110"/>
    </row>
  </sheetData>
  <sheetProtection algorithmName="SHA-512" hashValue="OBYpIcdt5i7DsrrzOj1LGKAUn6lHWb1TwPNDOhjA6k3zlZ6IJOtQ9TJK02EZ36xD2wPYMG1ODJ9eNIthXBwzQA==" saltValue="/YKWS2ioIJ7Nzu6TnrmCsg==" spinCount="100000" sheet="1" objects="1" scenarios="1"/>
  <mergeCells count="15">
    <mergeCell ref="C2:K2"/>
    <mergeCell ref="C3:K3"/>
    <mergeCell ref="E6:G6"/>
    <mergeCell ref="E18:G18"/>
    <mergeCell ref="C24:K24"/>
    <mergeCell ref="C32:K32"/>
    <mergeCell ref="C40:K40"/>
    <mergeCell ref="C46:K46"/>
    <mergeCell ref="C57:K57"/>
    <mergeCell ref="C67:K67"/>
    <mergeCell ref="C76:K76"/>
    <mergeCell ref="C128:K128"/>
    <mergeCell ref="C79:K79"/>
    <mergeCell ref="C87:K87"/>
    <mergeCell ref="C95:K95"/>
  </mergeCells>
  <dataValidations count="2">
    <dataValidation type="list" allowBlank="1" showErrorMessage="1" sqref="D11" xr:uid="{9EB88991-C47B-B74F-BEC7-1AA154D31E6F}">
      <formula1>"5-firm,All-firms"</formula1>
    </dataValidation>
    <dataValidation type="list" allowBlank="1" showErrorMessage="1" sqref="D7:D9" xr:uid="{1266461C-FAE8-DD47-A2CC-143168A05938}">
      <formula1>"Yes,No"</formula1>
    </dataValidation>
  </dataValidations>
  <pageMargins left="0.75" right="0.75" top="1" bottom="1" header="0.51" footer="0.51"/>
  <pageSetup paperSize="9" orientation="portrait" r:id="rId1"/>
  <headerFooter>
    <oddHeader>&amp;L&amp;C&amp;R</oddHeader>
    <oddFooter>&amp;L&amp;C&amp;R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J25"/>
  <sheetViews>
    <sheetView showGridLines="0" zoomScaleNormal="100" workbookViewId="0">
      <selection activeCell="F33" sqref="F33"/>
    </sheetView>
  </sheetViews>
  <sheetFormatPr baseColWidth="10" defaultColWidth="8.6640625" defaultRowHeight="13" x14ac:dyDescent="0.15"/>
  <cols>
    <col min="1" max="2" width="1.6640625" style="35" customWidth="1"/>
    <col min="3" max="3" width="34.33203125" style="35" customWidth="1"/>
    <col min="4" max="9" width="10" style="35" customWidth="1"/>
    <col min="10" max="10" width="28" style="35" customWidth="1"/>
    <col min="11" max="16384" width="8.6640625" style="35"/>
  </cols>
  <sheetData>
    <row r="2" spans="1:9" ht="15.75" customHeight="1" x14ac:dyDescent="0.2">
      <c r="B2" s="36"/>
      <c r="C2" s="2" t="s">
        <v>8</v>
      </c>
    </row>
    <row r="3" spans="1:9" ht="15" customHeight="1" x14ac:dyDescent="0.15">
      <c r="C3" s="3" t="s">
        <v>128</v>
      </c>
    </row>
    <row r="5" spans="1:9" x14ac:dyDescent="0.15">
      <c r="A5" s="35" t="s">
        <v>112</v>
      </c>
      <c r="C5" s="162" t="s">
        <v>126</v>
      </c>
      <c r="D5" s="162"/>
      <c r="E5" s="162"/>
      <c r="F5" s="36"/>
      <c r="G5" s="36"/>
      <c r="H5" s="36"/>
      <c r="I5" s="36"/>
    </row>
    <row r="6" spans="1:9" x14ac:dyDescent="0.15">
      <c r="C6" s="56"/>
      <c r="D6" s="56"/>
      <c r="E6" s="56"/>
    </row>
    <row r="7" spans="1:9" ht="15" customHeight="1" x14ac:dyDescent="0.3">
      <c r="C7" s="19" t="s">
        <v>66</v>
      </c>
      <c r="D7" s="19" t="s">
        <v>67</v>
      </c>
      <c r="E7" s="19" t="s">
        <v>68</v>
      </c>
      <c r="F7" s="19" t="s">
        <v>69</v>
      </c>
      <c r="G7" s="19" t="s">
        <v>70</v>
      </c>
      <c r="H7" s="19" t="s">
        <v>71</v>
      </c>
      <c r="I7" s="19" t="s">
        <v>147</v>
      </c>
    </row>
    <row r="8" spans="1:9" ht="15" customHeight="1" x14ac:dyDescent="0.15">
      <c r="C8" s="17" t="s">
        <v>72</v>
      </c>
      <c r="D8" s="11">
        <v>64</v>
      </c>
      <c r="E8" s="11">
        <v>53</v>
      </c>
      <c r="F8" s="11">
        <v>83</v>
      </c>
      <c r="G8" s="11">
        <v>132</v>
      </c>
      <c r="H8" s="11">
        <v>200</v>
      </c>
      <c r="I8" s="11">
        <v>285</v>
      </c>
    </row>
    <row r="9" spans="1:9" ht="15" customHeight="1" x14ac:dyDescent="0.15">
      <c r="C9" s="17" t="s">
        <v>73</v>
      </c>
      <c r="D9" s="11">
        <v>31</v>
      </c>
      <c r="E9" s="11">
        <v>32</v>
      </c>
      <c r="F9" s="11">
        <v>53</v>
      </c>
      <c r="G9" s="11">
        <v>91</v>
      </c>
      <c r="H9" s="11">
        <v>180</v>
      </c>
      <c r="I9" s="11">
        <v>255</v>
      </c>
    </row>
    <row r="10" spans="1:9" ht="15" customHeight="1" x14ac:dyDescent="0.15">
      <c r="C10" s="17" t="s">
        <v>91</v>
      </c>
      <c r="D10" s="11">
        <v>24</v>
      </c>
      <c r="E10" s="11">
        <v>28</v>
      </c>
      <c r="F10" s="11">
        <v>44</v>
      </c>
      <c r="G10" s="11">
        <v>65</v>
      </c>
      <c r="H10" s="11">
        <v>175</v>
      </c>
      <c r="I10" s="11">
        <v>250</v>
      </c>
    </row>
    <row r="11" spans="1:9" ht="15" customHeight="1" x14ac:dyDescent="0.15">
      <c r="C11" s="17" t="s">
        <v>92</v>
      </c>
      <c r="D11" s="11">
        <v>31</v>
      </c>
      <c r="E11" s="11">
        <v>28</v>
      </c>
      <c r="F11" s="11">
        <v>39</v>
      </c>
      <c r="G11" s="11">
        <v>72</v>
      </c>
      <c r="H11" s="11">
        <v>135</v>
      </c>
      <c r="I11" s="11">
        <v>195</v>
      </c>
    </row>
    <row r="12" spans="1:9" ht="15" customHeight="1" x14ac:dyDescent="0.15">
      <c r="C12" s="17" t="s">
        <v>93</v>
      </c>
      <c r="D12" s="11">
        <v>5</v>
      </c>
      <c r="E12" s="11">
        <v>9</v>
      </c>
      <c r="F12" s="11">
        <v>7</v>
      </c>
      <c r="G12" s="11">
        <v>21</v>
      </c>
      <c r="H12" s="11">
        <v>65</v>
      </c>
      <c r="I12" s="11">
        <v>105</v>
      </c>
    </row>
    <row r="13" spans="1:9" ht="15" customHeight="1" thickBot="1" x14ac:dyDescent="0.2">
      <c r="C13" s="20" t="s">
        <v>74</v>
      </c>
      <c r="D13" s="21">
        <f t="shared" ref="D13:I13" si="0">SUM(D8:D12)</f>
        <v>155</v>
      </c>
      <c r="E13" s="21">
        <f t="shared" si="0"/>
        <v>150</v>
      </c>
      <c r="F13" s="21">
        <f t="shared" si="0"/>
        <v>226</v>
      </c>
      <c r="G13" s="21">
        <f t="shared" si="0"/>
        <v>381</v>
      </c>
      <c r="H13" s="21">
        <f t="shared" si="0"/>
        <v>755</v>
      </c>
      <c r="I13" s="21">
        <f t="shared" si="0"/>
        <v>1090</v>
      </c>
    </row>
    <row r="14" spans="1:9" ht="14" thickTop="1" x14ac:dyDescent="0.15"/>
    <row r="15" spans="1:9" ht="15" customHeight="1" x14ac:dyDescent="0.15">
      <c r="C15" s="22" t="s">
        <v>36</v>
      </c>
      <c r="D15" s="23">
        <f>SUM(F13:I13)</f>
        <v>2452</v>
      </c>
      <c r="E15" s="3"/>
    </row>
    <row r="17" spans="1:10" x14ac:dyDescent="0.15">
      <c r="A17" s="35" t="s">
        <v>112</v>
      </c>
      <c r="C17" s="162" t="s">
        <v>127</v>
      </c>
      <c r="D17" s="162"/>
      <c r="E17" s="162"/>
      <c r="F17" s="36"/>
      <c r="G17" s="36"/>
      <c r="H17" s="36"/>
      <c r="I17" s="36"/>
    </row>
    <row r="18" spans="1:10" x14ac:dyDescent="0.15">
      <c r="C18" s="56"/>
      <c r="D18" s="56"/>
      <c r="E18" s="56"/>
    </row>
    <row r="19" spans="1:10" ht="15" customHeight="1" x14ac:dyDescent="0.3">
      <c r="C19" s="19" t="s">
        <v>75</v>
      </c>
      <c r="D19" s="19" t="s">
        <v>67</v>
      </c>
      <c r="E19" s="19" t="s">
        <v>68</v>
      </c>
      <c r="F19" s="19" t="s">
        <v>69</v>
      </c>
      <c r="G19" s="19" t="s">
        <v>70</v>
      </c>
      <c r="H19" s="19" t="s">
        <v>71</v>
      </c>
      <c r="I19" s="19" t="s">
        <v>147</v>
      </c>
      <c r="J19" s="19"/>
    </row>
    <row r="20" spans="1:10" ht="15" customHeight="1" x14ac:dyDescent="0.15">
      <c r="C20" s="17" t="s">
        <v>76</v>
      </c>
      <c r="D20" s="29">
        <f t="shared" ref="D20:I20" si="1">D13</f>
        <v>155</v>
      </c>
      <c r="E20" s="29">
        <f t="shared" si="1"/>
        <v>150</v>
      </c>
      <c r="F20" s="29">
        <f t="shared" si="1"/>
        <v>226</v>
      </c>
      <c r="G20" s="29">
        <f t="shared" si="1"/>
        <v>381</v>
      </c>
      <c r="H20" s="29">
        <f t="shared" si="1"/>
        <v>755</v>
      </c>
      <c r="I20" s="29">
        <f t="shared" si="1"/>
        <v>1090</v>
      </c>
    </row>
    <row r="21" spans="1:10" ht="15" customHeight="1" x14ac:dyDescent="0.15">
      <c r="C21" s="17" t="s">
        <v>77</v>
      </c>
      <c r="D21" s="12">
        <v>25.5</v>
      </c>
      <c r="E21" s="12">
        <v>27.8</v>
      </c>
      <c r="F21" s="12">
        <v>29.2</v>
      </c>
      <c r="G21" s="12">
        <v>30.5</v>
      </c>
      <c r="H21" s="12">
        <v>31.5</v>
      </c>
      <c r="I21" s="12">
        <v>32.4</v>
      </c>
    </row>
    <row r="22" spans="1:10" ht="15" customHeight="1" x14ac:dyDescent="0.15">
      <c r="C22" s="17" t="s">
        <v>78</v>
      </c>
      <c r="D22" s="13">
        <v>4.7</v>
      </c>
      <c r="E22" s="13">
        <v>4.9000000000000004</v>
      </c>
      <c r="F22" s="13">
        <v>5.2</v>
      </c>
      <c r="G22" s="13">
        <v>5.4</v>
      </c>
      <c r="H22" s="13">
        <v>5.5</v>
      </c>
      <c r="I22" s="13">
        <v>5.7</v>
      </c>
    </row>
    <row r="23" spans="1:10" ht="15" customHeight="1" x14ac:dyDescent="0.15">
      <c r="C23" s="17" t="s">
        <v>79</v>
      </c>
      <c r="D23" s="10">
        <f t="shared" ref="D23:I23" si="2">D20/(D21*1000)</f>
        <v>6.0784313725490199E-3</v>
      </c>
      <c r="E23" s="10">
        <f t="shared" si="2"/>
        <v>5.3956834532374104E-3</v>
      </c>
      <c r="F23" s="10">
        <f t="shared" si="2"/>
        <v>7.7397260273972604E-3</v>
      </c>
      <c r="G23" s="10">
        <f t="shared" si="2"/>
        <v>1.2491803278688525E-2</v>
      </c>
      <c r="H23" s="10">
        <f t="shared" si="2"/>
        <v>2.3968253968253968E-2</v>
      </c>
      <c r="I23" s="10">
        <f t="shared" si="2"/>
        <v>3.3641975308641978E-2</v>
      </c>
    </row>
    <row r="24" spans="1:10" ht="15" customHeight="1" x14ac:dyDescent="0.15">
      <c r="C24" s="17" t="s">
        <v>80</v>
      </c>
      <c r="D24" s="10">
        <f t="shared" ref="D24:I24" si="3">D20/(D22*1000)</f>
        <v>3.2978723404255318E-2</v>
      </c>
      <c r="E24" s="10">
        <f t="shared" si="3"/>
        <v>3.0612244897959183E-2</v>
      </c>
      <c r="F24" s="10">
        <f t="shared" si="3"/>
        <v>4.3461538461538461E-2</v>
      </c>
      <c r="G24" s="10">
        <f t="shared" si="3"/>
        <v>7.0555555555555552E-2</v>
      </c>
      <c r="H24" s="10">
        <f t="shared" si="3"/>
        <v>0.13727272727272727</v>
      </c>
      <c r="I24" s="10">
        <f t="shared" si="3"/>
        <v>0.19122807017543861</v>
      </c>
    </row>
    <row r="25" spans="1:10" ht="15" customHeight="1" x14ac:dyDescent="0.15">
      <c r="C25" s="3"/>
    </row>
  </sheetData>
  <mergeCells count="2">
    <mergeCell ref="C5:E5"/>
    <mergeCell ref="C17:E17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U50"/>
  <sheetViews>
    <sheetView showGridLines="0" topLeftCell="A13" zoomScaleNormal="100" workbookViewId="0">
      <selection activeCell="I23" sqref="I23"/>
    </sheetView>
  </sheetViews>
  <sheetFormatPr baseColWidth="10" defaultColWidth="8.6640625" defaultRowHeight="15" x14ac:dyDescent="0.2"/>
  <cols>
    <col min="1" max="2" width="1.6640625" customWidth="1"/>
    <col min="3" max="3" width="25.6640625" customWidth="1"/>
    <col min="4" max="12" width="15.6640625" customWidth="1"/>
    <col min="13" max="13" width="25.6640625" customWidth="1"/>
    <col min="14" max="21" width="15.6640625" customWidth="1"/>
  </cols>
  <sheetData>
    <row r="2" spans="1:21" ht="15.75" customHeight="1" x14ac:dyDescent="0.2">
      <c r="B2" s="18"/>
      <c r="C2" s="2" t="s">
        <v>144</v>
      </c>
      <c r="M2" s="2"/>
    </row>
    <row r="3" spans="1:21" ht="15.75" customHeight="1" x14ac:dyDescent="0.2">
      <c r="C3" s="3" t="s">
        <v>128</v>
      </c>
      <c r="M3" s="3"/>
    </row>
    <row r="5" spans="1:21" ht="15" customHeight="1" x14ac:dyDescent="0.2">
      <c r="A5" t="s">
        <v>112</v>
      </c>
      <c r="C5" s="24" t="s">
        <v>113</v>
      </c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</row>
    <row r="6" spans="1:21" ht="15" customHeight="1" x14ac:dyDescent="0.2"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</row>
    <row r="7" spans="1:21" ht="15" customHeight="1" x14ac:dyDescent="0.3">
      <c r="C7" s="19" t="s">
        <v>81</v>
      </c>
      <c r="D7" s="19" t="s">
        <v>32</v>
      </c>
      <c r="M7" s="19"/>
      <c r="N7" s="19"/>
    </row>
    <row r="8" spans="1:21" ht="15" customHeight="1" x14ac:dyDescent="0.2">
      <c r="C8" s="5" t="s">
        <v>83</v>
      </c>
      <c r="D8" s="7">
        <f>I_pre</f>
        <v>155</v>
      </c>
      <c r="M8" s="5"/>
      <c r="N8" s="7"/>
    </row>
    <row r="9" spans="1:21" ht="15" customHeight="1" x14ac:dyDescent="0.2">
      <c r="C9" s="5" t="s">
        <v>84</v>
      </c>
      <c r="D9" s="7">
        <f>I_bar</f>
        <v>2452</v>
      </c>
      <c r="M9" s="5"/>
      <c r="N9" s="7"/>
    </row>
    <row r="10" spans="1:21" ht="15" customHeight="1" x14ac:dyDescent="0.2">
      <c r="C10" s="5" t="s">
        <v>85</v>
      </c>
      <c r="D10" s="15">
        <f>delta_a</f>
        <v>0.25</v>
      </c>
      <c r="M10" s="5"/>
      <c r="N10" s="15"/>
    </row>
    <row r="11" spans="1:21" ht="15" customHeight="1" x14ac:dyDescent="0.2">
      <c r="C11" s="5" t="s">
        <v>86</v>
      </c>
      <c r="D11" s="29">
        <f>K0</f>
        <v>620</v>
      </c>
      <c r="M11" s="5"/>
      <c r="N11" s="29"/>
    </row>
    <row r="12" spans="1:21" ht="15" customHeight="1" x14ac:dyDescent="0.2">
      <c r="C12" s="5"/>
      <c r="D12" s="7"/>
      <c r="M12" s="5"/>
      <c r="N12" s="7"/>
    </row>
    <row r="13" spans="1:21" ht="15" customHeight="1" x14ac:dyDescent="0.3">
      <c r="C13" s="19" t="s">
        <v>82</v>
      </c>
      <c r="D13" s="19" t="s">
        <v>32</v>
      </c>
      <c r="M13" s="19"/>
      <c r="N13" s="19"/>
    </row>
    <row r="14" spans="1:21" ht="15" customHeight="1" x14ac:dyDescent="0.2">
      <c r="C14" s="5" t="s">
        <v>40</v>
      </c>
      <c r="D14" s="14">
        <f>(I_bar/K0+1-delta_a)/(1 + 3 * delta_a)</f>
        <v>2.6884792626728111</v>
      </c>
      <c r="E14" s="1" t="s">
        <v>138</v>
      </c>
      <c r="M14" s="5"/>
      <c r="N14" s="14"/>
      <c r="O14" s="1"/>
    </row>
    <row r="15" spans="1:21" ht="15" customHeight="1" x14ac:dyDescent="0.2">
      <c r="C15" s="5" t="s">
        <v>41</v>
      </c>
      <c r="D15" s="9">
        <f>LN(exp_xi)</f>
        <v>0.98897570389316147</v>
      </c>
      <c r="E15" s="1" t="s">
        <v>139</v>
      </c>
      <c r="M15" s="5"/>
      <c r="N15" s="9"/>
      <c r="O15" s="1"/>
    </row>
    <row r="18" spans="1:21" ht="15" customHeight="1" x14ac:dyDescent="0.2">
      <c r="A18" t="s">
        <v>112</v>
      </c>
      <c r="C18" s="24" t="s">
        <v>87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</row>
    <row r="19" spans="1:21" ht="15" customHeight="1" x14ac:dyDescent="0.2"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</row>
    <row r="20" spans="1:21" ht="15" customHeight="1" x14ac:dyDescent="0.3">
      <c r="C20" s="19" t="s">
        <v>88</v>
      </c>
      <c r="D20" s="19" t="s">
        <v>83</v>
      </c>
      <c r="E20" s="19" t="s">
        <v>89</v>
      </c>
      <c r="F20" s="19" t="s">
        <v>90</v>
      </c>
      <c r="G20" s="19" t="s">
        <v>114</v>
      </c>
      <c r="H20" s="19" t="s">
        <v>115</v>
      </c>
      <c r="M20" s="19"/>
      <c r="N20" s="19"/>
      <c r="O20" s="19"/>
      <c r="P20" s="19"/>
      <c r="Q20" s="19"/>
      <c r="R20" s="19"/>
    </row>
    <row r="21" spans="1:21" ht="15" customHeight="1" x14ac:dyDescent="0.2">
      <c r="C21" s="17" t="s">
        <v>72</v>
      </c>
      <c r="D21" s="7">
        <f>CAPEX!D8</f>
        <v>64</v>
      </c>
      <c r="E21" s="7">
        <f>SUM(CAPEX!F8:I8)</f>
        <v>700</v>
      </c>
      <c r="F21" s="16">
        <f>D21/delta_a</f>
        <v>256</v>
      </c>
      <c r="G21" s="14">
        <f>(E21/F21+1-delta_a)/(1+3*delta_a)</f>
        <v>1.9910714285714286</v>
      </c>
      <c r="H21" s="9">
        <f>LN(G21)</f>
        <v>0.68867290016502425</v>
      </c>
      <c r="M21" s="17"/>
      <c r="N21" s="7"/>
      <c r="O21" s="7"/>
      <c r="P21" s="16"/>
      <c r="Q21" s="14"/>
      <c r="R21" s="9"/>
    </row>
    <row r="22" spans="1:21" ht="15" customHeight="1" x14ac:dyDescent="0.2">
      <c r="C22" s="17" t="s">
        <v>73</v>
      </c>
      <c r="D22" s="7">
        <f>CAPEX!D9</f>
        <v>31</v>
      </c>
      <c r="E22" s="7">
        <f>SUM(CAPEX!F9:I9)</f>
        <v>579</v>
      </c>
      <c r="F22" s="16">
        <f>D22/delta_a</f>
        <v>124</v>
      </c>
      <c r="G22" s="14">
        <f>(E22/F22+1-delta_a)/(1+3*delta_a)</f>
        <v>3.096774193548387</v>
      </c>
      <c r="H22" s="9">
        <f>LN(G22)</f>
        <v>1.1303609869826901</v>
      </c>
      <c r="M22" s="17"/>
      <c r="N22" s="7"/>
      <c r="O22" s="7"/>
      <c r="P22" s="16"/>
      <c r="Q22" s="14"/>
      <c r="R22" s="9"/>
    </row>
    <row r="23" spans="1:21" ht="15" customHeight="1" x14ac:dyDescent="0.2">
      <c r="C23" s="17" t="s">
        <v>91</v>
      </c>
      <c r="D23" s="7">
        <f>CAPEX!D10</f>
        <v>24</v>
      </c>
      <c r="E23" s="7">
        <f>SUM(CAPEX!F10:I10)</f>
        <v>534</v>
      </c>
      <c r="F23" s="16">
        <f>D23/delta_a</f>
        <v>96</v>
      </c>
      <c r="G23" s="14">
        <f>(E23/F23+1-delta_a)/(1+3*delta_a)</f>
        <v>3.6071428571428572</v>
      </c>
      <c r="H23" s="9">
        <f>LN(G23)</f>
        <v>1.2829160066660557</v>
      </c>
      <c r="M23" s="17"/>
      <c r="N23" s="7"/>
      <c r="O23" s="7"/>
      <c r="P23" s="16"/>
      <c r="Q23" s="14"/>
      <c r="R23" s="9"/>
    </row>
    <row r="24" spans="1:21" ht="15" customHeight="1" x14ac:dyDescent="0.2">
      <c r="C24" s="17" t="s">
        <v>92</v>
      </c>
      <c r="D24" s="7">
        <f>CAPEX!D11</f>
        <v>31</v>
      </c>
      <c r="E24" s="7">
        <f>SUM(CAPEX!F11:I11)</f>
        <v>441</v>
      </c>
      <c r="F24" s="16">
        <f>D24/delta_a</f>
        <v>124</v>
      </c>
      <c r="G24" s="14">
        <f>(E24/F24+1-delta_a)/(1+3*delta_a)</f>
        <v>2.4608294930875578</v>
      </c>
      <c r="H24" s="9">
        <f>LN(G24)</f>
        <v>0.90049848541973543</v>
      </c>
      <c r="M24" s="17"/>
      <c r="N24" s="7"/>
      <c r="O24" s="7"/>
      <c r="P24" s="16"/>
      <c r="Q24" s="14"/>
      <c r="R24" s="9"/>
    </row>
    <row r="25" spans="1:21" ht="15" customHeight="1" x14ac:dyDescent="0.2">
      <c r="C25" s="17" t="s">
        <v>93</v>
      </c>
      <c r="D25" s="7">
        <f>CAPEX!D12</f>
        <v>5</v>
      </c>
      <c r="E25" s="7">
        <f>SUM(CAPEX!F12:I12)</f>
        <v>198</v>
      </c>
      <c r="F25" s="16">
        <f>D25/delta_a</f>
        <v>20</v>
      </c>
      <c r="G25" s="14">
        <f>(E25/F25+1-delta_a)/(1+3*delta_a)</f>
        <v>6.0857142857142863</v>
      </c>
      <c r="H25" s="9">
        <f>LN(G25)</f>
        <v>1.8059441042200115</v>
      </c>
      <c r="M25" s="17"/>
      <c r="N25" s="7"/>
      <c r="O25" s="7"/>
      <c r="P25" s="16"/>
      <c r="Q25" s="14"/>
      <c r="R25" s="9"/>
    </row>
    <row r="26" spans="1:21" ht="15" customHeight="1" thickBot="1" x14ac:dyDescent="0.25">
      <c r="C26" s="20" t="s">
        <v>94</v>
      </c>
      <c r="D26" s="25">
        <f>I_pre</f>
        <v>155</v>
      </c>
      <c r="E26" s="25">
        <f>I_bar</f>
        <v>2452</v>
      </c>
      <c r="F26" s="25">
        <f>K0</f>
        <v>620</v>
      </c>
      <c r="G26" s="26">
        <f>exp_xi</f>
        <v>2.6884792626728111</v>
      </c>
      <c r="H26" s="27">
        <f>xi</f>
        <v>0.98897570389316147</v>
      </c>
      <c r="M26" s="17"/>
      <c r="N26" s="7"/>
      <c r="O26" s="7"/>
      <c r="P26" s="7"/>
      <c r="Q26" s="45"/>
      <c r="R26" s="8"/>
    </row>
    <row r="27" spans="1:21" ht="16" thickTop="1" x14ac:dyDescent="0.2"/>
    <row r="28" spans="1:21" ht="15" customHeight="1" x14ac:dyDescent="0.2">
      <c r="A28" t="s">
        <v>112</v>
      </c>
      <c r="C28" s="24" t="s">
        <v>131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</row>
    <row r="29" spans="1:21" ht="15" customHeight="1" x14ac:dyDescent="0.2"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</row>
    <row r="30" spans="1:21" ht="15" customHeight="1" x14ac:dyDescent="0.3">
      <c r="C30" s="43" t="s">
        <v>40</v>
      </c>
      <c r="D30" s="59"/>
      <c r="E30" s="59"/>
      <c r="F30" s="59"/>
      <c r="G30" s="59"/>
      <c r="H30" s="59"/>
      <c r="I30" s="59"/>
      <c r="J30" s="59"/>
      <c r="K30" s="59"/>
      <c r="L30" s="28"/>
      <c r="M30" s="43" t="s">
        <v>41</v>
      </c>
      <c r="N30" s="60"/>
      <c r="O30" s="60"/>
      <c r="P30" s="60"/>
      <c r="Q30" s="60"/>
      <c r="R30" s="60"/>
      <c r="S30" s="60"/>
      <c r="T30" s="60"/>
      <c r="U30" s="60"/>
    </row>
    <row r="31" spans="1:21" ht="15" customHeight="1" x14ac:dyDescent="0.2">
      <c r="C31" s="38"/>
      <c r="D31" s="28">
        <v>0</v>
      </c>
      <c r="E31" s="65" t="s">
        <v>116</v>
      </c>
      <c r="F31" s="66"/>
      <c r="G31" s="66"/>
      <c r="H31" s="66"/>
      <c r="I31" s="67"/>
      <c r="J31" s="68"/>
      <c r="K31" s="69"/>
      <c r="L31" s="28"/>
      <c r="M31" s="38"/>
      <c r="N31" s="28">
        <v>0</v>
      </c>
      <c r="O31" s="65" t="s">
        <v>116</v>
      </c>
      <c r="P31" s="66"/>
      <c r="Q31" s="66"/>
      <c r="R31" s="66"/>
      <c r="S31" s="67"/>
      <c r="T31" s="68"/>
      <c r="U31" s="69"/>
    </row>
    <row r="32" spans="1:21" ht="15" customHeight="1" x14ac:dyDescent="0.2">
      <c r="D32" s="17"/>
      <c r="E32" s="73">
        <f>F32-100</f>
        <v>320</v>
      </c>
      <c r="F32" s="74">
        <f>G32-100</f>
        <v>420</v>
      </c>
      <c r="G32" s="74">
        <f>H32-100</f>
        <v>520</v>
      </c>
      <c r="H32" s="74">
        <f>D11</f>
        <v>620</v>
      </c>
      <c r="I32" s="74">
        <f>H32+100</f>
        <v>720</v>
      </c>
      <c r="J32" s="74">
        <f>I32+100</f>
        <v>820</v>
      </c>
      <c r="K32" s="75">
        <f>J32+100</f>
        <v>920</v>
      </c>
      <c r="N32" s="17"/>
      <c r="O32" s="73">
        <f t="shared" ref="O32:U32" si="0">E32</f>
        <v>320</v>
      </c>
      <c r="P32" s="74">
        <f t="shared" si="0"/>
        <v>420</v>
      </c>
      <c r="Q32" s="74">
        <f t="shared" si="0"/>
        <v>520</v>
      </c>
      <c r="R32" s="74">
        <f t="shared" si="0"/>
        <v>620</v>
      </c>
      <c r="S32" s="74">
        <f t="shared" si="0"/>
        <v>720</v>
      </c>
      <c r="T32" s="74">
        <f t="shared" si="0"/>
        <v>820</v>
      </c>
      <c r="U32" s="75">
        <f t="shared" si="0"/>
        <v>920</v>
      </c>
    </row>
    <row r="33" spans="1:21" ht="15" customHeight="1" x14ac:dyDescent="0.2">
      <c r="C33" s="61"/>
      <c r="D33" s="70">
        <f>D34-500</f>
        <v>952</v>
      </c>
      <c r="E33" s="30">
        <f>(D33/E32+1-delta_a)/(1+3*delta_a)</f>
        <v>2.1285714285714286</v>
      </c>
      <c r="F33" s="14">
        <f>(D33/F32+1-delta_a)/(1+3*delta_a)</f>
        <v>1.7238095238095237</v>
      </c>
      <c r="G33" s="14">
        <f>(D33/G32+1-delta_a)/(1+3*delta_a)</f>
        <v>1.4747252747252746</v>
      </c>
      <c r="H33" s="14">
        <f>(D33/H32+1-delta_a)/(1+3*delta_a)</f>
        <v>1.3059907834101381</v>
      </c>
      <c r="I33" s="14">
        <f>(D33/I32+1-delta_a)/(1+3*delta_a)</f>
        <v>1.1841269841269839</v>
      </c>
      <c r="J33" s="14">
        <f>(D33/J32+1-delta_a)/(1+3*delta_a)</f>
        <v>1.0919860627177702</v>
      </c>
      <c r="K33" s="14">
        <f>(D33/K32+1-delta_a)/(1+3*delta_a)</f>
        <v>1.0198757763975155</v>
      </c>
      <c r="M33" s="61"/>
      <c r="N33" s="70">
        <f t="shared" ref="N33:N39" si="1">D33</f>
        <v>952</v>
      </c>
      <c r="O33" s="30">
        <f>LN(E33)</f>
        <v>0.75545106389610017</v>
      </c>
      <c r="P33" s="14">
        <f t="shared" ref="P33:U39" si="2">LN(F33)</f>
        <v>0.54453668110830233</v>
      </c>
      <c r="Q33" s="14">
        <f t="shared" si="2"/>
        <v>0.38847171802073127</v>
      </c>
      <c r="R33" s="14">
        <f t="shared" si="2"/>
        <v>0.2669619737161204</v>
      </c>
      <c r="S33" s="14">
        <f t="shared" si="2"/>
        <v>0.16900578081818229</v>
      </c>
      <c r="T33" s="14">
        <f t="shared" si="2"/>
        <v>8.7998114162299509E-2</v>
      </c>
      <c r="U33" s="14">
        <f t="shared" si="2"/>
        <v>1.9680832033864802E-2</v>
      </c>
    </row>
    <row r="34" spans="1:21" ht="15" customHeight="1" x14ac:dyDescent="0.2">
      <c r="C34" s="62"/>
      <c r="D34" s="71">
        <f>D35-500</f>
        <v>1452</v>
      </c>
      <c r="E34" s="30">
        <f>(D34/E32+1-delta_a)/(1+3*delta_a)</f>
        <v>3.0214285714285714</v>
      </c>
      <c r="F34" s="14">
        <f>(D34/F32+1-delta_a)/(1+3*delta_a)</f>
        <v>2.4040816326530612</v>
      </c>
      <c r="G34" s="14">
        <f>(D34/G32+1-delta_a)/(1+3*delta_a)</f>
        <v>2.0241758241758241</v>
      </c>
      <c r="H34" s="14">
        <f>(D34/H32+1-delta_a)/(1+3*delta_a)</f>
        <v>1.7668202764976957</v>
      </c>
      <c r="I34" s="14">
        <f>(D34/I32+1-delta_a)/(1+3*delta_a)</f>
        <v>1.5809523809523809</v>
      </c>
      <c r="J34" s="14">
        <f>(D34/J32+1-delta_a)/(1+3*delta_a)</f>
        <v>1.4404181184668989</v>
      </c>
      <c r="K34" s="14">
        <f>(D34/K32+1-delta_a)/(1+3*delta_a)</f>
        <v>1.3304347826086957</v>
      </c>
      <c r="M34" s="62"/>
      <c r="N34" s="71">
        <f t="shared" si="1"/>
        <v>1452</v>
      </c>
      <c r="O34" s="30">
        <f t="shared" ref="O34:O39" si="3">LN(E34)</f>
        <v>1.1057297564369737</v>
      </c>
      <c r="P34" s="14">
        <f t="shared" si="2"/>
        <v>0.87716797310685968</v>
      </c>
      <c r="Q34" s="14">
        <f t="shared" si="2"/>
        <v>0.70516261730435637</v>
      </c>
      <c r="R34" s="14">
        <f t="shared" si="2"/>
        <v>0.56918147707108446</v>
      </c>
      <c r="S34" s="14">
        <f t="shared" si="2"/>
        <v>0.45802743819901981</v>
      </c>
      <c r="T34" s="14">
        <f t="shared" si="2"/>
        <v>0.36493343148804674</v>
      </c>
      <c r="U34" s="14">
        <f t="shared" si="2"/>
        <v>0.28550579302918544</v>
      </c>
    </row>
    <row r="35" spans="1:21" ht="15" customHeight="1" x14ac:dyDescent="0.2">
      <c r="C35" s="62"/>
      <c r="D35" s="71">
        <f>D36-500</f>
        <v>1952</v>
      </c>
      <c r="E35" s="30">
        <f>(D35/E32+1-delta_a)/(1+3*delta_a)</f>
        <v>3.9142857142857141</v>
      </c>
      <c r="F35" s="14">
        <f>(D35/F32+1-delta_a)/(1+3*delta_a)</f>
        <v>3.0843537414965989</v>
      </c>
      <c r="G35" s="14">
        <f>(D35/G32+1-delta_a)/(1+3*delta_a)</f>
        <v>2.5736263736263738</v>
      </c>
      <c r="H35" s="14">
        <f>(D35/H32+1-delta_a)/(1+3*delta_a)</f>
        <v>2.2276497695852533</v>
      </c>
      <c r="I35" s="14">
        <f>(D35/I32+1-delta_a)/(1+3*delta_a)</f>
        <v>1.9777777777777779</v>
      </c>
      <c r="J35" s="14">
        <f>(D35/J32+1-delta_a)/(1+3*delta_a)</f>
        <v>1.7888501742160279</v>
      </c>
      <c r="K35" s="14">
        <f>(D35/K32+1-delta_a)/(1+3*delta_a)</f>
        <v>1.6409937888198758</v>
      </c>
      <c r="M35" s="62"/>
      <c r="N35" s="71">
        <f t="shared" si="1"/>
        <v>1952</v>
      </c>
      <c r="O35" s="30">
        <f t="shared" si="3"/>
        <v>1.3646328643387111</v>
      </c>
      <c r="P35" s="14">
        <f t="shared" si="2"/>
        <v>1.1263421512946925</v>
      </c>
      <c r="Q35" s="14">
        <f t="shared" si="2"/>
        <v>0.94531594464676705</v>
      </c>
      <c r="R35" s="14">
        <f t="shared" si="2"/>
        <v>0.80094711472892299</v>
      </c>
      <c r="S35" s="14">
        <f t="shared" si="2"/>
        <v>0.68197387996182013</v>
      </c>
      <c r="T35" s="14">
        <f t="shared" si="2"/>
        <v>0.58157305267741888</v>
      </c>
      <c r="U35" s="14">
        <f t="shared" si="2"/>
        <v>0.49530202710376198</v>
      </c>
    </row>
    <row r="36" spans="1:21" ht="15" customHeight="1" x14ac:dyDescent="0.2">
      <c r="C36" s="63" t="s">
        <v>36</v>
      </c>
      <c r="D36" s="71">
        <f>D9</f>
        <v>2452</v>
      </c>
      <c r="E36" s="30">
        <f>(D36/E32+1-delta_a)/(1+3*delta_a)</f>
        <v>4.8071428571428569</v>
      </c>
      <c r="F36" s="14">
        <f>(D36/F32+1-delta_a)/(1+3*delta_a)</f>
        <v>3.7646258503401357</v>
      </c>
      <c r="G36" s="14">
        <f>(D36/G32+1-delta_a)/(1+3*delta_a)</f>
        <v>3.1230769230769231</v>
      </c>
      <c r="H36" s="37">
        <f>(D36/H32+1-delta_a)/(1+3*delta_a)</f>
        <v>2.6884792626728111</v>
      </c>
      <c r="I36" s="14">
        <f>(D36/I32+1-delta_a)/(1+3*delta_a)</f>
        <v>2.3746031746031742</v>
      </c>
      <c r="J36" s="14">
        <f>(D36/J32+1-delta_a)/(1+3*delta_a)</f>
        <v>2.1372822299651566</v>
      </c>
      <c r="K36" s="14">
        <f>(D36/K32+1-delta_a)/(1+3*delta_a)</f>
        <v>1.9515527950310558</v>
      </c>
      <c r="M36" s="63" t="s">
        <v>36</v>
      </c>
      <c r="N36" s="71">
        <f t="shared" si="1"/>
        <v>2452</v>
      </c>
      <c r="O36" s="30">
        <f t="shared" si="3"/>
        <v>1.5701029070354235</v>
      </c>
      <c r="P36" s="14">
        <f t="shared" si="2"/>
        <v>1.3256484805740891</v>
      </c>
      <c r="Q36" s="14">
        <f t="shared" si="2"/>
        <v>1.1388187091461501</v>
      </c>
      <c r="R36" s="37">
        <f t="shared" si="2"/>
        <v>0.98897570389316147</v>
      </c>
      <c r="S36" s="14">
        <f t="shared" si="2"/>
        <v>0.864830339148844</v>
      </c>
      <c r="T36" s="14">
        <f t="shared" si="2"/>
        <v>0.75953503592052996</v>
      </c>
      <c r="U36" s="14">
        <f t="shared" si="2"/>
        <v>0.6686253608370577</v>
      </c>
    </row>
    <row r="37" spans="1:21" ht="15" customHeight="1" x14ac:dyDescent="0.2">
      <c r="C37" s="62"/>
      <c r="D37" s="71">
        <f>D36+500</f>
        <v>2952</v>
      </c>
      <c r="E37" s="30">
        <f>(D37/E32+1-delta_a)/(1+3*delta_a)</f>
        <v>5.7</v>
      </c>
      <c r="F37" s="14">
        <f>(D37/F32+1-delta_a)/(1+3*delta_a)</f>
        <v>4.444897959183673</v>
      </c>
      <c r="G37" s="14">
        <f>(D37/G32+1-delta_a)/(1+3*delta_a)</f>
        <v>3.6725274725274728</v>
      </c>
      <c r="H37" s="14">
        <f>(D37/H32+1-delta_a)/(1+3*delta_a)</f>
        <v>3.1493087557603689</v>
      </c>
      <c r="I37" s="14">
        <f>(D37/I32+1-delta_a)/(1+3*delta_a)</f>
        <v>2.7714285714285714</v>
      </c>
      <c r="J37" s="14">
        <f>(D37/J32+1-delta_a)/(1+3*delta_a)</f>
        <v>2.4857142857142853</v>
      </c>
      <c r="K37" s="14">
        <f>(D37/K32+1-delta_a)/(1+3*delta_a)</f>
        <v>2.2621118012422365</v>
      </c>
      <c r="M37" s="62"/>
      <c r="N37" s="71">
        <f t="shared" si="1"/>
        <v>2952</v>
      </c>
      <c r="O37" s="30">
        <f t="shared" si="3"/>
        <v>1.7404661748405046</v>
      </c>
      <c r="P37" s="14">
        <f t="shared" si="2"/>
        <v>1.4917569123882335</v>
      </c>
      <c r="Q37" s="14">
        <f t="shared" si="2"/>
        <v>1.3008801096444433</v>
      </c>
      <c r="R37" s="14">
        <f t="shared" si="2"/>
        <v>1.1471829861407319</v>
      </c>
      <c r="S37" s="14">
        <f t="shared" si="2"/>
        <v>1.0193629170139691</v>
      </c>
      <c r="T37" s="14">
        <f t="shared" si="2"/>
        <v>0.91056005716516986</v>
      </c>
      <c r="U37" s="14">
        <f t="shared" si="2"/>
        <v>0.81629880230904484</v>
      </c>
    </row>
    <row r="38" spans="1:21" ht="15" customHeight="1" x14ac:dyDescent="0.2">
      <c r="C38" s="62"/>
      <c r="D38" s="71">
        <f>D37+500</f>
        <v>3452</v>
      </c>
      <c r="E38" s="30">
        <f>(D38/E32+1-delta_a)/(1+3*delta_a)</f>
        <v>6.5928571428571425</v>
      </c>
      <c r="F38" s="14">
        <f>(D38/F32+1-delta_a)/(1+3*delta_a)</f>
        <v>5.1251700680272103</v>
      </c>
      <c r="G38" s="14">
        <f>(D38/G32+1-delta_a)/(1+3*delta_a)</f>
        <v>4.2219780219780221</v>
      </c>
      <c r="H38" s="14">
        <f>(D38/H32+1-delta_a)/(1+3*delta_a)</f>
        <v>3.6101382488479259</v>
      </c>
      <c r="I38" s="14">
        <f>(D38/I32+1-delta_a)/(1+3*delta_a)</f>
        <v>3.1682539682539681</v>
      </c>
      <c r="J38" s="14">
        <f>(D38/J32+1-delta_a)/(1+3*delta_a)</f>
        <v>2.8341463414634149</v>
      </c>
      <c r="K38" s="14">
        <f>(D38/K32+1-delta_a)/(1+3*delta_a)</f>
        <v>2.5726708074534161</v>
      </c>
      <c r="M38" s="62"/>
      <c r="N38" s="71">
        <f t="shared" si="1"/>
        <v>3452</v>
      </c>
      <c r="O38" s="30">
        <f t="shared" si="3"/>
        <v>1.8859868118935479</v>
      </c>
      <c r="P38" s="14">
        <f t="shared" si="2"/>
        <v>1.6341637084792042</v>
      </c>
      <c r="Q38" s="14">
        <f t="shared" si="2"/>
        <v>1.4403037438176063</v>
      </c>
      <c r="R38" s="14">
        <f t="shared" si="2"/>
        <v>1.2837460676912713</v>
      </c>
      <c r="S38" s="14">
        <f t="shared" si="2"/>
        <v>1.1531806374858309</v>
      </c>
      <c r="T38" s="14">
        <f t="shared" si="2"/>
        <v>1.0417407777135033</v>
      </c>
      <c r="U38" s="14">
        <f t="shared" si="2"/>
        <v>0.94494458397702075</v>
      </c>
    </row>
    <row r="39" spans="1:21" ht="15" customHeight="1" x14ac:dyDescent="0.2">
      <c r="C39" s="64"/>
      <c r="D39" s="72">
        <f>D38+500</f>
        <v>3952</v>
      </c>
      <c r="E39" s="30">
        <f>(D39/E32+1-delta_a)/(1+3*delta_a)</f>
        <v>7.4857142857142858</v>
      </c>
      <c r="F39" s="14">
        <f>(D39/F32+1-delta_a)/(1+3*delta_a)</f>
        <v>5.8054421768707485</v>
      </c>
      <c r="G39" s="14">
        <f>(D39/G32+1-delta_a)/(1+3*delta_a)</f>
        <v>4.7714285714285714</v>
      </c>
      <c r="H39" s="14">
        <f>(D39/H32+1-delta_a)/(1+3*delta_a)</f>
        <v>4.0709677419354842</v>
      </c>
      <c r="I39" s="14">
        <f>(D39/I32+1-delta_a)/(1+3*delta_a)</f>
        <v>3.5650793650793653</v>
      </c>
      <c r="J39" s="14">
        <f>(D39/J32+1-delta_a)/(1+3*delta_a)</f>
        <v>3.1825783972125437</v>
      </c>
      <c r="K39" s="14">
        <f>(D39/K32+1-delta_a)/(1+3*delta_a)</f>
        <v>2.8832298136645962</v>
      </c>
      <c r="M39" s="64"/>
      <c r="N39" s="72">
        <f t="shared" si="1"/>
        <v>3952</v>
      </c>
      <c r="O39" s="30">
        <f t="shared" si="3"/>
        <v>2.0129964422716831</v>
      </c>
      <c r="P39" s="14">
        <f t="shared" si="2"/>
        <v>1.7587957839751633</v>
      </c>
      <c r="Q39" s="14">
        <f t="shared" si="2"/>
        <v>1.5626457509273415</v>
      </c>
      <c r="R39" s="14">
        <f t="shared" si="2"/>
        <v>1.4038807456219666</v>
      </c>
      <c r="S39" s="14">
        <f t="shared" si="2"/>
        <v>1.2711863159128103</v>
      </c>
      <c r="T39" s="14">
        <f t="shared" si="2"/>
        <v>1.1576916849912775</v>
      </c>
      <c r="U39" s="14">
        <f t="shared" si="2"/>
        <v>1.0589111288558737</v>
      </c>
    </row>
    <row r="42" spans="1:21" ht="15" customHeight="1" x14ac:dyDescent="0.2">
      <c r="A42" t="s">
        <v>112</v>
      </c>
      <c r="C42" s="24" t="s">
        <v>132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</row>
    <row r="43" spans="1:21" ht="15" customHeight="1" x14ac:dyDescent="0.2">
      <c r="A43" t="s">
        <v>112</v>
      </c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</row>
    <row r="44" spans="1:21" ht="15" customHeight="1" x14ac:dyDescent="0.3">
      <c r="C44" s="19" t="s">
        <v>81</v>
      </c>
      <c r="D44" s="19" t="s">
        <v>32</v>
      </c>
      <c r="E44" s="19" t="s">
        <v>65</v>
      </c>
      <c r="M44" s="19"/>
      <c r="N44" s="19"/>
      <c r="O44" s="19"/>
    </row>
    <row r="45" spans="1:21" x14ac:dyDescent="0.2">
      <c r="C45" s="17" t="s">
        <v>95</v>
      </c>
      <c r="D45" s="58">
        <f>Parameters!D17</f>
        <v>1.06E-2</v>
      </c>
      <c r="M45" s="17"/>
      <c r="N45" s="58"/>
    </row>
    <row r="46" spans="1:21" x14ac:dyDescent="0.2">
      <c r="C46" s="17" t="s">
        <v>97</v>
      </c>
      <c r="D46" s="58">
        <f>Parameters!D18</f>
        <v>2.7E-2</v>
      </c>
      <c r="M46" s="17"/>
      <c r="N46" s="58"/>
    </row>
    <row r="47" spans="1:21" x14ac:dyDescent="0.2">
      <c r="C47" s="17" t="s">
        <v>99</v>
      </c>
      <c r="D47" s="58">
        <f>Parameters!D19</f>
        <v>0.05</v>
      </c>
      <c r="M47" s="17"/>
      <c r="N47" s="58"/>
    </row>
    <row r="48" spans="1:21" ht="15" customHeight="1" x14ac:dyDescent="0.2">
      <c r="C48" s="17" t="s">
        <v>101</v>
      </c>
      <c r="D48" s="10">
        <f>D46+D47</f>
        <v>7.6999999999999999E-2</v>
      </c>
      <c r="E48" s="1" t="s">
        <v>102</v>
      </c>
      <c r="M48" s="17"/>
      <c r="N48" s="10"/>
      <c r="O48" s="1"/>
    </row>
    <row r="49" spans="3:15" ht="15" customHeight="1" x14ac:dyDescent="0.2">
      <c r="C49" s="17" t="s">
        <v>103</v>
      </c>
      <c r="D49" s="10">
        <f>D48-D45</f>
        <v>6.6400000000000001E-2</v>
      </c>
      <c r="E49" s="1" t="s">
        <v>104</v>
      </c>
      <c r="M49" s="17"/>
      <c r="N49" s="10"/>
      <c r="O49" s="1"/>
    </row>
    <row r="50" spans="3:15" ht="15" customHeight="1" x14ac:dyDescent="0.2">
      <c r="C50" s="17" t="s">
        <v>105</v>
      </c>
      <c r="D50" s="10">
        <f>D49/(exp_xi-1)</f>
        <v>3.9325327510917031E-2</v>
      </c>
      <c r="E50" s="1"/>
      <c r="M50" s="17"/>
      <c r="N50" s="10"/>
      <c r="O50" s="1"/>
    </row>
  </sheetData>
  <sheetProtection algorithmName="SHA-512" hashValue="qFWPBMhHIPhac1pGvth9E92/EOaWAlornoA8PKpUAW6CcG3JpSi0IjI0cMo6geDyV0JfTY9wcCp3WmYR+yIP4g==" saltValue="odGW4YvtHvqlodIfJTh22A==" spinCount="100000" sheet="1" objects="1" scenarios="1"/>
  <conditionalFormatting sqref="E33:K3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3:U39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E6108-F4B8-3549-A338-31A277E99B8C}">
  <sheetPr codeName="Sheet8"/>
  <dimension ref="A2:M253"/>
  <sheetViews>
    <sheetView showGridLines="0" zoomScaleNormal="85" workbookViewId="0">
      <pane xSplit="3" topLeftCell="D1" activePane="topRight" state="frozen"/>
      <selection activeCell="A7" sqref="A7"/>
      <selection pane="topRight" activeCell="D8" sqref="D8"/>
    </sheetView>
  </sheetViews>
  <sheetFormatPr baseColWidth="10" defaultColWidth="8.6640625" defaultRowHeight="13" x14ac:dyDescent="0.15"/>
  <cols>
    <col min="1" max="2" width="1.6640625" style="35" customWidth="1"/>
    <col min="3" max="12" width="25.6640625" style="35" customWidth="1"/>
    <col min="13" max="13" width="20.6640625" style="35" customWidth="1"/>
    <col min="14" max="29" width="13" style="35" customWidth="1"/>
    <col min="30" max="16384" width="8.6640625" style="35"/>
  </cols>
  <sheetData>
    <row r="2" spans="1:13" ht="15.75" customHeight="1" x14ac:dyDescent="0.2">
      <c r="B2" s="36"/>
      <c r="C2" s="2" t="s">
        <v>151</v>
      </c>
    </row>
    <row r="3" spans="1:13" ht="15.75" customHeight="1" x14ac:dyDescent="0.15">
      <c r="C3" s="3" t="s">
        <v>128</v>
      </c>
    </row>
    <row r="5" spans="1:13" ht="15" customHeight="1" x14ac:dyDescent="0.15">
      <c r="A5" s="35" t="s">
        <v>112</v>
      </c>
      <c r="C5" s="24" t="s">
        <v>6</v>
      </c>
      <c r="D5" s="24"/>
      <c r="E5" s="24"/>
      <c r="F5" s="24"/>
      <c r="G5" s="24"/>
      <c r="H5" s="24"/>
      <c r="I5" s="36"/>
      <c r="J5" s="36"/>
      <c r="K5" s="36"/>
      <c r="L5" s="36"/>
      <c r="M5" s="36"/>
    </row>
    <row r="6" spans="1:13" ht="15" customHeight="1" x14ac:dyDescent="0.15">
      <c r="C6" s="28"/>
      <c r="D6" s="28"/>
      <c r="E6" s="28"/>
      <c r="F6" s="28"/>
      <c r="G6" s="28"/>
      <c r="H6" s="28"/>
    </row>
    <row r="7" spans="1:13" ht="15" customHeight="1" x14ac:dyDescent="0.15">
      <c r="C7" s="38" t="s">
        <v>323</v>
      </c>
      <c r="D7" s="28"/>
      <c r="E7" s="28"/>
      <c r="F7" s="28"/>
      <c r="G7" s="28"/>
      <c r="H7" s="28"/>
    </row>
    <row r="8" spans="1:13" ht="15" customHeight="1" x14ac:dyDescent="0.15">
      <c r="C8" s="46" t="s">
        <v>321</v>
      </c>
      <c r="D8" s="149">
        <v>3.4846711189516122</v>
      </c>
      <c r="E8" s="28"/>
      <c r="F8" s="28"/>
      <c r="G8" s="28"/>
      <c r="H8" s="28"/>
    </row>
    <row r="9" spans="1:13" ht="15" customHeight="1" x14ac:dyDescent="0.15">
      <c r="C9" s="46" t="s">
        <v>322</v>
      </c>
      <c r="D9" s="146">
        <f>G20-H19</f>
        <v>0</v>
      </c>
      <c r="E9" s="145"/>
      <c r="F9" s="28"/>
    </row>
    <row r="10" spans="1:13" ht="15" customHeight="1" x14ac:dyDescent="0.15">
      <c r="C10" s="5"/>
      <c r="D10" s="7"/>
    </row>
    <row r="11" spans="1:13" ht="15" customHeight="1" x14ac:dyDescent="0.15">
      <c r="A11" s="35" t="s">
        <v>112</v>
      </c>
      <c r="C11" s="24" t="s">
        <v>152</v>
      </c>
      <c r="D11" s="24"/>
      <c r="E11" s="24"/>
      <c r="F11" s="24"/>
      <c r="G11" s="24"/>
      <c r="H11" s="24"/>
      <c r="I11" s="36"/>
      <c r="J11" s="36"/>
      <c r="K11" s="36"/>
      <c r="L11" s="36"/>
      <c r="M11" s="36"/>
    </row>
    <row r="12" spans="1:13" ht="15" customHeight="1" x14ac:dyDescent="0.15">
      <c r="C12" s="28"/>
      <c r="D12" s="28"/>
      <c r="E12" s="28"/>
      <c r="F12" s="28"/>
      <c r="G12" s="28"/>
      <c r="H12" s="28"/>
    </row>
    <row r="13" spans="1:13" ht="15" customHeight="1" x14ac:dyDescent="0.3">
      <c r="C13" s="53" t="s">
        <v>106</v>
      </c>
      <c r="D13" s="19" t="s">
        <v>133</v>
      </c>
      <c r="E13" s="19" t="s">
        <v>134</v>
      </c>
      <c r="F13" s="19" t="s">
        <v>135</v>
      </c>
      <c r="G13" s="19" t="s">
        <v>140</v>
      </c>
      <c r="H13" s="19" t="s">
        <v>145</v>
      </c>
      <c r="I13" s="19" t="s">
        <v>119</v>
      </c>
      <c r="J13" s="19" t="s">
        <v>136</v>
      </c>
      <c r="K13" s="19" t="s">
        <v>148</v>
      </c>
      <c r="L13" s="19" t="s">
        <v>150</v>
      </c>
      <c r="M13" s="19" t="s">
        <v>149</v>
      </c>
    </row>
    <row r="14" spans="1:13" ht="15" customHeight="1" x14ac:dyDescent="0.15">
      <c r="C14" s="6">
        <v>2022</v>
      </c>
      <c r="D14" s="29">
        <f>z0</f>
        <v>815.01116556768739</v>
      </c>
      <c r="E14" s="41">
        <v>0</v>
      </c>
      <c r="F14" s="40">
        <f t="shared" ref="F14:F20" si="0">(1-E14)+E14*exp_xi^(1-alpha)</f>
        <v>1</v>
      </c>
      <c r="G14" s="42">
        <f>K0</f>
        <v>620</v>
      </c>
      <c r="H14" s="54">
        <f t="shared" ref="H14:H20" si="1">D14*(alpha*F14/(r_a+delta_a))^(1/(1-alpha))</f>
        <v>620.00000000000011</v>
      </c>
      <c r="I14" s="55" cm="1">
        <f t="array" ref="I14:I19">TRANSPOSE(CAPEX!D13:I13)</f>
        <v>155</v>
      </c>
      <c r="J14" s="39">
        <f>D14^(1-alpha)*G14^alpha</f>
        <v>744.00000000000045</v>
      </c>
      <c r="K14" s="54">
        <f t="shared" ref="K14:K20" si="2">(J14+Yn0)/1000</f>
        <v>24.000000000000011</v>
      </c>
      <c r="M14" s="77">
        <f>J14/(K14*1000)</f>
        <v>3.1000000000000003E-2</v>
      </c>
    </row>
    <row r="15" spans="1:13" ht="15" customHeight="1" x14ac:dyDescent="0.15">
      <c r="C15" s="6">
        <v>2023</v>
      </c>
      <c r="D15" s="29">
        <f>D14</f>
        <v>815.01116556768739</v>
      </c>
      <c r="E15" s="41">
        <v>0</v>
      </c>
      <c r="F15" s="40">
        <f t="shared" si="0"/>
        <v>1</v>
      </c>
      <c r="G15" s="42">
        <f t="shared" ref="G15:G20" si="3">G14*(1-delta_a)+I14</f>
        <v>620</v>
      </c>
      <c r="H15" s="54">
        <f t="shared" si="1"/>
        <v>620.00000000000011</v>
      </c>
      <c r="I15" s="55">
        <v>150</v>
      </c>
      <c r="J15" s="39">
        <f t="shared" ref="J15:J20" si="4">D15^(1-alpha)*G15^alpha</f>
        <v>744.00000000000045</v>
      </c>
      <c r="K15" s="54">
        <f t="shared" si="2"/>
        <v>24.000000000000011</v>
      </c>
      <c r="L15" s="76">
        <f t="shared" ref="L15:L20" si="5">K15/(GDP_0/1000) - 1</f>
        <v>0</v>
      </c>
      <c r="M15" s="77">
        <f t="shared" ref="M15:M20" si="6">J15/(K15*1000)</f>
        <v>3.1000000000000003E-2</v>
      </c>
    </row>
    <row r="16" spans="1:13" ht="15" customHeight="1" x14ac:dyDescent="0.15">
      <c r="C16" s="6">
        <v>2024</v>
      </c>
      <c r="D16" s="29">
        <f>D15*D8</f>
        <v>2840.045870276811</v>
      </c>
      <c r="E16" s="41">
        <v>0</v>
      </c>
      <c r="F16" s="40">
        <f t="shared" si="0"/>
        <v>1</v>
      </c>
      <c r="G16" s="42">
        <f t="shared" si="3"/>
        <v>615</v>
      </c>
      <c r="H16" s="54">
        <f t="shared" si="1"/>
        <v>2160.49609375</v>
      </c>
      <c r="I16" s="55">
        <v>226</v>
      </c>
      <c r="J16" s="39">
        <f>D16^(1-alpha)*G16^alpha</f>
        <v>1705.461585348073</v>
      </c>
      <c r="K16" s="54">
        <f t="shared" si="2"/>
        <v>24.961461585348083</v>
      </c>
      <c r="L16" s="76">
        <f t="shared" si="5"/>
        <v>4.006089938950308E-2</v>
      </c>
      <c r="M16" s="77">
        <f t="shared" si="6"/>
        <v>6.8323787031331032E-2</v>
      </c>
    </row>
    <row r="17" spans="3:13" ht="15" customHeight="1" x14ac:dyDescent="0.15">
      <c r="C17" s="6">
        <v>2025</v>
      </c>
      <c r="D17" s="29">
        <f t="shared" ref="D17" si="7">D16</f>
        <v>2840.045870276811</v>
      </c>
      <c r="E17" s="41">
        <v>0</v>
      </c>
      <c r="F17" s="40">
        <f t="shared" si="0"/>
        <v>1</v>
      </c>
      <c r="G17" s="42">
        <f t="shared" si="3"/>
        <v>687.25</v>
      </c>
      <c r="H17" s="54">
        <f t="shared" si="1"/>
        <v>2160.49609375</v>
      </c>
      <c r="I17" s="55">
        <v>381</v>
      </c>
      <c r="J17" s="39">
        <f t="shared" si="4"/>
        <v>1769.7903355067256</v>
      </c>
      <c r="K17" s="54">
        <f t="shared" si="2"/>
        <v>25.025790335506734</v>
      </c>
      <c r="L17" s="76">
        <f t="shared" si="5"/>
        <v>4.2741263979446886E-2</v>
      </c>
      <c r="M17" s="77">
        <f t="shared" si="6"/>
        <v>7.0718659102475448E-2</v>
      </c>
    </row>
    <row r="18" spans="3:13" ht="15" customHeight="1" x14ac:dyDescent="0.15">
      <c r="C18" s="6">
        <v>2026</v>
      </c>
      <c r="D18" s="29">
        <f>D17</f>
        <v>2840.045870276811</v>
      </c>
      <c r="E18" s="41">
        <v>0</v>
      </c>
      <c r="F18" s="40">
        <f t="shared" si="0"/>
        <v>1</v>
      </c>
      <c r="G18" s="42">
        <f t="shared" si="3"/>
        <v>896.4375</v>
      </c>
      <c r="H18" s="54">
        <f t="shared" si="1"/>
        <v>2160.49609375</v>
      </c>
      <c r="I18" s="55">
        <v>755</v>
      </c>
      <c r="J18" s="39">
        <f t="shared" si="4"/>
        <v>1933.7050952715804</v>
      </c>
      <c r="K18" s="54">
        <f t="shared" si="2"/>
        <v>25.189705095271592</v>
      </c>
      <c r="L18" s="76">
        <f t="shared" si="5"/>
        <v>4.9571045636315869E-2</v>
      </c>
      <c r="M18" s="77">
        <f t="shared" si="6"/>
        <v>7.6765690108637277E-2</v>
      </c>
    </row>
    <row r="19" spans="3:13" ht="15" customHeight="1" x14ac:dyDescent="0.15">
      <c r="C19" s="6">
        <v>2027</v>
      </c>
      <c r="D19" s="29">
        <f>D18</f>
        <v>2840.045870276811</v>
      </c>
      <c r="E19" s="41">
        <v>0</v>
      </c>
      <c r="F19" s="40">
        <f t="shared" si="0"/>
        <v>1</v>
      </c>
      <c r="G19" s="42">
        <f t="shared" si="3"/>
        <v>1427.328125</v>
      </c>
      <c r="H19" s="151">
        <f>D19*(alpha*F19/(r_a+delta_a))^(1/(1-alpha))</f>
        <v>2160.49609375</v>
      </c>
      <c r="I19" s="55">
        <v>1090</v>
      </c>
      <c r="J19" s="39">
        <f t="shared" si="4"/>
        <v>2258.0047135134728</v>
      </c>
      <c r="K19" s="54">
        <f t="shared" si="2"/>
        <v>25.514004713513483</v>
      </c>
      <c r="L19" s="76">
        <f t="shared" si="5"/>
        <v>6.3083529729728083E-2</v>
      </c>
      <c r="M19" s="77">
        <f t="shared" si="6"/>
        <v>8.8500599528286567E-2</v>
      </c>
    </row>
    <row r="20" spans="3:13" ht="15" customHeight="1" x14ac:dyDescent="0.15">
      <c r="C20" s="6">
        <v>2028</v>
      </c>
      <c r="D20" s="16">
        <f>D19</f>
        <v>2840.045870276811</v>
      </c>
      <c r="E20" s="40">
        <f>p_max</f>
        <v>0.5</v>
      </c>
      <c r="F20" s="40">
        <f t="shared" si="0"/>
        <v>1.4667357926144935</v>
      </c>
      <c r="G20" s="150">
        <f t="shared" si="3"/>
        <v>2160.49609375</v>
      </c>
      <c r="H20" s="54">
        <f t="shared" si="1"/>
        <v>3837.7910054141289</v>
      </c>
      <c r="I20" s="54">
        <f>IF($D$8, delta_a * G20 + (1/theta_a) * (H20-G20), H20-G20*(1-delta_a))</f>
        <v>1099.2223273255429</v>
      </c>
      <c r="J20" s="39">
        <f t="shared" si="4"/>
        <v>2592.5953125000019</v>
      </c>
      <c r="K20" s="54">
        <f t="shared" si="2"/>
        <v>25.848595312500013</v>
      </c>
      <c r="L20" s="76">
        <f t="shared" si="5"/>
        <v>7.702480468750017E-2</v>
      </c>
      <c r="M20" s="77">
        <f t="shared" si="6"/>
        <v>0.10029927279051251</v>
      </c>
    </row>
    <row r="22" spans="3:13" ht="15" customHeight="1" x14ac:dyDescent="0.15">
      <c r="C22" s="28"/>
      <c r="D22" s="28"/>
      <c r="E22" s="28"/>
      <c r="F22" s="28"/>
      <c r="G22" s="28"/>
      <c r="H22" s="28"/>
    </row>
    <row r="23" spans="3:13" ht="15" customHeight="1" x14ac:dyDescent="0.3">
      <c r="C23" s="78"/>
      <c r="D23" s="19"/>
      <c r="E23" s="19"/>
      <c r="F23" s="19"/>
      <c r="G23" s="19"/>
    </row>
    <row r="24" spans="3:13" s="79" customFormat="1" ht="15" customHeight="1" x14ac:dyDescent="0.15">
      <c r="C24" s="80"/>
    </row>
    <row r="25" spans="3:13" s="79" customFormat="1" ht="15" customHeight="1" x14ac:dyDescent="0.3">
      <c r="C25" s="53"/>
      <c r="D25" s="19"/>
      <c r="E25" s="19"/>
      <c r="F25" s="19"/>
      <c r="G25" s="19"/>
      <c r="H25" s="53"/>
      <c r="I25" s="53"/>
      <c r="J25" s="53"/>
      <c r="K25" s="53"/>
    </row>
    <row r="26" spans="3:13" s="79" customFormat="1" ht="15" customHeight="1" x14ac:dyDescent="0.15">
      <c r="C26" s="82"/>
      <c r="D26" s="83"/>
      <c r="E26" s="83"/>
      <c r="F26" s="83"/>
      <c r="G26" s="83"/>
      <c r="H26" s="84"/>
      <c r="I26" s="84"/>
      <c r="J26" s="84"/>
      <c r="K26" s="84"/>
    </row>
    <row r="27" spans="3:13" s="79" customFormat="1" ht="15" customHeight="1" x14ac:dyDescent="0.15">
      <c r="C27" s="82"/>
      <c r="D27" s="84"/>
      <c r="E27" s="84"/>
      <c r="F27" s="84"/>
      <c r="G27" s="84"/>
      <c r="H27" s="84"/>
      <c r="I27" s="84"/>
      <c r="J27" s="84"/>
      <c r="K27" s="84"/>
    </row>
    <row r="28" spans="3:13" s="79" customFormat="1" ht="15" customHeight="1" x14ac:dyDescent="0.15">
      <c r="C28" s="82"/>
      <c r="D28" s="84"/>
      <c r="E28" s="84"/>
      <c r="F28" s="84"/>
      <c r="G28" s="84"/>
      <c r="H28" s="84"/>
      <c r="I28" s="84"/>
      <c r="J28" s="84"/>
      <c r="K28" s="84"/>
    </row>
    <row r="29" spans="3:13" s="79" customFormat="1" x14ac:dyDescent="0.15">
      <c r="C29" s="82"/>
      <c r="D29" s="84"/>
      <c r="E29" s="84"/>
      <c r="F29" s="84"/>
      <c r="G29" s="84"/>
      <c r="H29" s="84"/>
      <c r="I29" s="84"/>
      <c r="J29" s="84"/>
      <c r="K29" s="84"/>
    </row>
    <row r="30" spans="3:13" s="79" customFormat="1" ht="15" customHeight="1" x14ac:dyDescent="0.15">
      <c r="C30" s="82"/>
      <c r="D30" s="84"/>
      <c r="E30" s="84"/>
      <c r="F30" s="84"/>
      <c r="G30" s="84"/>
      <c r="H30" s="84"/>
      <c r="I30" s="84"/>
      <c r="J30" s="84"/>
      <c r="K30" s="84"/>
    </row>
    <row r="31" spans="3:13" s="79" customFormat="1" x14ac:dyDescent="0.15">
      <c r="C31" s="82"/>
      <c r="D31" s="84"/>
      <c r="E31" s="84"/>
      <c r="F31" s="84"/>
      <c r="G31" s="84"/>
      <c r="H31" s="83"/>
      <c r="I31" s="83"/>
      <c r="J31" s="84"/>
      <c r="K31" s="84"/>
    </row>
    <row r="32" spans="3:13" s="79" customFormat="1" ht="15" customHeight="1" x14ac:dyDescent="0.15">
      <c r="C32" s="82"/>
      <c r="D32" s="84"/>
      <c r="E32" s="84"/>
      <c r="F32" s="84"/>
      <c r="G32" s="84"/>
      <c r="H32" s="84"/>
      <c r="I32" s="84"/>
      <c r="J32" s="84"/>
      <c r="K32" s="84"/>
    </row>
    <row r="33" spans="3:11" s="79" customFormat="1" ht="15" customHeight="1" x14ac:dyDescent="0.15">
      <c r="C33" s="82"/>
      <c r="D33" s="84"/>
      <c r="E33" s="84"/>
      <c r="F33" s="84"/>
      <c r="G33" s="84"/>
      <c r="H33" s="84"/>
      <c r="I33" s="84"/>
      <c r="J33" s="84"/>
      <c r="K33" s="84"/>
    </row>
    <row r="34" spans="3:11" s="79" customFormat="1" ht="15" customHeight="1" x14ac:dyDescent="0.15">
      <c r="C34" s="82"/>
      <c r="D34" s="84"/>
      <c r="E34" s="84"/>
      <c r="F34" s="84"/>
      <c r="G34" s="84"/>
      <c r="H34" s="84"/>
      <c r="I34" s="84"/>
      <c r="J34" s="84"/>
      <c r="K34" s="84"/>
    </row>
    <row r="35" spans="3:11" s="79" customFormat="1" ht="15" customHeight="1" x14ac:dyDescent="0.15">
      <c r="C35" s="82"/>
      <c r="D35" s="84"/>
      <c r="E35" s="84"/>
      <c r="F35" s="84"/>
      <c r="G35" s="84"/>
      <c r="H35" s="84"/>
      <c r="I35" s="84"/>
      <c r="J35" s="84"/>
      <c r="K35" s="84"/>
    </row>
    <row r="36" spans="3:11" s="79" customFormat="1" ht="15" customHeight="1" x14ac:dyDescent="0.15">
      <c r="C36" s="82"/>
      <c r="D36" s="84"/>
      <c r="E36" s="84"/>
      <c r="F36" s="84"/>
      <c r="G36" s="84"/>
      <c r="H36" s="84"/>
      <c r="I36" s="84"/>
      <c r="J36" s="84"/>
      <c r="K36" s="84"/>
    </row>
    <row r="37" spans="3:11" s="79" customFormat="1" x14ac:dyDescent="0.15">
      <c r="C37" s="81"/>
    </row>
    <row r="38" spans="3:11" s="79" customFormat="1" x14ac:dyDescent="0.15">
      <c r="C38" s="81"/>
    </row>
    <row r="39" spans="3:11" s="79" customFormat="1" ht="15" customHeight="1" x14ac:dyDescent="0.15">
      <c r="C39" s="80"/>
    </row>
    <row r="40" spans="3:11" s="79" customFormat="1" ht="15" customHeight="1" x14ac:dyDescent="0.3">
      <c r="C40" s="53"/>
      <c r="D40" s="19"/>
      <c r="E40" s="19"/>
      <c r="F40" s="19"/>
      <c r="G40" s="19"/>
      <c r="H40" s="53"/>
      <c r="I40" s="53"/>
      <c r="J40" s="53"/>
      <c r="K40" s="53"/>
    </row>
    <row r="41" spans="3:11" s="79" customFormat="1" ht="15" customHeight="1" x14ac:dyDescent="0.15">
      <c r="C41" s="82"/>
      <c r="D41" s="85"/>
      <c r="E41" s="85"/>
      <c r="F41" s="85"/>
      <c r="G41" s="85"/>
      <c r="H41" s="86"/>
      <c r="I41" s="86"/>
      <c r="J41" s="86"/>
      <c r="K41" s="86"/>
    </row>
    <row r="42" spans="3:11" s="79" customFormat="1" ht="15" customHeight="1" x14ac:dyDescent="0.15">
      <c r="C42" s="82"/>
      <c r="D42" s="86"/>
      <c r="E42" s="86"/>
      <c r="F42" s="86"/>
      <c r="G42" s="86"/>
      <c r="H42" s="86"/>
      <c r="I42" s="86"/>
      <c r="J42" s="86"/>
      <c r="K42" s="86"/>
    </row>
    <row r="43" spans="3:11" s="79" customFormat="1" ht="15" customHeight="1" x14ac:dyDescent="0.15">
      <c r="C43" s="82"/>
      <c r="D43" s="86"/>
      <c r="E43" s="86"/>
      <c r="F43" s="86"/>
      <c r="G43" s="86"/>
      <c r="H43" s="86"/>
      <c r="I43" s="86"/>
      <c r="J43" s="86"/>
      <c r="K43" s="86"/>
    </row>
    <row r="44" spans="3:11" s="79" customFormat="1" x14ac:dyDescent="0.15">
      <c r="C44" s="82"/>
      <c r="D44" s="86"/>
      <c r="E44" s="86"/>
      <c r="F44" s="86"/>
      <c r="G44" s="86"/>
      <c r="H44" s="86"/>
      <c r="I44" s="86"/>
      <c r="J44" s="86"/>
      <c r="K44" s="86"/>
    </row>
    <row r="45" spans="3:11" s="79" customFormat="1" ht="15" customHeight="1" x14ac:dyDescent="0.15">
      <c r="C45" s="82"/>
      <c r="D45" s="86"/>
      <c r="E45" s="86"/>
      <c r="F45" s="86"/>
      <c r="G45" s="86"/>
      <c r="H45" s="86"/>
      <c r="I45" s="86"/>
      <c r="J45" s="86"/>
      <c r="K45" s="86"/>
    </row>
    <row r="46" spans="3:11" s="79" customFormat="1" x14ac:dyDescent="0.15">
      <c r="C46" s="82"/>
      <c r="D46" s="86"/>
      <c r="E46" s="86"/>
      <c r="F46" s="86"/>
      <c r="G46" s="86"/>
      <c r="H46" s="85"/>
      <c r="I46" s="85"/>
      <c r="J46" s="86"/>
      <c r="K46" s="86"/>
    </row>
    <row r="47" spans="3:11" s="79" customFormat="1" ht="15" customHeight="1" x14ac:dyDescent="0.15">
      <c r="C47" s="82"/>
      <c r="D47" s="86"/>
      <c r="E47" s="86"/>
      <c r="F47" s="86"/>
      <c r="G47" s="86"/>
      <c r="H47" s="86"/>
      <c r="I47" s="86"/>
      <c r="J47" s="86"/>
      <c r="K47" s="86"/>
    </row>
    <row r="48" spans="3:11" s="79" customFormat="1" ht="15" customHeight="1" x14ac:dyDescent="0.15">
      <c r="C48" s="82"/>
      <c r="D48" s="86"/>
      <c r="E48" s="86"/>
      <c r="F48" s="86"/>
      <c r="G48" s="86"/>
      <c r="H48" s="86"/>
      <c r="I48" s="86"/>
      <c r="J48" s="86"/>
      <c r="K48" s="86"/>
    </row>
    <row r="49" spans="3:11" s="79" customFormat="1" ht="15" customHeight="1" x14ac:dyDescent="0.15">
      <c r="C49" s="82"/>
      <c r="D49" s="86"/>
      <c r="E49" s="86"/>
      <c r="F49" s="86"/>
      <c r="G49" s="86"/>
      <c r="H49" s="86"/>
      <c r="I49" s="86"/>
      <c r="J49" s="86"/>
      <c r="K49" s="86"/>
    </row>
    <row r="50" spans="3:11" s="79" customFormat="1" ht="15" customHeight="1" x14ac:dyDescent="0.15">
      <c r="C50" s="82"/>
      <c r="D50" s="86"/>
      <c r="E50" s="86"/>
      <c r="F50" s="86"/>
      <c r="G50" s="86"/>
      <c r="H50" s="86"/>
      <c r="I50" s="86"/>
      <c r="J50" s="86"/>
      <c r="K50" s="86"/>
    </row>
    <row r="51" spans="3:11" s="79" customFormat="1" ht="15" customHeight="1" x14ac:dyDescent="0.15">
      <c r="C51" s="82"/>
      <c r="D51" s="86"/>
      <c r="E51" s="86"/>
      <c r="F51" s="86"/>
      <c r="G51" s="86"/>
      <c r="H51" s="86"/>
      <c r="I51" s="86"/>
      <c r="J51" s="86"/>
      <c r="K51" s="86"/>
    </row>
    <row r="52" spans="3:11" s="79" customFormat="1" ht="15" customHeight="1" x14ac:dyDescent="0.15">
      <c r="C52" s="82"/>
      <c r="D52" s="84"/>
      <c r="E52" s="84"/>
      <c r="F52" s="84"/>
      <c r="G52" s="84"/>
      <c r="H52" s="84"/>
      <c r="I52" s="84"/>
      <c r="J52" s="84"/>
      <c r="K52" s="84"/>
    </row>
    <row r="53" spans="3:11" s="79" customFormat="1" x14ac:dyDescent="0.15"/>
    <row r="54" spans="3:11" s="79" customFormat="1" ht="15" customHeight="1" x14ac:dyDescent="0.15">
      <c r="C54" s="80"/>
    </row>
    <row r="55" spans="3:11" s="79" customFormat="1" ht="15" customHeight="1" x14ac:dyDescent="0.3">
      <c r="C55" s="53"/>
      <c r="D55" s="19"/>
      <c r="E55" s="19"/>
      <c r="F55" s="19"/>
      <c r="G55" s="19"/>
      <c r="H55" s="53"/>
      <c r="I55" s="53"/>
      <c r="J55" s="53"/>
      <c r="K55" s="53"/>
    </row>
    <row r="56" spans="3:11" s="79" customFormat="1" ht="15" customHeight="1" x14ac:dyDescent="0.15">
      <c r="C56" s="82"/>
      <c r="D56" s="85"/>
      <c r="E56" s="85"/>
      <c r="F56" s="85"/>
      <c r="G56" s="85"/>
      <c r="H56" s="86"/>
      <c r="I56" s="86"/>
      <c r="J56" s="86"/>
      <c r="K56" s="86"/>
    </row>
    <row r="57" spans="3:11" s="79" customFormat="1" ht="15" customHeight="1" x14ac:dyDescent="0.15">
      <c r="C57" s="82"/>
      <c r="D57" s="86"/>
      <c r="E57" s="86"/>
      <c r="F57" s="86"/>
      <c r="G57" s="86"/>
      <c r="H57" s="86"/>
      <c r="I57" s="86"/>
      <c r="J57" s="86"/>
      <c r="K57" s="86"/>
    </row>
    <row r="58" spans="3:11" s="79" customFormat="1" ht="15" customHeight="1" x14ac:dyDescent="0.15">
      <c r="C58" s="82"/>
      <c r="D58" s="86"/>
      <c r="E58" s="86"/>
      <c r="F58" s="86"/>
      <c r="G58" s="86"/>
      <c r="H58" s="86"/>
      <c r="I58" s="86"/>
      <c r="J58" s="86"/>
      <c r="K58" s="86"/>
    </row>
    <row r="59" spans="3:11" s="79" customFormat="1" x14ac:dyDescent="0.15">
      <c r="C59" s="82"/>
      <c r="D59" s="86"/>
      <c r="E59" s="86"/>
      <c r="F59" s="86"/>
      <c r="G59" s="86"/>
      <c r="H59" s="86"/>
      <c r="I59" s="86"/>
      <c r="J59" s="86"/>
      <c r="K59" s="86"/>
    </row>
    <row r="60" spans="3:11" s="79" customFormat="1" ht="15" customHeight="1" x14ac:dyDescent="0.15">
      <c r="C60" s="82"/>
      <c r="D60" s="86"/>
      <c r="E60" s="86"/>
      <c r="F60" s="86"/>
      <c r="G60" s="86"/>
      <c r="H60" s="86"/>
      <c r="I60" s="86"/>
      <c r="J60" s="86"/>
      <c r="K60" s="86"/>
    </row>
    <row r="61" spans="3:11" s="79" customFormat="1" x14ac:dyDescent="0.15">
      <c r="C61" s="82"/>
      <c r="D61" s="86"/>
      <c r="E61" s="86"/>
      <c r="F61" s="86"/>
      <c r="G61" s="86"/>
      <c r="H61" s="85"/>
      <c r="I61" s="85"/>
      <c r="J61" s="86"/>
      <c r="K61" s="86"/>
    </row>
    <row r="62" spans="3:11" s="79" customFormat="1" ht="15" customHeight="1" x14ac:dyDescent="0.15">
      <c r="C62" s="82"/>
      <c r="D62" s="86"/>
      <c r="E62" s="86"/>
      <c r="F62" s="86"/>
      <c r="G62" s="86"/>
      <c r="H62" s="86"/>
      <c r="I62" s="86"/>
      <c r="J62" s="86"/>
      <c r="K62" s="86"/>
    </row>
    <row r="63" spans="3:11" s="79" customFormat="1" ht="15" customHeight="1" x14ac:dyDescent="0.15">
      <c r="C63" s="82"/>
      <c r="D63" s="86"/>
      <c r="E63" s="86"/>
      <c r="F63" s="86"/>
      <c r="G63" s="86"/>
      <c r="H63" s="86"/>
      <c r="I63" s="86"/>
      <c r="J63" s="86"/>
      <c r="K63" s="86"/>
    </row>
    <row r="64" spans="3:11" s="79" customFormat="1" ht="15" customHeight="1" x14ac:dyDescent="0.15">
      <c r="C64" s="82"/>
      <c r="D64" s="86"/>
      <c r="E64" s="86"/>
      <c r="F64" s="86"/>
      <c r="G64" s="86"/>
      <c r="H64" s="86"/>
      <c r="I64" s="86"/>
      <c r="J64" s="86"/>
      <c r="K64" s="86"/>
    </row>
    <row r="65" spans="3:11" s="79" customFormat="1" ht="15" customHeight="1" x14ac:dyDescent="0.15">
      <c r="C65" s="82"/>
      <c r="D65" s="86"/>
      <c r="E65" s="86"/>
      <c r="F65" s="86"/>
      <c r="G65" s="86"/>
      <c r="H65" s="86"/>
      <c r="I65" s="86"/>
      <c r="J65" s="86"/>
      <c r="K65" s="86"/>
    </row>
    <row r="66" spans="3:11" s="79" customFormat="1" ht="15" customHeight="1" x14ac:dyDescent="0.15">
      <c r="C66" s="82"/>
      <c r="D66" s="86"/>
      <c r="E66" s="86"/>
      <c r="F66" s="86"/>
      <c r="G66" s="86"/>
      <c r="H66" s="86"/>
      <c r="I66" s="86"/>
      <c r="J66" s="86"/>
      <c r="K66" s="86"/>
    </row>
    <row r="67" spans="3:11" s="79" customFormat="1" x14ac:dyDescent="0.15"/>
    <row r="68" spans="3:11" ht="15" customHeight="1" x14ac:dyDescent="0.15">
      <c r="C68" s="28"/>
      <c r="D68" s="28"/>
      <c r="E68" s="28"/>
      <c r="F68" s="28"/>
      <c r="G68" s="28"/>
      <c r="H68" s="28"/>
    </row>
    <row r="70" spans="3:11" x14ac:dyDescent="0.15">
      <c r="D70" s="15"/>
    </row>
    <row r="71" spans="3:11" x14ac:dyDescent="0.15">
      <c r="D71" s="87"/>
    </row>
    <row r="73" spans="3:11" ht="16" x14ac:dyDescent="0.3">
      <c r="C73" s="53"/>
      <c r="D73" s="53"/>
      <c r="E73" s="19"/>
      <c r="F73" s="19"/>
      <c r="G73" s="19"/>
      <c r="H73" s="53"/>
      <c r="I73" s="53"/>
    </row>
    <row r="74" spans="3:11" x14ac:dyDescent="0.15">
      <c r="E74" s="89"/>
      <c r="F74" s="90"/>
      <c r="G74" s="91"/>
      <c r="H74" s="91"/>
      <c r="I74" s="91"/>
    </row>
    <row r="75" spans="3:11" x14ac:dyDescent="0.15">
      <c r="C75" s="88"/>
      <c r="D75" s="91"/>
      <c r="E75" s="39"/>
      <c r="F75" s="54"/>
      <c r="G75" s="54"/>
      <c r="H75" s="54"/>
      <c r="I75" s="142"/>
    </row>
    <row r="76" spans="3:11" x14ac:dyDescent="0.15">
      <c r="C76" s="88"/>
      <c r="D76" s="91"/>
      <c r="E76" s="39"/>
      <c r="F76" s="54"/>
      <c r="G76" s="54"/>
      <c r="H76" s="54"/>
      <c r="I76" s="142"/>
    </row>
    <row r="77" spans="3:11" x14ac:dyDescent="0.15">
      <c r="C77" s="88"/>
      <c r="D77" s="91"/>
      <c r="E77" s="39"/>
      <c r="F77" s="54"/>
      <c r="G77" s="54"/>
      <c r="H77" s="54"/>
      <c r="I77" s="142"/>
    </row>
    <row r="78" spans="3:11" x14ac:dyDescent="0.15">
      <c r="C78" s="88"/>
      <c r="D78" s="91"/>
      <c r="E78" s="39"/>
      <c r="F78" s="54"/>
      <c r="G78" s="54"/>
      <c r="H78" s="54"/>
      <c r="I78" s="142"/>
    </row>
    <row r="80" spans="3:11" ht="15" customHeight="1" x14ac:dyDescent="0.15">
      <c r="C80" s="28"/>
      <c r="D80" s="28"/>
      <c r="E80" s="28"/>
      <c r="F80" s="28"/>
      <c r="G80" s="28"/>
      <c r="H80" s="28"/>
    </row>
    <row r="81" spans="3:8" x14ac:dyDescent="0.15">
      <c r="C81" s="78"/>
    </row>
    <row r="83" spans="3:8" x14ac:dyDescent="0.15">
      <c r="C83" s="93"/>
    </row>
    <row r="84" spans="3:8" ht="16" x14ac:dyDescent="0.3">
      <c r="C84" s="96"/>
      <c r="D84" s="96"/>
      <c r="E84" s="96"/>
      <c r="F84" s="96"/>
      <c r="G84" s="96"/>
      <c r="H84" s="96"/>
    </row>
    <row r="85" spans="3:8" x14ac:dyDescent="0.15">
      <c r="D85" s="77"/>
      <c r="E85" s="77"/>
      <c r="F85" s="77"/>
      <c r="G85" s="77"/>
      <c r="H85" s="77"/>
    </row>
    <row r="86" spans="3:8" x14ac:dyDescent="0.15">
      <c r="D86" s="77"/>
      <c r="E86" s="77"/>
      <c r="F86" s="77"/>
      <c r="G86" s="77"/>
      <c r="H86" s="77"/>
    </row>
    <row r="87" spans="3:8" x14ac:dyDescent="0.15">
      <c r="D87" s="77"/>
      <c r="E87" s="77"/>
      <c r="F87" s="77"/>
      <c r="G87" s="77"/>
      <c r="H87" s="77"/>
    </row>
    <row r="88" spans="3:8" x14ac:dyDescent="0.15">
      <c r="D88" s="77"/>
      <c r="E88" s="77"/>
      <c r="F88" s="77"/>
      <c r="G88" s="77"/>
      <c r="H88" s="77"/>
    </row>
    <row r="89" spans="3:8" x14ac:dyDescent="0.15">
      <c r="D89" s="77"/>
      <c r="E89" s="77"/>
      <c r="F89" s="77"/>
      <c r="G89" s="77"/>
      <c r="H89" s="77"/>
    </row>
    <row r="90" spans="3:8" x14ac:dyDescent="0.15">
      <c r="D90" s="77"/>
      <c r="E90" s="77"/>
      <c r="F90" s="77"/>
      <c r="G90" s="77"/>
      <c r="H90" s="77"/>
    </row>
    <row r="91" spans="3:8" x14ac:dyDescent="0.15">
      <c r="D91" s="77"/>
      <c r="E91" s="77"/>
      <c r="F91" s="77"/>
      <c r="G91" s="77"/>
      <c r="H91" s="77"/>
    </row>
    <row r="92" spans="3:8" x14ac:dyDescent="0.15">
      <c r="D92" s="77"/>
      <c r="E92" s="77"/>
      <c r="F92" s="77"/>
      <c r="G92" s="77"/>
      <c r="H92" s="77"/>
    </row>
    <row r="93" spans="3:8" x14ac:dyDescent="0.15">
      <c r="D93" s="77"/>
      <c r="E93" s="77"/>
      <c r="F93" s="77"/>
      <c r="G93" s="77"/>
      <c r="H93" s="77"/>
    </row>
    <row r="94" spans="3:8" x14ac:dyDescent="0.15">
      <c r="D94" s="77"/>
      <c r="E94" s="77"/>
      <c r="F94" s="77"/>
      <c r="G94" s="77"/>
      <c r="H94" s="77"/>
    </row>
    <row r="95" spans="3:8" x14ac:dyDescent="0.15">
      <c r="D95" s="77"/>
      <c r="E95" s="77"/>
      <c r="F95" s="77"/>
      <c r="G95" s="77"/>
      <c r="H95" s="77"/>
    </row>
    <row r="96" spans="3:8" x14ac:dyDescent="0.15">
      <c r="D96" s="77"/>
      <c r="E96" s="77"/>
      <c r="F96" s="77"/>
      <c r="G96" s="77"/>
      <c r="H96" s="77"/>
    </row>
    <row r="97" spans="3:8" x14ac:dyDescent="0.15">
      <c r="D97" s="77"/>
      <c r="E97" s="77"/>
      <c r="F97" s="77"/>
      <c r="G97" s="77"/>
      <c r="H97" s="77"/>
    </row>
    <row r="98" spans="3:8" x14ac:dyDescent="0.15">
      <c r="D98" s="77"/>
      <c r="E98" s="77"/>
      <c r="F98" s="77"/>
      <c r="G98" s="77"/>
      <c r="H98" s="77"/>
    </row>
    <row r="99" spans="3:8" x14ac:dyDescent="0.15">
      <c r="D99" s="77"/>
      <c r="E99" s="77"/>
      <c r="F99" s="77"/>
      <c r="G99" s="77"/>
      <c r="H99" s="77"/>
    </row>
    <row r="100" spans="3:8" x14ac:dyDescent="0.15">
      <c r="D100" s="77"/>
      <c r="E100" s="77"/>
      <c r="F100" s="77"/>
      <c r="G100" s="77"/>
      <c r="H100" s="77"/>
    </row>
    <row r="101" spans="3:8" x14ac:dyDescent="0.15">
      <c r="D101" s="77"/>
      <c r="E101" s="77"/>
      <c r="F101" s="77"/>
      <c r="G101" s="77"/>
      <c r="H101" s="77"/>
    </row>
    <row r="102" spans="3:8" x14ac:dyDescent="0.15">
      <c r="D102" s="77"/>
      <c r="E102" s="77"/>
      <c r="F102" s="77"/>
      <c r="G102" s="77"/>
      <c r="H102" s="77"/>
    </row>
    <row r="103" spans="3:8" x14ac:dyDescent="0.15">
      <c r="D103" s="77"/>
      <c r="E103" s="77"/>
      <c r="F103" s="77"/>
      <c r="G103" s="77"/>
      <c r="H103" s="77"/>
    </row>
    <row r="104" spans="3:8" x14ac:dyDescent="0.15">
      <c r="D104" s="77"/>
      <c r="E104" s="77"/>
      <c r="F104" s="77"/>
      <c r="G104" s="77"/>
      <c r="H104" s="77"/>
    </row>
    <row r="106" spans="3:8" x14ac:dyDescent="0.15">
      <c r="C106" s="93"/>
    </row>
    <row r="107" spans="3:8" ht="16" x14ac:dyDescent="0.3">
      <c r="C107" s="96"/>
      <c r="D107" s="96"/>
      <c r="E107" s="96"/>
      <c r="F107" s="96"/>
      <c r="G107" s="96"/>
      <c r="H107" s="96"/>
    </row>
    <row r="108" spans="3:8" x14ac:dyDescent="0.15">
      <c r="D108" s="77"/>
      <c r="E108" s="77"/>
      <c r="F108" s="77"/>
      <c r="G108" s="77"/>
      <c r="H108" s="77"/>
    </row>
    <row r="109" spans="3:8" x14ac:dyDescent="0.15">
      <c r="D109" s="77"/>
      <c r="E109" s="77"/>
      <c r="F109" s="77"/>
      <c r="G109" s="77"/>
      <c r="H109" s="77"/>
    </row>
    <row r="110" spans="3:8" x14ac:dyDescent="0.15">
      <c r="D110" s="77"/>
      <c r="E110" s="77"/>
      <c r="F110" s="77"/>
      <c r="G110" s="77"/>
      <c r="H110" s="77"/>
    </row>
    <row r="111" spans="3:8" x14ac:dyDescent="0.15">
      <c r="D111" s="77"/>
      <c r="E111" s="77"/>
      <c r="F111" s="77"/>
      <c r="G111" s="77"/>
      <c r="H111" s="77"/>
    </row>
    <row r="112" spans="3:8" x14ac:dyDescent="0.15">
      <c r="D112" s="77"/>
      <c r="E112" s="77"/>
      <c r="F112" s="77"/>
      <c r="G112" s="77"/>
      <c r="H112" s="77"/>
    </row>
    <row r="113" spans="4:8" x14ac:dyDescent="0.15">
      <c r="D113" s="77"/>
      <c r="E113" s="77"/>
      <c r="F113" s="77"/>
      <c r="G113" s="77"/>
      <c r="H113" s="77"/>
    </row>
    <row r="114" spans="4:8" x14ac:dyDescent="0.15">
      <c r="D114" s="77"/>
      <c r="E114" s="77"/>
      <c r="F114" s="77"/>
      <c r="G114" s="77"/>
      <c r="H114" s="77"/>
    </row>
    <row r="115" spans="4:8" x14ac:dyDescent="0.15">
      <c r="D115" s="77"/>
      <c r="E115" s="77"/>
      <c r="F115" s="77"/>
      <c r="G115" s="77"/>
      <c r="H115" s="77"/>
    </row>
    <row r="116" spans="4:8" x14ac:dyDescent="0.15">
      <c r="D116" s="77"/>
      <c r="E116" s="77"/>
      <c r="F116" s="77"/>
      <c r="G116" s="77"/>
      <c r="H116" s="77"/>
    </row>
    <row r="117" spans="4:8" x14ac:dyDescent="0.15">
      <c r="D117" s="77"/>
      <c r="E117" s="77"/>
      <c r="F117" s="77"/>
      <c r="G117" s="77"/>
      <c r="H117" s="77"/>
    </row>
    <row r="118" spans="4:8" x14ac:dyDescent="0.15">
      <c r="D118" s="77"/>
      <c r="E118" s="77"/>
      <c r="F118" s="77"/>
      <c r="G118" s="77"/>
      <c r="H118" s="77"/>
    </row>
    <row r="119" spans="4:8" x14ac:dyDescent="0.15">
      <c r="D119" s="77"/>
      <c r="E119" s="77"/>
      <c r="F119" s="77"/>
      <c r="G119" s="77"/>
      <c r="H119" s="77"/>
    </row>
    <row r="120" spans="4:8" x14ac:dyDescent="0.15">
      <c r="D120" s="77"/>
      <c r="E120" s="77"/>
      <c r="F120" s="77"/>
      <c r="G120" s="77"/>
      <c r="H120" s="77"/>
    </row>
    <row r="121" spans="4:8" x14ac:dyDescent="0.15">
      <c r="D121" s="77"/>
      <c r="E121" s="77"/>
      <c r="F121" s="77"/>
      <c r="G121" s="77"/>
      <c r="H121" s="77"/>
    </row>
    <row r="122" spans="4:8" x14ac:dyDescent="0.15">
      <c r="D122" s="77"/>
      <c r="E122" s="77"/>
      <c r="F122" s="77"/>
      <c r="G122" s="77"/>
      <c r="H122" s="77"/>
    </row>
    <row r="123" spans="4:8" x14ac:dyDescent="0.15">
      <c r="D123" s="77"/>
      <c r="E123" s="77"/>
      <c r="F123" s="77"/>
      <c r="G123" s="77"/>
      <c r="H123" s="77"/>
    </row>
    <row r="124" spans="4:8" x14ac:dyDescent="0.15">
      <c r="D124" s="77"/>
      <c r="E124" s="77"/>
      <c r="F124" s="77"/>
      <c r="G124" s="77"/>
      <c r="H124" s="77"/>
    </row>
    <row r="125" spans="4:8" x14ac:dyDescent="0.15">
      <c r="D125" s="77"/>
      <c r="E125" s="77"/>
      <c r="F125" s="77"/>
      <c r="G125" s="77"/>
      <c r="H125" s="77"/>
    </row>
    <row r="126" spans="4:8" x14ac:dyDescent="0.15">
      <c r="D126" s="77"/>
      <c r="E126" s="77"/>
      <c r="F126" s="77"/>
      <c r="G126" s="77"/>
      <c r="H126" s="77"/>
    </row>
    <row r="127" spans="4:8" x14ac:dyDescent="0.15">
      <c r="D127" s="77"/>
      <c r="E127" s="77"/>
      <c r="F127" s="77"/>
      <c r="G127" s="77"/>
      <c r="H127" s="77"/>
    </row>
    <row r="130" spans="3:8" x14ac:dyDescent="0.15">
      <c r="C130" s="93"/>
    </row>
    <row r="131" spans="3:8" ht="16" x14ac:dyDescent="0.3">
      <c r="C131" s="96"/>
      <c r="D131" s="96"/>
      <c r="E131" s="96"/>
      <c r="F131" s="96"/>
      <c r="G131" s="96"/>
      <c r="H131" s="96"/>
    </row>
    <row r="132" spans="3:8" x14ac:dyDescent="0.15">
      <c r="D132" s="77"/>
      <c r="E132" s="77"/>
      <c r="F132" s="77"/>
      <c r="G132" s="77"/>
      <c r="H132" s="77"/>
    </row>
    <row r="133" spans="3:8" x14ac:dyDescent="0.15">
      <c r="D133" s="77"/>
      <c r="E133" s="77"/>
      <c r="F133" s="77"/>
      <c r="G133" s="77"/>
      <c r="H133" s="77"/>
    </row>
    <row r="134" spans="3:8" x14ac:dyDescent="0.15">
      <c r="D134" s="77"/>
      <c r="E134" s="77"/>
      <c r="F134" s="77"/>
      <c r="G134" s="77"/>
      <c r="H134" s="77"/>
    </row>
    <row r="135" spans="3:8" x14ac:dyDescent="0.15">
      <c r="D135" s="77"/>
      <c r="E135" s="77"/>
      <c r="F135" s="77"/>
      <c r="G135" s="77"/>
      <c r="H135" s="77"/>
    </row>
    <row r="136" spans="3:8" x14ac:dyDescent="0.15">
      <c r="D136" s="77"/>
      <c r="E136" s="77"/>
      <c r="F136" s="77"/>
      <c r="G136" s="77"/>
      <c r="H136" s="77"/>
    </row>
    <row r="137" spans="3:8" x14ac:dyDescent="0.15">
      <c r="D137" s="77"/>
      <c r="E137" s="77"/>
      <c r="F137" s="77"/>
      <c r="G137" s="77"/>
      <c r="H137" s="77"/>
    </row>
    <row r="138" spans="3:8" x14ac:dyDescent="0.15">
      <c r="D138" s="77"/>
      <c r="E138" s="77"/>
      <c r="F138" s="77"/>
      <c r="G138" s="77"/>
      <c r="H138" s="77"/>
    </row>
    <row r="139" spans="3:8" x14ac:dyDescent="0.15">
      <c r="D139" s="77"/>
      <c r="E139" s="77"/>
      <c r="F139" s="77"/>
      <c r="G139" s="77"/>
      <c r="H139" s="77"/>
    </row>
    <row r="140" spans="3:8" x14ac:dyDescent="0.15">
      <c r="D140" s="77"/>
      <c r="E140" s="77"/>
      <c r="F140" s="77"/>
      <c r="G140" s="77"/>
      <c r="H140" s="77"/>
    </row>
    <row r="141" spans="3:8" x14ac:dyDescent="0.15">
      <c r="D141" s="77"/>
      <c r="E141" s="77"/>
      <c r="F141" s="77"/>
      <c r="G141" s="77"/>
      <c r="H141" s="77"/>
    </row>
    <row r="142" spans="3:8" x14ac:dyDescent="0.15">
      <c r="D142" s="77"/>
      <c r="E142" s="77"/>
      <c r="F142" s="77"/>
      <c r="G142" s="77"/>
      <c r="H142" s="77"/>
    </row>
    <row r="143" spans="3:8" x14ac:dyDescent="0.15">
      <c r="D143" s="77"/>
      <c r="E143" s="77"/>
      <c r="F143" s="77"/>
      <c r="G143" s="77"/>
      <c r="H143" s="77"/>
    </row>
    <row r="144" spans="3:8" x14ac:dyDescent="0.15">
      <c r="D144" s="77"/>
      <c r="E144" s="77"/>
      <c r="F144" s="77"/>
      <c r="G144" s="77"/>
      <c r="H144" s="77"/>
    </row>
    <row r="145" spans="3:8" x14ac:dyDescent="0.15">
      <c r="D145" s="77"/>
      <c r="E145" s="77"/>
      <c r="F145" s="77"/>
      <c r="G145" s="77"/>
      <c r="H145" s="77"/>
    </row>
    <row r="146" spans="3:8" x14ac:dyDescent="0.15">
      <c r="D146" s="77"/>
      <c r="E146" s="77"/>
      <c r="F146" s="77"/>
      <c r="G146" s="77"/>
      <c r="H146" s="77"/>
    </row>
    <row r="147" spans="3:8" x14ac:dyDescent="0.15">
      <c r="D147" s="77"/>
      <c r="E147" s="77"/>
      <c r="F147" s="77"/>
      <c r="G147" s="77"/>
      <c r="H147" s="77"/>
    </row>
    <row r="148" spans="3:8" x14ac:dyDescent="0.15">
      <c r="D148" s="77"/>
      <c r="E148" s="77"/>
      <c r="F148" s="77"/>
      <c r="G148" s="77"/>
      <c r="H148" s="77"/>
    </row>
    <row r="149" spans="3:8" x14ac:dyDescent="0.15">
      <c r="D149" s="77"/>
      <c r="E149" s="77"/>
      <c r="F149" s="77"/>
      <c r="G149" s="77"/>
      <c r="H149" s="77"/>
    </row>
    <row r="150" spans="3:8" x14ac:dyDescent="0.15">
      <c r="D150" s="77"/>
      <c r="E150" s="77"/>
      <c r="F150" s="77"/>
      <c r="G150" s="77"/>
      <c r="H150" s="77"/>
    </row>
    <row r="151" spans="3:8" x14ac:dyDescent="0.15">
      <c r="D151" s="77"/>
      <c r="E151" s="77"/>
      <c r="F151" s="77"/>
      <c r="G151" s="77"/>
      <c r="H151" s="77"/>
    </row>
    <row r="153" spans="3:8" x14ac:dyDescent="0.15">
      <c r="C153" s="93"/>
    </row>
    <row r="154" spans="3:8" ht="16" x14ac:dyDescent="0.3">
      <c r="C154" s="96"/>
      <c r="D154" s="96"/>
      <c r="E154" s="96"/>
      <c r="F154" s="96"/>
      <c r="G154" s="96"/>
      <c r="H154" s="96"/>
    </row>
    <row r="155" spans="3:8" x14ac:dyDescent="0.15">
      <c r="D155" s="77"/>
      <c r="E155" s="77"/>
      <c r="F155" s="77"/>
      <c r="G155" s="77"/>
      <c r="H155" s="77"/>
    </row>
    <row r="156" spans="3:8" x14ac:dyDescent="0.15">
      <c r="D156" s="77"/>
      <c r="E156" s="77"/>
      <c r="F156" s="77"/>
      <c r="G156" s="77"/>
      <c r="H156" s="77"/>
    </row>
    <row r="157" spans="3:8" x14ac:dyDescent="0.15">
      <c r="D157" s="77"/>
      <c r="E157" s="77"/>
      <c r="F157" s="77"/>
      <c r="G157" s="77"/>
      <c r="H157" s="77"/>
    </row>
    <row r="158" spans="3:8" x14ac:dyDescent="0.15">
      <c r="D158" s="77"/>
      <c r="E158" s="77"/>
      <c r="F158" s="77"/>
      <c r="G158" s="77"/>
      <c r="H158" s="77"/>
    </row>
    <row r="159" spans="3:8" x14ac:dyDescent="0.15">
      <c r="D159" s="77"/>
      <c r="E159" s="77"/>
      <c r="F159" s="77"/>
      <c r="G159" s="77"/>
      <c r="H159" s="77"/>
    </row>
    <row r="160" spans="3:8" x14ac:dyDescent="0.15">
      <c r="D160" s="77"/>
      <c r="E160" s="77"/>
      <c r="F160" s="77"/>
      <c r="G160" s="77"/>
      <c r="H160" s="77"/>
    </row>
    <row r="161" spans="4:8" x14ac:dyDescent="0.15">
      <c r="D161" s="77"/>
      <c r="E161" s="77"/>
      <c r="F161" s="77"/>
      <c r="G161" s="77"/>
      <c r="H161" s="77"/>
    </row>
    <row r="162" spans="4:8" x14ac:dyDescent="0.15">
      <c r="D162" s="77"/>
      <c r="E162" s="77"/>
      <c r="F162" s="77"/>
      <c r="G162" s="77"/>
      <c r="H162" s="77"/>
    </row>
    <row r="163" spans="4:8" x14ac:dyDescent="0.15">
      <c r="D163" s="77"/>
      <c r="E163" s="77"/>
      <c r="F163" s="77"/>
      <c r="G163" s="77"/>
      <c r="H163" s="77"/>
    </row>
    <row r="164" spans="4:8" x14ac:dyDescent="0.15">
      <c r="D164" s="77"/>
      <c r="E164" s="77"/>
      <c r="F164" s="77"/>
      <c r="G164" s="77"/>
      <c r="H164" s="77"/>
    </row>
    <row r="165" spans="4:8" x14ac:dyDescent="0.15">
      <c r="D165" s="77"/>
      <c r="E165" s="77"/>
      <c r="F165" s="77"/>
      <c r="G165" s="77"/>
      <c r="H165" s="77"/>
    </row>
    <row r="166" spans="4:8" x14ac:dyDescent="0.15">
      <c r="D166" s="77"/>
      <c r="E166" s="77"/>
      <c r="F166" s="77"/>
      <c r="G166" s="77"/>
      <c r="H166" s="77"/>
    </row>
    <row r="167" spans="4:8" x14ac:dyDescent="0.15">
      <c r="D167" s="77"/>
      <c r="E167" s="77"/>
      <c r="F167" s="77"/>
      <c r="G167" s="77"/>
      <c r="H167" s="77"/>
    </row>
    <row r="168" spans="4:8" x14ac:dyDescent="0.15">
      <c r="D168" s="77"/>
      <c r="E168" s="77"/>
      <c r="F168" s="77"/>
      <c r="G168" s="77"/>
      <c r="H168" s="77"/>
    </row>
    <row r="169" spans="4:8" x14ac:dyDescent="0.15">
      <c r="D169" s="77"/>
      <c r="E169" s="77"/>
      <c r="F169" s="77"/>
      <c r="G169" s="77"/>
      <c r="H169" s="77"/>
    </row>
    <row r="170" spans="4:8" x14ac:dyDescent="0.15">
      <c r="D170" s="77"/>
      <c r="E170" s="77"/>
      <c r="F170" s="77"/>
      <c r="G170" s="77"/>
      <c r="H170" s="77"/>
    </row>
    <row r="171" spans="4:8" x14ac:dyDescent="0.15">
      <c r="D171" s="77"/>
      <c r="E171" s="77"/>
      <c r="F171" s="77"/>
      <c r="G171" s="77"/>
      <c r="H171" s="77"/>
    </row>
    <row r="172" spans="4:8" x14ac:dyDescent="0.15">
      <c r="D172" s="77"/>
      <c r="E172" s="77"/>
      <c r="F172" s="77"/>
      <c r="G172" s="77"/>
      <c r="H172" s="77"/>
    </row>
    <row r="173" spans="4:8" x14ac:dyDescent="0.15">
      <c r="D173" s="77"/>
      <c r="E173" s="77"/>
      <c r="F173" s="77"/>
      <c r="G173" s="77"/>
      <c r="H173" s="77"/>
    </row>
    <row r="174" spans="4:8" x14ac:dyDescent="0.15">
      <c r="D174" s="77"/>
      <c r="E174" s="77"/>
      <c r="F174" s="77"/>
      <c r="G174" s="77"/>
      <c r="H174" s="77"/>
    </row>
    <row r="177" spans="3:8" x14ac:dyDescent="0.15">
      <c r="C177" s="93"/>
    </row>
    <row r="178" spans="3:8" ht="16" x14ac:dyDescent="0.3">
      <c r="C178" s="96"/>
      <c r="D178" s="96"/>
      <c r="E178" s="96"/>
      <c r="F178" s="96"/>
      <c r="G178" s="96"/>
      <c r="H178" s="96"/>
    </row>
    <row r="179" spans="3:8" x14ac:dyDescent="0.15">
      <c r="D179" s="77"/>
      <c r="E179" s="77"/>
      <c r="F179" s="77"/>
      <c r="G179" s="77"/>
      <c r="H179" s="77"/>
    </row>
    <row r="180" spans="3:8" x14ac:dyDescent="0.15">
      <c r="D180" s="77"/>
      <c r="E180" s="77"/>
      <c r="F180" s="77"/>
      <c r="G180" s="77"/>
      <c r="H180" s="77"/>
    </row>
    <row r="181" spans="3:8" x14ac:dyDescent="0.15">
      <c r="D181" s="77"/>
      <c r="E181" s="77"/>
      <c r="F181" s="77"/>
      <c r="G181" s="77"/>
      <c r="H181" s="77"/>
    </row>
    <row r="182" spans="3:8" x14ac:dyDescent="0.15">
      <c r="D182" s="77"/>
      <c r="E182" s="77"/>
      <c r="F182" s="77"/>
      <c r="G182" s="77"/>
      <c r="H182" s="77"/>
    </row>
    <row r="183" spans="3:8" x14ac:dyDescent="0.15">
      <c r="D183" s="77"/>
      <c r="E183" s="77"/>
      <c r="F183" s="77"/>
      <c r="G183" s="77"/>
      <c r="H183" s="77"/>
    </row>
    <row r="184" spans="3:8" x14ac:dyDescent="0.15">
      <c r="D184" s="77"/>
      <c r="E184" s="77"/>
      <c r="F184" s="77"/>
      <c r="G184" s="77"/>
      <c r="H184" s="77"/>
    </row>
    <row r="185" spans="3:8" x14ac:dyDescent="0.15">
      <c r="D185" s="77"/>
      <c r="E185" s="77"/>
      <c r="F185" s="77"/>
      <c r="G185" s="77"/>
      <c r="H185" s="77"/>
    </row>
    <row r="186" spans="3:8" x14ac:dyDescent="0.15">
      <c r="D186" s="77"/>
      <c r="E186" s="77"/>
      <c r="F186" s="77"/>
      <c r="G186" s="77"/>
      <c r="H186" s="77"/>
    </row>
    <row r="187" spans="3:8" x14ac:dyDescent="0.15">
      <c r="D187" s="77"/>
      <c r="E187" s="77"/>
      <c r="F187" s="77"/>
      <c r="G187" s="77"/>
      <c r="H187" s="77"/>
    </row>
    <row r="188" spans="3:8" x14ac:dyDescent="0.15">
      <c r="D188" s="77"/>
      <c r="E188" s="77"/>
      <c r="F188" s="77"/>
      <c r="G188" s="77"/>
      <c r="H188" s="77"/>
    </row>
    <row r="189" spans="3:8" x14ac:dyDescent="0.15">
      <c r="D189" s="77"/>
      <c r="E189" s="77"/>
      <c r="F189" s="77"/>
      <c r="G189" s="77"/>
      <c r="H189" s="77"/>
    </row>
    <row r="190" spans="3:8" x14ac:dyDescent="0.15">
      <c r="D190" s="77"/>
      <c r="E190" s="77"/>
      <c r="F190" s="77"/>
      <c r="G190" s="77"/>
      <c r="H190" s="77"/>
    </row>
    <row r="191" spans="3:8" x14ac:dyDescent="0.15">
      <c r="D191" s="77"/>
      <c r="E191" s="77"/>
      <c r="F191" s="77"/>
      <c r="G191" s="77"/>
      <c r="H191" s="77"/>
    </row>
    <row r="192" spans="3:8" x14ac:dyDescent="0.15">
      <c r="D192" s="77"/>
      <c r="E192" s="77"/>
      <c r="F192" s="77"/>
      <c r="G192" s="77"/>
      <c r="H192" s="77"/>
    </row>
    <row r="193" spans="3:8" x14ac:dyDescent="0.15">
      <c r="D193" s="77"/>
      <c r="E193" s="77"/>
      <c r="F193" s="77"/>
      <c r="G193" s="77"/>
      <c r="H193" s="77"/>
    </row>
    <row r="194" spans="3:8" x14ac:dyDescent="0.15">
      <c r="D194" s="77"/>
      <c r="E194" s="77"/>
      <c r="F194" s="77"/>
      <c r="G194" s="77"/>
      <c r="H194" s="77"/>
    </row>
    <row r="195" spans="3:8" x14ac:dyDescent="0.15">
      <c r="D195" s="77"/>
      <c r="E195" s="77"/>
      <c r="F195" s="77"/>
      <c r="G195" s="77"/>
      <c r="H195" s="77"/>
    </row>
    <row r="196" spans="3:8" x14ac:dyDescent="0.15">
      <c r="D196" s="77"/>
      <c r="E196" s="77"/>
      <c r="F196" s="77"/>
      <c r="G196" s="77"/>
      <c r="H196" s="77"/>
    </row>
    <row r="197" spans="3:8" x14ac:dyDescent="0.15">
      <c r="D197" s="77"/>
      <c r="E197" s="77"/>
      <c r="F197" s="77"/>
      <c r="G197" s="77"/>
      <c r="H197" s="77"/>
    </row>
    <row r="198" spans="3:8" x14ac:dyDescent="0.15">
      <c r="D198" s="77"/>
      <c r="E198" s="77"/>
      <c r="F198" s="77"/>
      <c r="G198" s="77"/>
      <c r="H198" s="77"/>
    </row>
    <row r="200" spans="3:8" x14ac:dyDescent="0.15">
      <c r="C200" s="93"/>
    </row>
    <row r="201" spans="3:8" ht="16" x14ac:dyDescent="0.3">
      <c r="C201" s="96"/>
      <c r="D201" s="96"/>
      <c r="E201" s="96"/>
      <c r="F201" s="96"/>
      <c r="G201" s="96"/>
      <c r="H201" s="96"/>
    </row>
    <row r="202" spans="3:8" x14ac:dyDescent="0.15">
      <c r="D202" s="77"/>
      <c r="E202" s="77"/>
      <c r="F202" s="77"/>
      <c r="G202" s="77"/>
      <c r="H202" s="77"/>
    </row>
    <row r="203" spans="3:8" x14ac:dyDescent="0.15">
      <c r="D203" s="77"/>
      <c r="E203" s="77"/>
      <c r="F203" s="77"/>
      <c r="G203" s="77"/>
      <c r="H203" s="77"/>
    </row>
    <row r="204" spans="3:8" x14ac:dyDescent="0.15">
      <c r="D204" s="77"/>
      <c r="E204" s="77"/>
      <c r="F204" s="77"/>
      <c r="G204" s="77"/>
      <c r="H204" s="77"/>
    </row>
    <row r="205" spans="3:8" x14ac:dyDescent="0.15">
      <c r="D205" s="77"/>
      <c r="E205" s="77"/>
      <c r="F205" s="77"/>
      <c r="G205" s="77"/>
      <c r="H205" s="77"/>
    </row>
    <row r="206" spans="3:8" x14ac:dyDescent="0.15">
      <c r="D206" s="77"/>
      <c r="E206" s="77"/>
      <c r="F206" s="77"/>
      <c r="G206" s="77"/>
      <c r="H206" s="77"/>
    </row>
    <row r="207" spans="3:8" x14ac:dyDescent="0.15">
      <c r="D207" s="77"/>
      <c r="E207" s="77"/>
      <c r="F207" s="77"/>
      <c r="G207" s="77"/>
      <c r="H207" s="77"/>
    </row>
    <row r="208" spans="3:8" x14ac:dyDescent="0.15">
      <c r="D208" s="77"/>
      <c r="E208" s="77"/>
      <c r="F208" s="77"/>
      <c r="G208" s="77"/>
      <c r="H208" s="77"/>
    </row>
    <row r="209" spans="3:12" x14ac:dyDescent="0.15">
      <c r="D209" s="77"/>
      <c r="E209" s="77"/>
      <c r="F209" s="77"/>
      <c r="G209" s="77"/>
      <c r="H209" s="77"/>
    </row>
    <row r="210" spans="3:12" x14ac:dyDescent="0.15">
      <c r="D210" s="77"/>
      <c r="E210" s="77"/>
      <c r="F210" s="77"/>
      <c r="G210" s="77"/>
      <c r="H210" s="77"/>
    </row>
    <row r="211" spans="3:12" x14ac:dyDescent="0.15">
      <c r="D211" s="77"/>
      <c r="E211" s="77"/>
      <c r="F211" s="77"/>
      <c r="G211" s="77"/>
      <c r="H211" s="77"/>
    </row>
    <row r="212" spans="3:12" x14ac:dyDescent="0.15">
      <c r="D212" s="77"/>
      <c r="E212" s="77"/>
      <c r="F212" s="77"/>
      <c r="G212" s="77"/>
      <c r="H212" s="77"/>
    </row>
    <row r="213" spans="3:12" x14ac:dyDescent="0.15">
      <c r="D213" s="77"/>
      <c r="E213" s="77"/>
      <c r="F213" s="77"/>
      <c r="G213" s="77"/>
      <c r="H213" s="77"/>
    </row>
    <row r="214" spans="3:12" x14ac:dyDescent="0.15">
      <c r="D214" s="77"/>
      <c r="E214" s="77"/>
      <c r="F214" s="77"/>
      <c r="G214" s="77"/>
      <c r="H214" s="77"/>
    </row>
    <row r="215" spans="3:12" x14ac:dyDescent="0.15">
      <c r="D215" s="77"/>
      <c r="E215" s="77"/>
      <c r="F215" s="77"/>
      <c r="G215" s="77"/>
      <c r="H215" s="77"/>
    </row>
    <row r="216" spans="3:12" x14ac:dyDescent="0.15">
      <c r="D216" s="77"/>
      <c r="E216" s="77"/>
      <c r="F216" s="77"/>
      <c r="G216" s="77"/>
      <c r="H216" s="77"/>
    </row>
    <row r="217" spans="3:12" x14ac:dyDescent="0.15">
      <c r="D217" s="77"/>
      <c r="E217" s="77"/>
      <c r="F217" s="77"/>
      <c r="G217" s="77"/>
      <c r="H217" s="77"/>
    </row>
    <row r="218" spans="3:12" x14ac:dyDescent="0.15">
      <c r="D218" s="77"/>
      <c r="E218" s="77"/>
      <c r="F218" s="77"/>
      <c r="G218" s="77"/>
      <c r="H218" s="77"/>
    </row>
    <row r="219" spans="3:12" x14ac:dyDescent="0.15">
      <c r="D219" s="77"/>
      <c r="E219" s="77"/>
      <c r="F219" s="77"/>
      <c r="G219" s="77"/>
      <c r="H219" s="77"/>
    </row>
    <row r="220" spans="3:12" x14ac:dyDescent="0.15">
      <c r="D220" s="77"/>
      <c r="E220" s="77"/>
      <c r="F220" s="77"/>
      <c r="G220" s="77"/>
      <c r="H220" s="77"/>
    </row>
    <row r="221" spans="3:12" x14ac:dyDescent="0.15">
      <c r="D221" s="77"/>
      <c r="E221" s="77"/>
      <c r="F221" s="77"/>
      <c r="G221" s="77"/>
      <c r="H221" s="77"/>
    </row>
    <row r="223" spans="3:12" x14ac:dyDescent="0.15">
      <c r="C223" s="93"/>
    </row>
    <row r="224" spans="3:12" ht="16" x14ac:dyDescent="0.3">
      <c r="C224" s="96"/>
      <c r="D224" s="96"/>
      <c r="E224" s="96"/>
      <c r="F224" s="96"/>
      <c r="G224" s="96"/>
      <c r="H224" s="96"/>
      <c r="I224" s="96"/>
      <c r="J224" s="96"/>
      <c r="K224" s="96"/>
      <c r="L224" s="96"/>
    </row>
    <row r="225" spans="4:12" x14ac:dyDescent="0.15">
      <c r="D225" s="143"/>
      <c r="E225" s="143"/>
      <c r="F225" s="144"/>
      <c r="G225" s="143"/>
      <c r="H225" s="143"/>
      <c r="I225" s="144"/>
      <c r="J225" s="143"/>
      <c r="K225" s="143"/>
      <c r="L225" s="144"/>
    </row>
    <row r="226" spans="4:12" x14ac:dyDescent="0.15">
      <c r="D226" s="143"/>
      <c r="E226" s="143"/>
      <c r="F226" s="144"/>
      <c r="G226" s="143"/>
      <c r="H226" s="143"/>
      <c r="I226" s="144"/>
      <c r="J226" s="143"/>
      <c r="K226" s="143"/>
      <c r="L226" s="144"/>
    </row>
    <row r="227" spans="4:12" x14ac:dyDescent="0.15">
      <c r="D227" s="143"/>
      <c r="E227" s="143"/>
      <c r="F227" s="144"/>
      <c r="G227" s="143"/>
      <c r="H227" s="143"/>
      <c r="I227" s="144"/>
      <c r="J227" s="143"/>
      <c r="K227" s="143"/>
      <c r="L227" s="144"/>
    </row>
    <row r="228" spans="4:12" x14ac:dyDescent="0.15">
      <c r="D228" s="143"/>
      <c r="E228" s="143"/>
      <c r="F228" s="144"/>
      <c r="G228" s="143"/>
      <c r="H228" s="143"/>
      <c r="I228" s="144"/>
      <c r="J228" s="143"/>
      <c r="K228" s="143"/>
      <c r="L228" s="144"/>
    </row>
    <row r="229" spans="4:12" x14ac:dyDescent="0.15">
      <c r="D229" s="143"/>
      <c r="E229" s="143"/>
      <c r="F229" s="144"/>
      <c r="G229" s="143"/>
      <c r="H229" s="143"/>
      <c r="I229" s="144"/>
      <c r="J229" s="143"/>
      <c r="K229" s="143"/>
      <c r="L229" s="144"/>
    </row>
    <row r="230" spans="4:12" x14ac:dyDescent="0.15">
      <c r="D230" s="143"/>
      <c r="E230" s="143"/>
      <c r="F230" s="144"/>
      <c r="G230" s="143"/>
      <c r="H230" s="143"/>
      <c r="I230" s="144"/>
      <c r="J230" s="143"/>
      <c r="K230" s="143"/>
      <c r="L230" s="144"/>
    </row>
    <row r="231" spans="4:12" x14ac:dyDescent="0.15">
      <c r="D231" s="143"/>
      <c r="E231" s="143"/>
      <c r="F231" s="144"/>
      <c r="G231" s="143"/>
      <c r="H231" s="143"/>
      <c r="I231" s="144"/>
      <c r="J231" s="143"/>
      <c r="K231" s="143"/>
      <c r="L231" s="144"/>
    </row>
    <row r="232" spans="4:12" x14ac:dyDescent="0.15">
      <c r="D232" s="143"/>
      <c r="E232" s="143"/>
      <c r="F232" s="144"/>
      <c r="G232" s="143"/>
      <c r="H232" s="143"/>
      <c r="I232" s="144"/>
      <c r="J232" s="143"/>
      <c r="K232" s="143"/>
      <c r="L232" s="144"/>
    </row>
    <row r="233" spans="4:12" x14ac:dyDescent="0.15">
      <c r="D233" s="144"/>
      <c r="E233" s="144"/>
      <c r="F233" s="144"/>
      <c r="G233" s="144"/>
      <c r="H233" s="144"/>
      <c r="I233" s="144"/>
      <c r="J233" s="144"/>
      <c r="K233" s="144"/>
      <c r="L233" s="144"/>
    </row>
    <row r="234" spans="4:12" x14ac:dyDescent="0.15">
      <c r="D234" s="144"/>
      <c r="E234" s="144"/>
      <c r="F234" s="144"/>
      <c r="G234" s="144"/>
      <c r="H234" s="144"/>
      <c r="I234" s="144"/>
      <c r="J234" s="144"/>
      <c r="K234" s="144"/>
      <c r="L234" s="144"/>
    </row>
    <row r="235" spans="4:12" x14ac:dyDescent="0.15">
      <c r="D235" s="144"/>
      <c r="E235" s="144"/>
      <c r="F235" s="144"/>
      <c r="G235" s="144"/>
      <c r="H235" s="144"/>
      <c r="I235" s="144"/>
      <c r="J235" s="144"/>
      <c r="K235" s="144"/>
      <c r="L235" s="144"/>
    </row>
    <row r="236" spans="4:12" x14ac:dyDescent="0.15">
      <c r="D236" s="144"/>
      <c r="E236" s="144"/>
      <c r="F236" s="144"/>
      <c r="G236" s="144"/>
      <c r="H236" s="144"/>
      <c r="I236" s="144"/>
      <c r="J236" s="144"/>
      <c r="K236" s="144"/>
      <c r="L236" s="144"/>
    </row>
    <row r="237" spans="4:12" x14ac:dyDescent="0.15">
      <c r="D237" s="144"/>
      <c r="E237" s="144"/>
      <c r="F237" s="144"/>
      <c r="G237" s="144"/>
      <c r="H237" s="144"/>
      <c r="I237" s="144"/>
      <c r="J237" s="144"/>
      <c r="K237" s="144"/>
      <c r="L237" s="144"/>
    </row>
    <row r="238" spans="4:12" x14ac:dyDescent="0.15">
      <c r="D238" s="144"/>
      <c r="E238" s="144"/>
      <c r="F238" s="144"/>
      <c r="G238" s="144"/>
      <c r="H238" s="144"/>
      <c r="I238" s="144"/>
      <c r="J238" s="144"/>
      <c r="K238" s="144"/>
      <c r="L238" s="144"/>
    </row>
    <row r="239" spans="4:12" x14ac:dyDescent="0.15">
      <c r="D239" s="144"/>
      <c r="E239" s="144"/>
      <c r="F239" s="144"/>
      <c r="G239" s="144"/>
      <c r="H239" s="144"/>
      <c r="I239" s="144"/>
      <c r="J239" s="144"/>
      <c r="K239" s="144"/>
      <c r="L239" s="144"/>
    </row>
    <row r="240" spans="4:12" x14ac:dyDescent="0.15">
      <c r="D240" s="144"/>
      <c r="E240" s="144"/>
      <c r="F240" s="144"/>
      <c r="G240" s="144"/>
      <c r="H240" s="144"/>
      <c r="I240" s="144"/>
      <c r="J240" s="144"/>
      <c r="K240" s="144"/>
      <c r="L240" s="144"/>
    </row>
    <row r="241" spans="4:12" x14ac:dyDescent="0.15">
      <c r="D241" s="144"/>
      <c r="E241" s="144"/>
      <c r="F241" s="144"/>
      <c r="G241" s="144"/>
      <c r="H241" s="144"/>
      <c r="I241" s="144"/>
      <c r="J241" s="144"/>
      <c r="K241" s="144"/>
      <c r="L241" s="144"/>
    </row>
    <row r="242" spans="4:12" x14ac:dyDescent="0.15">
      <c r="D242" s="144"/>
      <c r="E242" s="144"/>
      <c r="F242" s="144"/>
      <c r="G242" s="144"/>
      <c r="H242" s="144"/>
      <c r="I242" s="144"/>
      <c r="J242" s="144"/>
      <c r="K242" s="144"/>
      <c r="L242" s="144"/>
    </row>
    <row r="243" spans="4:12" x14ac:dyDescent="0.15">
      <c r="D243" s="144"/>
      <c r="E243" s="144"/>
      <c r="F243" s="144"/>
      <c r="G243" s="144"/>
      <c r="H243" s="144"/>
      <c r="I243" s="144"/>
      <c r="J243" s="144"/>
      <c r="K243" s="144"/>
      <c r="L243" s="144"/>
    </row>
    <row r="244" spans="4:12" x14ac:dyDescent="0.15">
      <c r="D244" s="144"/>
      <c r="E244" s="144"/>
      <c r="F244" s="144"/>
      <c r="G244" s="144"/>
      <c r="H244" s="144"/>
      <c r="I244" s="144"/>
      <c r="J244" s="144"/>
      <c r="K244" s="144"/>
      <c r="L244" s="144"/>
    </row>
    <row r="245" spans="4:12" x14ac:dyDescent="0.15">
      <c r="D245" s="144"/>
      <c r="E245" s="144"/>
      <c r="F245" s="144"/>
      <c r="G245" s="144"/>
      <c r="H245" s="144"/>
      <c r="I245" s="144"/>
      <c r="J245" s="144"/>
      <c r="K245" s="144"/>
      <c r="L245" s="144"/>
    </row>
    <row r="246" spans="4:12" x14ac:dyDescent="0.15">
      <c r="D246" s="144"/>
      <c r="E246" s="144"/>
      <c r="F246" s="144"/>
      <c r="G246" s="144"/>
      <c r="H246" s="144"/>
      <c r="I246" s="144"/>
      <c r="J246" s="144"/>
      <c r="K246" s="144"/>
      <c r="L246" s="144"/>
    </row>
    <row r="247" spans="4:12" x14ac:dyDescent="0.15">
      <c r="D247" s="144"/>
      <c r="E247" s="144"/>
      <c r="F247" s="144"/>
      <c r="G247" s="144"/>
      <c r="H247" s="144"/>
      <c r="I247" s="144"/>
      <c r="J247" s="144"/>
      <c r="K247" s="144"/>
      <c r="L247" s="144"/>
    </row>
    <row r="248" spans="4:12" x14ac:dyDescent="0.15">
      <c r="D248" s="144"/>
      <c r="E248" s="144"/>
      <c r="F248" s="144"/>
      <c r="G248" s="144"/>
      <c r="H248" s="144"/>
      <c r="I248" s="144"/>
      <c r="J248" s="144"/>
      <c r="K248" s="144"/>
      <c r="L248" s="144"/>
    </row>
    <row r="249" spans="4:12" x14ac:dyDescent="0.15">
      <c r="D249" s="144"/>
      <c r="E249" s="144"/>
      <c r="F249" s="144"/>
      <c r="G249" s="144"/>
      <c r="H249" s="144"/>
      <c r="I249" s="144"/>
      <c r="J249" s="144"/>
      <c r="K249" s="144"/>
      <c r="L249" s="144"/>
    </row>
    <row r="250" spans="4:12" x14ac:dyDescent="0.15">
      <c r="D250" s="144"/>
      <c r="E250" s="144"/>
      <c r="F250" s="144"/>
      <c r="G250" s="144"/>
      <c r="H250" s="144"/>
      <c r="I250" s="144"/>
      <c r="J250" s="144"/>
      <c r="K250" s="144"/>
      <c r="L250" s="144"/>
    </row>
    <row r="251" spans="4:12" x14ac:dyDescent="0.15">
      <c r="D251" s="144"/>
      <c r="E251" s="144"/>
      <c r="F251" s="144"/>
      <c r="G251" s="144"/>
      <c r="H251" s="144"/>
      <c r="I251" s="144"/>
      <c r="J251" s="144"/>
      <c r="K251" s="144"/>
      <c r="L251" s="144"/>
    </row>
    <row r="252" spans="4:12" x14ac:dyDescent="0.15">
      <c r="D252" s="144"/>
      <c r="E252" s="144"/>
      <c r="F252" s="144"/>
      <c r="G252" s="144"/>
      <c r="H252" s="144"/>
      <c r="I252" s="144"/>
      <c r="J252" s="144"/>
      <c r="K252" s="144"/>
      <c r="L252" s="144"/>
    </row>
    <row r="253" spans="4:12" x14ac:dyDescent="0.15">
      <c r="D253" s="77"/>
      <c r="E253" s="77"/>
      <c r="F253" s="144"/>
      <c r="G253" s="77"/>
      <c r="H253" s="77"/>
      <c r="I253" s="77"/>
      <c r="J253" s="77"/>
      <c r="K253" s="77"/>
      <c r="L253" s="77"/>
    </row>
  </sheetData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:M269"/>
  <sheetViews>
    <sheetView showGridLines="0" topLeftCell="A11" zoomScale="137" zoomScaleNormal="85" workbookViewId="0">
      <pane xSplit="3" topLeftCell="E1" activePane="topRight" state="frozen"/>
      <selection activeCell="A7" sqref="A7"/>
      <selection pane="topRight" activeCell="G26" sqref="G26"/>
    </sheetView>
  </sheetViews>
  <sheetFormatPr baseColWidth="10" defaultColWidth="8.6640625" defaultRowHeight="13" x14ac:dyDescent="0.15"/>
  <cols>
    <col min="1" max="2" width="1.6640625" style="35" customWidth="1"/>
    <col min="3" max="12" width="25.6640625" style="35" customWidth="1"/>
    <col min="13" max="13" width="20.6640625" style="35" customWidth="1"/>
    <col min="14" max="29" width="13" style="35" customWidth="1"/>
    <col min="30" max="16384" width="8.6640625" style="35"/>
  </cols>
  <sheetData>
    <row r="2" spans="1:13" ht="15.75" customHeight="1" x14ac:dyDescent="0.2">
      <c r="B2" s="36"/>
      <c r="C2" s="2" t="s">
        <v>151</v>
      </c>
    </row>
    <row r="3" spans="1:13" ht="15.75" customHeight="1" x14ac:dyDescent="0.15">
      <c r="C3" s="3" t="s">
        <v>128</v>
      </c>
    </row>
    <row r="5" spans="1:13" ht="15" customHeight="1" x14ac:dyDescent="0.15">
      <c r="A5" s="35" t="s">
        <v>112</v>
      </c>
      <c r="C5" s="24" t="s">
        <v>6</v>
      </c>
      <c r="D5" s="24"/>
      <c r="E5" s="24"/>
      <c r="F5" s="24"/>
      <c r="G5" s="24"/>
      <c r="H5" s="24"/>
      <c r="I5" s="36"/>
      <c r="J5" s="36"/>
      <c r="K5" s="36"/>
      <c r="L5" s="36"/>
      <c r="M5" s="36"/>
    </row>
    <row r="6" spans="1:13" ht="15" customHeight="1" x14ac:dyDescent="0.15">
      <c r="C6" s="28"/>
      <c r="D6" s="28"/>
      <c r="E6" s="28"/>
      <c r="F6" s="28"/>
      <c r="G6" s="28"/>
      <c r="H6" s="28"/>
    </row>
    <row r="7" spans="1:13" ht="15" customHeight="1" x14ac:dyDescent="0.15">
      <c r="C7" s="38" t="s">
        <v>142</v>
      </c>
      <c r="D7" s="28"/>
      <c r="E7" s="28"/>
      <c r="F7" s="28"/>
      <c r="G7" s="28"/>
      <c r="H7" s="28"/>
    </row>
    <row r="8" spans="1:13" ht="15" customHeight="1" x14ac:dyDescent="0.15">
      <c r="C8" s="46" t="s">
        <v>137</v>
      </c>
      <c r="D8" s="159" t="b">
        <v>0</v>
      </c>
      <c r="E8" s="28"/>
      <c r="F8" s="28"/>
      <c r="G8" s="28"/>
      <c r="H8" s="28"/>
    </row>
    <row r="9" spans="1:13" ht="15" customHeight="1" x14ac:dyDescent="0.15">
      <c r="C9" s="46" t="s">
        <v>111</v>
      </c>
      <c r="D9" s="160">
        <v>2</v>
      </c>
      <c r="E9" s="47"/>
      <c r="F9" s="28"/>
      <c r="G9" s="28"/>
      <c r="H9" s="28"/>
    </row>
    <row r="10" spans="1:13" ht="15" customHeight="1" x14ac:dyDescent="0.15">
      <c r="C10" s="50" t="s">
        <v>143</v>
      </c>
      <c r="D10" s="49" t="str">
        <f ca="1">OFFSET(C13, 0, D9)</f>
        <v>Transformative-a</v>
      </c>
      <c r="E10" s="47"/>
      <c r="F10" s="28"/>
      <c r="G10" s="28"/>
      <c r="H10" s="28"/>
    </row>
    <row r="11" spans="1:13" ht="15" customHeight="1" x14ac:dyDescent="0.15">
      <c r="C11" s="46"/>
      <c r="D11" s="48"/>
      <c r="E11" s="47"/>
      <c r="F11" s="28"/>
      <c r="G11" s="28"/>
      <c r="H11" s="28"/>
    </row>
    <row r="12" spans="1:13" ht="15" customHeight="1" x14ac:dyDescent="0.15">
      <c r="C12" s="44" t="s">
        <v>141</v>
      </c>
      <c r="D12" s="7"/>
    </row>
    <row r="13" spans="1:13" ht="15" customHeight="1" x14ac:dyDescent="0.15">
      <c r="C13" s="51" t="s">
        <v>106</v>
      </c>
      <c r="D13" s="52" t="s">
        <v>107</v>
      </c>
      <c r="E13" s="52" t="s">
        <v>108</v>
      </c>
      <c r="F13" s="52" t="s">
        <v>109</v>
      </c>
      <c r="G13" s="52" t="s">
        <v>110</v>
      </c>
    </row>
    <row r="14" spans="1:13" ht="15" customHeight="1" x14ac:dyDescent="0.15">
      <c r="C14" s="6">
        <v>2029</v>
      </c>
      <c r="D14" s="147" t="b">
        <f>FALSE</f>
        <v>0</v>
      </c>
      <c r="E14" s="148" t="b">
        <f>TRUE</f>
        <v>1</v>
      </c>
      <c r="F14" s="148" t="b">
        <f>FALSE</f>
        <v>0</v>
      </c>
      <c r="G14" s="148" t="b">
        <f>TRUE</f>
        <v>1</v>
      </c>
    </row>
    <row r="15" spans="1:13" ht="15" customHeight="1" x14ac:dyDescent="0.15">
      <c r="C15" s="6">
        <v>2030</v>
      </c>
      <c r="D15" s="147" t="b">
        <f>FALSE</f>
        <v>0</v>
      </c>
      <c r="E15" s="148" t="b">
        <f>FALSE</f>
        <v>0</v>
      </c>
      <c r="F15" s="148" t="b">
        <f>TRUE</f>
        <v>1</v>
      </c>
      <c r="G15" s="148" t="b">
        <f>TRUE</f>
        <v>1</v>
      </c>
    </row>
    <row r="16" spans="1:13" ht="15" customHeight="1" x14ac:dyDescent="0.15">
      <c r="C16" s="5"/>
      <c r="D16" s="7"/>
    </row>
    <row r="17" spans="1:13" ht="15" customHeight="1" x14ac:dyDescent="0.15">
      <c r="A17" s="35" t="s">
        <v>112</v>
      </c>
      <c r="C17" s="24" t="s">
        <v>152</v>
      </c>
      <c r="D17" s="24"/>
      <c r="E17" s="24"/>
      <c r="F17" s="24"/>
      <c r="G17" s="24"/>
      <c r="H17" s="24"/>
      <c r="I17" s="36"/>
      <c r="J17" s="36"/>
      <c r="K17" s="36"/>
      <c r="L17" s="36"/>
      <c r="M17" s="36"/>
    </row>
    <row r="18" spans="1:13" ht="15" customHeight="1" x14ac:dyDescent="0.15">
      <c r="C18" s="28"/>
      <c r="D18" s="28"/>
      <c r="E18" s="28"/>
      <c r="F18" s="28"/>
      <c r="G18" s="28"/>
      <c r="H18" s="28"/>
    </row>
    <row r="19" spans="1:13" ht="15" customHeight="1" x14ac:dyDescent="0.3">
      <c r="C19" s="53" t="s">
        <v>106</v>
      </c>
      <c r="D19" s="19" t="s">
        <v>133</v>
      </c>
      <c r="E19" s="19" t="s">
        <v>134</v>
      </c>
      <c r="F19" s="19" t="s">
        <v>135</v>
      </c>
      <c r="G19" s="19" t="s">
        <v>140</v>
      </c>
      <c r="H19" s="19" t="s">
        <v>145</v>
      </c>
      <c r="I19" s="19" t="s">
        <v>119</v>
      </c>
      <c r="J19" s="19" t="s">
        <v>136</v>
      </c>
      <c r="K19" s="19" t="s">
        <v>148</v>
      </c>
      <c r="L19" s="19" t="s">
        <v>150</v>
      </c>
      <c r="M19" s="19" t="s">
        <v>149</v>
      </c>
    </row>
    <row r="20" spans="1:13" ht="15" customHeight="1" x14ac:dyDescent="0.15">
      <c r="C20" s="6">
        <v>2022</v>
      </c>
      <c r="D20" s="29">
        <f>z0</f>
        <v>815.01116556768739</v>
      </c>
      <c r="E20" s="41">
        <v>0</v>
      </c>
      <c r="F20" s="40">
        <f t="shared" ref="F20:F30" si="0">(1-E20)+E20*exp_xi^(1-alpha)</f>
        <v>1</v>
      </c>
      <c r="G20" s="42">
        <f>K0</f>
        <v>620</v>
      </c>
      <c r="H20" s="54">
        <f t="shared" ref="H20:H30" si="1">D20*(alpha*F20/(r_a+delta_a))^(1/(1-alpha))</f>
        <v>620.00000000000011</v>
      </c>
      <c r="I20" s="55" cm="1">
        <f t="array" ref="I20:I25">TRANSPOSE(CAPEX!D13:I13)</f>
        <v>155</v>
      </c>
      <c r="J20" s="39">
        <f>D20^(1-alpha)*G20^alpha</f>
        <v>744.00000000000045</v>
      </c>
      <c r="K20" s="54">
        <f t="shared" ref="K20:K30" si="2">(J20+Yn0)/1000</f>
        <v>24.000000000000011</v>
      </c>
      <c r="M20" s="77">
        <f>J20/(K20*1000)</f>
        <v>3.1000000000000003E-2</v>
      </c>
    </row>
    <row r="21" spans="1:13" ht="15" customHeight="1" x14ac:dyDescent="0.15">
      <c r="C21" s="6">
        <v>2023</v>
      </c>
      <c r="D21" s="29">
        <f>D20</f>
        <v>815.01116556768739</v>
      </c>
      <c r="E21" s="41">
        <v>0</v>
      </c>
      <c r="F21" s="40">
        <f t="shared" si="0"/>
        <v>1</v>
      </c>
      <c r="G21" s="42">
        <f t="shared" ref="G21:G30" si="3">G20*(1-delta_a)+I20</f>
        <v>620</v>
      </c>
      <c r="H21" s="54">
        <f t="shared" si="1"/>
        <v>620.00000000000011</v>
      </c>
      <c r="I21" s="55">
        <v>150</v>
      </c>
      <c r="J21" s="39">
        <f t="shared" ref="J21:J30" si="4">D21^(1-alpha)*G21^alpha</f>
        <v>744.00000000000045</v>
      </c>
      <c r="K21" s="54">
        <f t="shared" si="2"/>
        <v>24.000000000000011</v>
      </c>
      <c r="L21" s="76">
        <f t="shared" ref="L21:L30" si="5">K21/(GDP_0/1000) - 1</f>
        <v>0</v>
      </c>
      <c r="M21" s="77">
        <f t="shared" ref="M21:M30" si="6">J21/(K21*1000)</f>
        <v>3.1000000000000003E-2</v>
      </c>
    </row>
    <row r="22" spans="1:13" ht="15" customHeight="1" x14ac:dyDescent="0.15">
      <c r="C22" s="6">
        <v>2024</v>
      </c>
      <c r="D22" s="29">
        <f>D21 * exp_xi</f>
        <v>2191.1406174755248</v>
      </c>
      <c r="E22" s="41">
        <v>0</v>
      </c>
      <c r="F22" s="40">
        <f t="shared" si="0"/>
        <v>1</v>
      </c>
      <c r="G22" s="42">
        <f t="shared" si="3"/>
        <v>615</v>
      </c>
      <c r="H22" s="54">
        <f t="shared" si="1"/>
        <v>1666.8571428571433</v>
      </c>
      <c r="I22" s="55">
        <v>226</v>
      </c>
      <c r="J22" s="39">
        <f>D22^(1-alpha)*G22^alpha</f>
        <v>1434.625474406887</v>
      </c>
      <c r="K22" s="54">
        <f t="shared" si="2"/>
        <v>24.690625474406897</v>
      </c>
      <c r="L22" s="76">
        <f t="shared" si="5"/>
        <v>2.8776061433620326E-2</v>
      </c>
      <c r="M22" s="77">
        <f t="shared" si="6"/>
        <v>5.8104055561247328E-2</v>
      </c>
    </row>
    <row r="23" spans="1:13" ht="15" customHeight="1" x14ac:dyDescent="0.15">
      <c r="C23" s="6">
        <v>2025</v>
      </c>
      <c r="D23" s="29">
        <f t="shared" ref="D23" si="7">D22</f>
        <v>2191.1406174755248</v>
      </c>
      <c r="E23" s="41">
        <v>0</v>
      </c>
      <c r="F23" s="40">
        <f t="shared" si="0"/>
        <v>1</v>
      </c>
      <c r="G23" s="42">
        <f t="shared" si="3"/>
        <v>687.25</v>
      </c>
      <c r="H23" s="54">
        <f t="shared" si="1"/>
        <v>1666.8571428571433</v>
      </c>
      <c r="I23" s="55">
        <v>381</v>
      </c>
      <c r="J23" s="39">
        <f t="shared" si="4"/>
        <v>1488.7384866888517</v>
      </c>
      <c r="K23" s="54">
        <f t="shared" si="2"/>
        <v>24.744738486688863</v>
      </c>
      <c r="L23" s="76">
        <f t="shared" si="5"/>
        <v>3.1030770278702269E-2</v>
      </c>
      <c r="M23" s="77">
        <f t="shared" si="6"/>
        <v>6.0163839981162086E-2</v>
      </c>
    </row>
    <row r="24" spans="1:13" ht="15" customHeight="1" x14ac:dyDescent="0.15">
      <c r="C24" s="6">
        <v>2026</v>
      </c>
      <c r="D24" s="29">
        <f>D23</f>
        <v>2191.1406174755248</v>
      </c>
      <c r="E24" s="41">
        <v>0</v>
      </c>
      <c r="F24" s="40">
        <f t="shared" si="0"/>
        <v>1</v>
      </c>
      <c r="G24" s="42">
        <f t="shared" si="3"/>
        <v>896.4375</v>
      </c>
      <c r="H24" s="54">
        <f t="shared" si="1"/>
        <v>1666.8571428571433</v>
      </c>
      <c r="I24" s="55">
        <v>755</v>
      </c>
      <c r="J24" s="39">
        <f t="shared" si="4"/>
        <v>1626.6227357450693</v>
      </c>
      <c r="K24" s="54">
        <f t="shared" si="2"/>
        <v>24.88262273574508</v>
      </c>
      <c r="L24" s="76">
        <f t="shared" si="5"/>
        <v>3.6775947322711167E-2</v>
      </c>
      <c r="M24" s="77">
        <f t="shared" si="6"/>
        <v>6.5371836121131552E-2</v>
      </c>
    </row>
    <row r="25" spans="1:13" ht="15" customHeight="1" x14ac:dyDescent="0.15">
      <c r="C25" s="6">
        <v>2027</v>
      </c>
      <c r="D25" s="29">
        <f>D24</f>
        <v>2191.1406174755248</v>
      </c>
      <c r="E25" s="41">
        <v>0</v>
      </c>
      <c r="F25" s="40">
        <f t="shared" si="0"/>
        <v>1</v>
      </c>
      <c r="G25" s="42">
        <f t="shared" si="3"/>
        <v>1427.328125</v>
      </c>
      <c r="H25" s="54">
        <f>D25*(alpha*F25/(r_a+delta_a))^(1/(1-alpha))</f>
        <v>1666.8571428571433</v>
      </c>
      <c r="I25" s="55">
        <v>1090</v>
      </c>
      <c r="J25" s="39">
        <f t="shared" si="4"/>
        <v>1899.4218991312639</v>
      </c>
      <c r="K25" s="54">
        <f t="shared" si="2"/>
        <v>25.155421899131273</v>
      </c>
      <c r="L25" s="76">
        <f t="shared" si="5"/>
        <v>4.8142579130469265E-2</v>
      </c>
      <c r="M25" s="77">
        <f t="shared" si="6"/>
        <v>7.55074554800792E-2</v>
      </c>
    </row>
    <row r="26" spans="1:13" ht="15" customHeight="1" x14ac:dyDescent="0.15">
      <c r="C26" s="6">
        <v>2028</v>
      </c>
      <c r="D26" s="16">
        <f>D25</f>
        <v>2191.1406174755248</v>
      </c>
      <c r="E26" s="40">
        <f>p_max</f>
        <v>0.5</v>
      </c>
      <c r="F26" s="40">
        <f t="shared" si="0"/>
        <v>1.4667357926144935</v>
      </c>
      <c r="G26" s="42">
        <f t="shared" si="3"/>
        <v>2160.49609375</v>
      </c>
      <c r="H26" s="54">
        <f t="shared" si="1"/>
        <v>2960.916878615596</v>
      </c>
      <c r="I26" s="54">
        <f>IF($D$8, delta_a * G26 + (1/theta_a) * (H26-G26), H26-G26*(1-delta_a))</f>
        <v>1340.544808303096</v>
      </c>
      <c r="J26" s="39">
        <f t="shared" si="4"/>
        <v>2180.8777823519736</v>
      </c>
      <c r="K26" s="54">
        <f t="shared" si="2"/>
        <v>25.436877782351985</v>
      </c>
      <c r="L26" s="76">
        <f t="shared" si="5"/>
        <v>5.9869907597998928E-2</v>
      </c>
      <c r="M26" s="77">
        <f t="shared" si="6"/>
        <v>8.5736850293201425E-2</v>
      </c>
    </row>
    <row r="27" spans="1:13" ht="15" customHeight="1" x14ac:dyDescent="0.15">
      <c r="C27" s="6">
        <v>2029</v>
      </c>
      <c r="D27" s="16">
        <f ca="1">IF(OFFSET(C14, 0, $D$9),D26*exp_xi, D26)</f>
        <v>5890.8361116830465</v>
      </c>
      <c r="E27" s="40">
        <f>p_max</f>
        <v>0.5</v>
      </c>
      <c r="F27" s="40">
        <f t="shared" si="0"/>
        <v>1.4667357926144935</v>
      </c>
      <c r="G27" s="42">
        <f t="shared" si="3"/>
        <v>2960.916878615596</v>
      </c>
      <c r="H27" s="54">
        <f t="shared" ca="1" si="1"/>
        <v>7960.3636266559379</v>
      </c>
      <c r="I27" s="54">
        <f ca="1">IF($D$8, delta_a * G27 + (1/theta_a) * (H27-G27), H27-G27*(1-delta_a))</f>
        <v>5739.6759676942411</v>
      </c>
      <c r="J27" s="39">
        <f t="shared" ca="1" si="4"/>
        <v>4683.7463269292493</v>
      </c>
      <c r="K27" s="54">
        <f t="shared" ca="1" si="2"/>
        <v>27.93974632692926</v>
      </c>
      <c r="L27" s="76">
        <f t="shared" ca="1" si="5"/>
        <v>0.16415609695538524</v>
      </c>
      <c r="M27" s="77">
        <f t="shared" ca="1" si="6"/>
        <v>0.16763739627853738</v>
      </c>
    </row>
    <row r="28" spans="1:13" ht="15" customHeight="1" x14ac:dyDescent="0.15">
      <c r="C28" s="6">
        <v>2030</v>
      </c>
      <c r="D28" s="16">
        <f ca="1">IF(OFFSET(C15, 0, $D$9),D27*exp_xi, D27)</f>
        <v>5890.8361116830465</v>
      </c>
      <c r="E28" s="40">
        <f>p_star</f>
        <v>3.9325327510917031E-2</v>
      </c>
      <c r="F28" s="40">
        <f t="shared" si="0"/>
        <v>1.0367090758112649</v>
      </c>
      <c r="G28" s="42">
        <f t="shared" ca="1" si="3"/>
        <v>7960.3636266559379</v>
      </c>
      <c r="H28" s="54">
        <f t="shared" ca="1" si="1"/>
        <v>4730.3189219335654</v>
      </c>
      <c r="I28" s="54">
        <f ca="1">IF($D$8, delta_a * G28 + (1/theta_a) * (H28-G28), H28-G28*(1-delta_a))</f>
        <v>-1239.9537980583882</v>
      </c>
      <c r="J28" s="39">
        <f t="shared" ca="1" si="4"/>
        <v>6512.7178324050265</v>
      </c>
      <c r="K28" s="54">
        <f t="shared" ca="1" si="2"/>
        <v>29.768717832405038</v>
      </c>
      <c r="L28" s="76">
        <f t="shared" ca="1" si="5"/>
        <v>0.24036324301687606</v>
      </c>
      <c r="M28" s="77">
        <f t="shared" ca="1" si="6"/>
        <v>0.21877723686559125</v>
      </c>
    </row>
    <row r="29" spans="1:13" ht="15" customHeight="1" x14ac:dyDescent="0.15">
      <c r="C29" s="6">
        <v>2031</v>
      </c>
      <c r="D29" s="16">
        <f ca="1">D28</f>
        <v>5890.8361116830465</v>
      </c>
      <c r="E29" s="40">
        <f>p_star</f>
        <v>3.9325327510917031E-2</v>
      </c>
      <c r="F29" s="40">
        <f t="shared" si="0"/>
        <v>1.0367090758112649</v>
      </c>
      <c r="G29" s="42">
        <f t="shared" ca="1" si="3"/>
        <v>4730.3189219335654</v>
      </c>
      <c r="H29" s="54">
        <f t="shared" ca="1" si="1"/>
        <v>4730.3189219335654</v>
      </c>
      <c r="I29" s="54">
        <f ca="1">IF($D$8, delta_a * G29 + (1/theta_a) * (H29-G29), H29-G29*(1-delta_a))</f>
        <v>1182.5797304833914</v>
      </c>
      <c r="J29" s="39">
        <f t="shared" ca="1" si="4"/>
        <v>5475.3863342792611</v>
      </c>
      <c r="K29" s="54">
        <f t="shared" ca="1" si="2"/>
        <v>28.731386334279271</v>
      </c>
      <c r="L29" s="76">
        <f t="shared" ca="1" si="5"/>
        <v>0.19714109726163587</v>
      </c>
      <c r="M29" s="77">
        <f t="shared" ca="1" si="6"/>
        <v>0.19057160244810761</v>
      </c>
    </row>
    <row r="30" spans="1:13" ht="15" customHeight="1" x14ac:dyDescent="0.15">
      <c r="C30" s="6">
        <v>2032</v>
      </c>
      <c r="D30" s="16">
        <f ca="1">D29</f>
        <v>5890.8361116830465</v>
      </c>
      <c r="E30" s="40">
        <f>p_star</f>
        <v>3.9325327510917031E-2</v>
      </c>
      <c r="F30" s="40">
        <f t="shared" si="0"/>
        <v>1.0367090758112649</v>
      </c>
      <c r="G30" s="42">
        <f t="shared" ca="1" si="3"/>
        <v>4730.3189219335654</v>
      </c>
      <c r="H30" s="54">
        <f t="shared" ca="1" si="1"/>
        <v>4730.3189219335654</v>
      </c>
      <c r="I30" s="54">
        <f ca="1">IF($D$8, delta_a * G30 + (1/theta_a) * (H30-G30), H30-G30*(1-delta_a))</f>
        <v>1182.5797304833914</v>
      </c>
      <c r="J30" s="39">
        <f t="shared" ca="1" si="4"/>
        <v>5475.3863342792611</v>
      </c>
      <c r="K30" s="54">
        <f t="shared" ca="1" si="2"/>
        <v>28.731386334279271</v>
      </c>
      <c r="L30" s="76">
        <f t="shared" ca="1" si="5"/>
        <v>0.19714109726163587</v>
      </c>
      <c r="M30" s="77">
        <f t="shared" ca="1" si="6"/>
        <v>0.19057160244810761</v>
      </c>
    </row>
    <row r="32" spans="1:13" ht="15" customHeight="1" x14ac:dyDescent="0.15">
      <c r="A32" s="35" t="s">
        <v>112</v>
      </c>
      <c r="C32" s="24" t="s">
        <v>156</v>
      </c>
      <c r="D32" s="24"/>
      <c r="E32" s="24"/>
      <c r="F32" s="24"/>
      <c r="G32" s="24"/>
      <c r="H32" s="24"/>
      <c r="I32" s="36"/>
      <c r="J32" s="36"/>
      <c r="K32" s="36"/>
      <c r="L32" s="36"/>
      <c r="M32" s="36"/>
    </row>
    <row r="33" spans="1:13" ht="15" customHeight="1" x14ac:dyDescent="0.3">
      <c r="C33" s="78" t="s">
        <v>157</v>
      </c>
      <c r="D33" s="19"/>
      <c r="E33" s="19"/>
      <c r="F33" s="19"/>
      <c r="G33" s="19"/>
    </row>
    <row r="34" spans="1:13" s="79" customFormat="1" ht="15" customHeight="1" x14ac:dyDescent="0.15">
      <c r="A34" s="79" t="s">
        <v>112</v>
      </c>
      <c r="C34" s="80" t="s">
        <v>153</v>
      </c>
    </row>
    <row r="35" spans="1:13" s="79" customFormat="1" ht="15" customHeight="1" x14ac:dyDescent="0.3">
      <c r="C35" s="53" t="s">
        <v>106</v>
      </c>
      <c r="D35" s="19" t="s">
        <v>308</v>
      </c>
      <c r="E35" s="19" t="s">
        <v>309</v>
      </c>
      <c r="F35" s="19" t="s">
        <v>310</v>
      </c>
      <c r="G35" s="19" t="s">
        <v>311</v>
      </c>
      <c r="H35" s="53" t="s">
        <v>312</v>
      </c>
      <c r="I35" s="53" t="s">
        <v>313</v>
      </c>
      <c r="J35" s="53" t="s">
        <v>314</v>
      </c>
      <c r="K35" s="53" t="s">
        <v>315</v>
      </c>
    </row>
    <row r="36" spans="1:13" s="79" customFormat="1" ht="15" customHeight="1" x14ac:dyDescent="0.15">
      <c r="C36" s="82">
        <v>2022</v>
      </c>
      <c r="D36" s="83">
        <v>155</v>
      </c>
      <c r="E36" s="83">
        <v>155</v>
      </c>
      <c r="F36" s="83">
        <v>155</v>
      </c>
      <c r="G36" s="83">
        <v>155</v>
      </c>
      <c r="H36" s="84">
        <v>155</v>
      </c>
      <c r="I36" s="84">
        <v>155</v>
      </c>
      <c r="J36" s="84">
        <v>155</v>
      </c>
      <c r="K36" s="84">
        <v>155</v>
      </c>
      <c r="L36" s="79">
        <v>1649.2708275730849</v>
      </c>
      <c r="M36" s="79">
        <v>24.905270827573094</v>
      </c>
    </row>
    <row r="37" spans="1:13" s="79" customFormat="1" ht="15" customHeight="1" x14ac:dyDescent="0.15">
      <c r="C37" s="82">
        <v>2023</v>
      </c>
      <c r="D37" s="84">
        <v>150</v>
      </c>
      <c r="E37" s="84">
        <v>150</v>
      </c>
      <c r="F37" s="84">
        <v>150</v>
      </c>
      <c r="G37" s="84">
        <v>150</v>
      </c>
      <c r="H37" s="84">
        <v>150</v>
      </c>
      <c r="I37" s="84">
        <v>150</v>
      </c>
      <c r="J37" s="84">
        <v>150</v>
      </c>
      <c r="K37" s="84">
        <v>150</v>
      </c>
      <c r="L37" s="79">
        <v>1925.8682782739754</v>
      </c>
      <c r="M37" s="79">
        <v>25.181868278273985</v>
      </c>
    </row>
    <row r="38" spans="1:13" s="79" customFormat="1" ht="15" customHeight="1" x14ac:dyDescent="0.15">
      <c r="C38" s="82">
        <v>2024</v>
      </c>
      <c r="D38" s="84">
        <v>226</v>
      </c>
      <c r="E38" s="84">
        <v>226</v>
      </c>
      <c r="F38" s="84">
        <v>226</v>
      </c>
      <c r="G38" s="84">
        <v>226</v>
      </c>
      <c r="H38" s="84">
        <v>226</v>
      </c>
      <c r="I38" s="84">
        <v>226</v>
      </c>
      <c r="J38" s="84">
        <v>226</v>
      </c>
      <c r="K38" s="84">
        <v>226</v>
      </c>
      <c r="L38" s="79">
        <v>2042.148571428573</v>
      </c>
      <c r="M38" s="79">
        <v>25.298148571428584</v>
      </c>
    </row>
    <row r="39" spans="1:13" s="79" customFormat="1" x14ac:dyDescent="0.15">
      <c r="C39" s="82">
        <v>2025</v>
      </c>
      <c r="D39" s="84">
        <v>381</v>
      </c>
      <c r="E39" s="84">
        <v>381</v>
      </c>
      <c r="F39" s="84">
        <v>381</v>
      </c>
      <c r="G39" s="84">
        <v>381</v>
      </c>
      <c r="H39" s="84">
        <v>381</v>
      </c>
      <c r="I39" s="84">
        <v>381</v>
      </c>
      <c r="J39" s="84">
        <v>381</v>
      </c>
      <c r="K39" s="84">
        <v>381</v>
      </c>
      <c r="L39" s="79">
        <v>2209.7375744218853</v>
      </c>
      <c r="M39" s="79">
        <v>25.465737574421894</v>
      </c>
    </row>
    <row r="40" spans="1:13" s="79" customFormat="1" ht="15" customHeight="1" x14ac:dyDescent="0.15">
      <c r="C40" s="82">
        <v>2026</v>
      </c>
      <c r="D40" s="84">
        <v>755</v>
      </c>
      <c r="E40" s="84">
        <v>755</v>
      </c>
      <c r="F40" s="84">
        <v>755</v>
      </c>
      <c r="G40" s="84">
        <v>755</v>
      </c>
      <c r="H40" s="84">
        <v>755</v>
      </c>
      <c r="I40" s="84">
        <v>755</v>
      </c>
      <c r="J40" s="84">
        <v>755</v>
      </c>
      <c r="K40" s="84">
        <v>755</v>
      </c>
      <c r="L40" s="79">
        <v>4525.9682580994686</v>
      </c>
      <c r="M40" s="79">
        <v>27.781968258099479</v>
      </c>
    </row>
    <row r="41" spans="1:13" s="79" customFormat="1" x14ac:dyDescent="0.15">
      <c r="C41" s="82">
        <v>2027</v>
      </c>
      <c r="D41" s="84">
        <v>1090</v>
      </c>
      <c r="E41" s="84">
        <v>1090</v>
      </c>
      <c r="F41" s="84">
        <v>1090</v>
      </c>
      <c r="G41" s="84">
        <v>1090</v>
      </c>
      <c r="H41" s="83">
        <v>1090</v>
      </c>
      <c r="I41" s="83">
        <v>1090</v>
      </c>
      <c r="J41" s="84">
        <v>1090</v>
      </c>
      <c r="K41" s="84">
        <v>1090</v>
      </c>
      <c r="L41" s="79">
        <v>4983.4335035586773</v>
      </c>
      <c r="M41" s="79">
        <v>28.23943350355869</v>
      </c>
    </row>
    <row r="42" spans="1:13" s="79" customFormat="1" ht="15" customHeight="1" x14ac:dyDescent="0.15">
      <c r="C42" s="82">
        <v>2028</v>
      </c>
      <c r="D42" s="84">
        <v>1710.7740214727385</v>
      </c>
      <c r="E42" s="84">
        <v>1710.7740214727385</v>
      </c>
      <c r="F42" s="84">
        <v>1710.7740214727385</v>
      </c>
      <c r="G42" s="84">
        <v>1710.7740214727385</v>
      </c>
      <c r="H42" s="84">
        <v>848.06753096710338</v>
      </c>
      <c r="I42" s="84">
        <v>848.06753096710338</v>
      </c>
      <c r="J42" s="84">
        <v>848.06753096710338</v>
      </c>
      <c r="K42" s="84">
        <v>848.06753096710338</v>
      </c>
    </row>
    <row r="43" spans="1:13" s="79" customFormat="1" ht="15" customHeight="1" x14ac:dyDescent="0.15">
      <c r="C43" s="82">
        <v>2029</v>
      </c>
      <c r="D43" s="84">
        <v>740.22921965389924</v>
      </c>
      <c r="E43" s="84">
        <v>5739.6759676942411</v>
      </c>
      <c r="F43" s="84">
        <v>740.22921965389924</v>
      </c>
      <c r="G43" s="84">
        <v>5739.6759676942411</v>
      </c>
      <c r="H43" s="84">
        <v>812.12142719603526</v>
      </c>
      <c r="I43" s="84">
        <v>2478.6036765428157</v>
      </c>
      <c r="J43" s="84">
        <v>812.12142719603526</v>
      </c>
      <c r="K43" s="84">
        <v>2478.6036765428157</v>
      </c>
    </row>
    <row r="44" spans="1:13" s="79" customFormat="1" ht="15" customHeight="1" x14ac:dyDescent="0.15">
      <c r="C44" s="82">
        <v>2030</v>
      </c>
      <c r="D44" s="84">
        <v>-461.21010315164585</v>
      </c>
      <c r="E44" s="84">
        <v>-1239.9537980583882</v>
      </c>
      <c r="F44" s="84">
        <v>2509.6312629718686</v>
      </c>
      <c r="G44" s="84">
        <v>6747.0916074552442</v>
      </c>
      <c r="H44" s="84">
        <v>387.67758374680818</v>
      </c>
      <c r="I44" s="84">
        <v>1239.0845183424146</v>
      </c>
      <c r="J44" s="84">
        <v>1377.958039121313</v>
      </c>
      <c r="K44" s="84">
        <v>3901.4329868469586</v>
      </c>
    </row>
    <row r="45" spans="1:13" s="79" customFormat="1" ht="15" customHeight="1" x14ac:dyDescent="0.15">
      <c r="C45" s="82">
        <v>2031</v>
      </c>
      <c r="D45" s="84">
        <v>439.86938895251274</v>
      </c>
      <c r="E45" s="84">
        <v>1182.5797304833914</v>
      </c>
      <c r="F45" s="84">
        <v>1182.5797304833914</v>
      </c>
      <c r="G45" s="84">
        <v>3179.3410818617995</v>
      </c>
      <c r="H45" s="84">
        <v>405.07485214870968</v>
      </c>
      <c r="I45" s="84">
        <v>1220.2495890560735</v>
      </c>
      <c r="J45" s="84">
        <v>1312.8319362420057</v>
      </c>
      <c r="K45" s="84">
        <v>3660.7356851852392</v>
      </c>
    </row>
    <row r="46" spans="1:13" s="79" customFormat="1" ht="15" customHeight="1" x14ac:dyDescent="0.15">
      <c r="C46" s="82">
        <v>2032</v>
      </c>
      <c r="D46" s="84">
        <v>439.86938895251274</v>
      </c>
      <c r="E46" s="84">
        <v>1182.5797304833914</v>
      </c>
      <c r="F46" s="84">
        <v>1182.5797304833914</v>
      </c>
      <c r="G46" s="84">
        <v>3179.3410818617995</v>
      </c>
      <c r="H46" s="84">
        <v>416.67303108331066</v>
      </c>
      <c r="I46" s="84">
        <v>1207.6929695318461</v>
      </c>
      <c r="J46" s="84">
        <v>1269.4145343224677</v>
      </c>
      <c r="K46" s="84">
        <v>3500.2708174107593</v>
      </c>
    </row>
    <row r="47" spans="1:13" s="79" customFormat="1" x14ac:dyDescent="0.15">
      <c r="C47" s="81"/>
    </row>
    <row r="48" spans="1:13" s="79" customFormat="1" x14ac:dyDescent="0.15">
      <c r="C48" s="81"/>
    </row>
    <row r="49" spans="1:11" s="79" customFormat="1" ht="15" customHeight="1" x14ac:dyDescent="0.15">
      <c r="A49" s="79" t="s">
        <v>112</v>
      </c>
      <c r="C49" s="80" t="s">
        <v>154</v>
      </c>
    </row>
    <row r="50" spans="1:11" s="79" customFormat="1" ht="15" customHeight="1" x14ac:dyDescent="0.3">
      <c r="C50" s="53" t="s">
        <v>106</v>
      </c>
      <c r="D50" s="19" t="s">
        <v>308</v>
      </c>
      <c r="E50" s="19" t="s">
        <v>309</v>
      </c>
      <c r="F50" s="19" t="s">
        <v>310</v>
      </c>
      <c r="G50" s="19" t="s">
        <v>311</v>
      </c>
      <c r="H50" s="53" t="s">
        <v>312</v>
      </c>
      <c r="I50" s="53" t="s">
        <v>313</v>
      </c>
      <c r="J50" s="53" t="s">
        <v>314</v>
      </c>
      <c r="K50" s="53" t="s">
        <v>315</v>
      </c>
    </row>
    <row r="51" spans="1:11" s="79" customFormat="1" ht="15" customHeight="1" x14ac:dyDescent="0.15">
      <c r="C51" s="82">
        <v>2022</v>
      </c>
      <c r="D51" s="85"/>
      <c r="E51" s="85"/>
      <c r="F51" s="85"/>
      <c r="G51" s="85"/>
      <c r="H51" s="86"/>
      <c r="I51" s="86"/>
      <c r="J51" s="86"/>
      <c r="K51" s="86"/>
    </row>
    <row r="52" spans="1:11" s="79" customFormat="1" ht="15" customHeight="1" x14ac:dyDescent="0.15">
      <c r="C52" s="82">
        <v>2023</v>
      </c>
      <c r="D52" s="86">
        <v>0</v>
      </c>
      <c r="E52" s="86">
        <v>0</v>
      </c>
      <c r="F52" s="86">
        <v>0</v>
      </c>
      <c r="G52" s="86">
        <v>0</v>
      </c>
      <c r="H52" s="86">
        <v>0</v>
      </c>
      <c r="I52" s="86">
        <v>0</v>
      </c>
      <c r="J52" s="86">
        <v>0</v>
      </c>
      <c r="K52" s="86">
        <v>0</v>
      </c>
    </row>
    <row r="53" spans="1:11" s="79" customFormat="1" ht="15" customHeight="1" x14ac:dyDescent="0.15">
      <c r="C53" s="82">
        <v>2024</v>
      </c>
      <c r="D53" s="86">
        <v>2.8776061433620326E-2</v>
      </c>
      <c r="E53" s="86">
        <v>2.8776061433620326E-2</v>
      </c>
      <c r="F53" s="86">
        <v>2.8776061433620326E-2</v>
      </c>
      <c r="G53" s="86">
        <v>2.8776061433620326E-2</v>
      </c>
      <c r="H53" s="86">
        <v>2.8776061433620326E-2</v>
      </c>
      <c r="I53" s="86">
        <v>2.8776061433620326E-2</v>
      </c>
      <c r="J53" s="86">
        <v>2.8776061433620326E-2</v>
      </c>
      <c r="K53" s="86">
        <v>2.8776061433620326E-2</v>
      </c>
    </row>
    <row r="54" spans="1:11" s="79" customFormat="1" x14ac:dyDescent="0.15">
      <c r="C54" s="82">
        <v>2025</v>
      </c>
      <c r="D54" s="86">
        <v>3.1030770278702269E-2</v>
      </c>
      <c r="E54" s="86">
        <v>3.1030770278702269E-2</v>
      </c>
      <c r="F54" s="86">
        <v>3.1030770278702269E-2</v>
      </c>
      <c r="G54" s="86">
        <v>3.1030770278702269E-2</v>
      </c>
      <c r="H54" s="86">
        <v>3.1030770278702269E-2</v>
      </c>
      <c r="I54" s="86">
        <v>3.1030770278702269E-2</v>
      </c>
      <c r="J54" s="86">
        <v>3.1030770278702269E-2</v>
      </c>
      <c r="K54" s="86">
        <v>3.1030770278702269E-2</v>
      </c>
    </row>
    <row r="55" spans="1:11" s="79" customFormat="1" ht="15" customHeight="1" x14ac:dyDescent="0.15">
      <c r="C55" s="82">
        <v>2026</v>
      </c>
      <c r="D55" s="86">
        <v>3.6775947322711167E-2</v>
      </c>
      <c r="E55" s="86">
        <v>3.6775947322711167E-2</v>
      </c>
      <c r="F55" s="86">
        <v>3.6775947322711167E-2</v>
      </c>
      <c r="G55" s="86">
        <v>3.6775947322711167E-2</v>
      </c>
      <c r="H55" s="86">
        <v>3.6775947322711167E-2</v>
      </c>
      <c r="I55" s="86">
        <v>3.6775947322711167E-2</v>
      </c>
      <c r="J55" s="86">
        <v>3.6775947322711167E-2</v>
      </c>
      <c r="K55" s="86">
        <v>3.6775947322711167E-2</v>
      </c>
    </row>
    <row r="56" spans="1:11" s="79" customFormat="1" x14ac:dyDescent="0.15">
      <c r="C56" s="82">
        <v>2027</v>
      </c>
      <c r="D56" s="86">
        <v>4.8142579130469265E-2</v>
      </c>
      <c r="E56" s="86">
        <v>4.8142579130469265E-2</v>
      </c>
      <c r="F56" s="86">
        <v>4.8142579130469265E-2</v>
      </c>
      <c r="G56" s="86">
        <v>4.8142579130469265E-2</v>
      </c>
      <c r="H56" s="85">
        <v>4.8142579130469265E-2</v>
      </c>
      <c r="I56" s="85">
        <v>4.8142579130469265E-2</v>
      </c>
      <c r="J56" s="86">
        <v>4.8142579130469265E-2</v>
      </c>
      <c r="K56" s="86">
        <v>4.8142579130469265E-2</v>
      </c>
    </row>
    <row r="57" spans="1:11" s="79" customFormat="1" ht="15" customHeight="1" x14ac:dyDescent="0.15">
      <c r="C57" s="82">
        <v>2028</v>
      </c>
      <c r="D57" s="86">
        <v>5.2342857142857246E-2</v>
      </c>
      <c r="E57" s="86">
        <v>5.2342857142857246E-2</v>
      </c>
      <c r="F57" s="86">
        <v>5.2342857142857246E-2</v>
      </c>
      <c r="G57" s="86">
        <v>5.2342857142857246E-2</v>
      </c>
      <c r="H57" s="86">
        <v>5.2342857142857246E-2</v>
      </c>
      <c r="I57" s="86">
        <v>5.2342857142857246E-2</v>
      </c>
      <c r="J57" s="86">
        <v>5.2342857142857246E-2</v>
      </c>
      <c r="K57" s="86">
        <v>5.2342857142857246E-2</v>
      </c>
    </row>
    <row r="58" spans="1:11" s="79" customFormat="1" ht="15" customHeight="1" x14ac:dyDescent="0.15">
      <c r="C58" s="82">
        <v>2029</v>
      </c>
      <c r="D58" s="86">
        <v>6.9935590906174294E-2</v>
      </c>
      <c r="E58" s="86">
        <v>0.16415609695538524</v>
      </c>
      <c r="F58" s="86">
        <v>6.9935590906174294E-2</v>
      </c>
      <c r="G58" s="86">
        <v>0.16415609695538524</v>
      </c>
      <c r="H58" s="86">
        <v>5.8988138675475588E-2</v>
      </c>
      <c r="I58" s="86">
        <v>0.14298950913667774</v>
      </c>
      <c r="J58" s="86">
        <v>5.8988138675475588E-2</v>
      </c>
      <c r="K58" s="86">
        <v>0.14298950913667774</v>
      </c>
    </row>
    <row r="59" spans="1:11" s="79" customFormat="1" ht="15" customHeight="1" x14ac:dyDescent="0.15">
      <c r="C59" s="82">
        <v>2030</v>
      </c>
      <c r="D59" s="86">
        <v>6.9935590906174294E-2</v>
      </c>
      <c r="E59" s="86">
        <v>0.24036324301687606</v>
      </c>
      <c r="F59" s="86">
        <v>0.16415609695538524</v>
      </c>
      <c r="G59" s="86">
        <v>0.49367311964871785</v>
      </c>
      <c r="H59" s="86">
        <v>6.2924525211707882E-2</v>
      </c>
      <c r="I59" s="86">
        <v>0.18567353652827379</v>
      </c>
      <c r="J59" s="86">
        <v>0.15060040065296043</v>
      </c>
      <c r="K59" s="86">
        <v>0.38793212614849182</v>
      </c>
    </row>
    <row r="60" spans="1:11" s="79" customFormat="1" ht="15" customHeight="1" x14ac:dyDescent="0.15">
      <c r="C60" s="82">
        <v>2031</v>
      </c>
      <c r="D60" s="86">
        <v>5.3858790033896042E-2</v>
      </c>
      <c r="E60" s="86">
        <v>0.19714109726163587</v>
      </c>
      <c r="F60" s="86">
        <v>0.19714109726163587</v>
      </c>
      <c r="G60" s="86">
        <v>0.58235260895132823</v>
      </c>
      <c r="H60" s="86">
        <v>6.0100871607313922E-2</v>
      </c>
      <c r="I60" s="86">
        <v>0.18962927658282358</v>
      </c>
      <c r="J60" s="86">
        <v>0.16858877251219262</v>
      </c>
      <c r="K60" s="86">
        <v>0.47023815709428707</v>
      </c>
    </row>
    <row r="61" spans="1:11" s="79" customFormat="1" ht="15" customHeight="1" x14ac:dyDescent="0.15">
      <c r="C61" s="82">
        <v>2032</v>
      </c>
      <c r="D61" s="86">
        <v>5.3858790033896042E-2</v>
      </c>
      <c r="E61" s="86">
        <v>0.19714109726163587</v>
      </c>
      <c r="F61" s="86">
        <v>0.19714109726163587</v>
      </c>
      <c r="G61" s="86">
        <v>0.58235260895132823</v>
      </c>
      <c r="H61" s="86">
        <v>5.8116580805594786E-2</v>
      </c>
      <c r="I61" s="86">
        <v>0.19218960983633826</v>
      </c>
      <c r="J61" s="86">
        <v>0.17898205493881303</v>
      </c>
      <c r="K61" s="86">
        <v>0.51286420505788666</v>
      </c>
    </row>
    <row r="62" spans="1:11" s="79" customFormat="1" ht="15" customHeight="1" x14ac:dyDescent="0.15">
      <c r="C62" s="82"/>
      <c r="D62" s="84"/>
      <c r="E62" s="84"/>
      <c r="F62" s="84"/>
      <c r="G62" s="84"/>
      <c r="H62" s="84"/>
      <c r="I62" s="84"/>
      <c r="J62" s="84"/>
      <c r="K62" s="84"/>
    </row>
    <row r="63" spans="1:11" s="79" customFormat="1" x14ac:dyDescent="0.15"/>
    <row r="64" spans="1:11" s="79" customFormat="1" ht="15" customHeight="1" x14ac:dyDescent="0.15">
      <c r="A64" s="79" t="s">
        <v>112</v>
      </c>
      <c r="C64" s="80" t="s">
        <v>155</v>
      </c>
    </row>
    <row r="65" spans="1:13" s="79" customFormat="1" ht="15" customHeight="1" x14ac:dyDescent="0.3">
      <c r="C65" s="53" t="s">
        <v>106</v>
      </c>
      <c r="D65" s="19" t="s">
        <v>308</v>
      </c>
      <c r="E65" s="19" t="s">
        <v>309</v>
      </c>
      <c r="F65" s="19" t="s">
        <v>310</v>
      </c>
      <c r="G65" s="19" t="s">
        <v>311</v>
      </c>
      <c r="H65" s="53" t="s">
        <v>312</v>
      </c>
      <c r="I65" s="53" t="s">
        <v>313</v>
      </c>
      <c r="J65" s="53" t="s">
        <v>314</v>
      </c>
      <c r="K65" s="53" t="s">
        <v>315</v>
      </c>
    </row>
    <row r="66" spans="1:13" s="79" customFormat="1" ht="15" customHeight="1" x14ac:dyDescent="0.15">
      <c r="C66" s="82">
        <v>2022</v>
      </c>
      <c r="D66" s="85">
        <v>3.1000000000000003E-2</v>
      </c>
      <c r="E66" s="85">
        <v>3.1000000000000003E-2</v>
      </c>
      <c r="F66" s="85">
        <v>3.1000000000000003E-2</v>
      </c>
      <c r="G66" s="85">
        <v>3.1000000000000003E-2</v>
      </c>
      <c r="H66" s="86">
        <v>3.1000000000000003E-2</v>
      </c>
      <c r="I66" s="86">
        <v>3.1000000000000003E-2</v>
      </c>
      <c r="J66" s="86">
        <v>3.1000000000000003E-2</v>
      </c>
      <c r="K66" s="86">
        <v>3.1000000000000003E-2</v>
      </c>
    </row>
    <row r="67" spans="1:13" s="79" customFormat="1" ht="15" customHeight="1" x14ac:dyDescent="0.15">
      <c r="C67" s="82">
        <v>2023</v>
      </c>
      <c r="D67" s="86">
        <v>3.1000000000000003E-2</v>
      </c>
      <c r="E67" s="86">
        <v>3.1000000000000003E-2</v>
      </c>
      <c r="F67" s="86">
        <v>3.1000000000000003E-2</v>
      </c>
      <c r="G67" s="86">
        <v>3.1000000000000003E-2</v>
      </c>
      <c r="H67" s="86">
        <v>3.1000000000000003E-2</v>
      </c>
      <c r="I67" s="86">
        <v>3.1000000000000003E-2</v>
      </c>
      <c r="J67" s="86">
        <v>3.1000000000000003E-2</v>
      </c>
      <c r="K67" s="86">
        <v>3.1000000000000003E-2</v>
      </c>
    </row>
    <row r="68" spans="1:13" s="79" customFormat="1" ht="15" customHeight="1" x14ac:dyDescent="0.15">
      <c r="C68" s="82">
        <v>2024</v>
      </c>
      <c r="D68" s="86">
        <v>5.8104055561247328E-2</v>
      </c>
      <c r="E68" s="86">
        <v>5.8104055561247328E-2</v>
      </c>
      <c r="F68" s="86">
        <v>5.8104055561247328E-2</v>
      </c>
      <c r="G68" s="86">
        <v>5.8104055561247328E-2</v>
      </c>
      <c r="H68" s="86">
        <v>5.8104055561247328E-2</v>
      </c>
      <c r="I68" s="86">
        <v>5.8104055561247328E-2</v>
      </c>
      <c r="J68" s="86">
        <v>5.8104055561247328E-2</v>
      </c>
      <c r="K68" s="86">
        <v>5.8104055561247328E-2</v>
      </c>
    </row>
    <row r="69" spans="1:13" s="79" customFormat="1" x14ac:dyDescent="0.15">
      <c r="C69" s="82">
        <v>2025</v>
      </c>
      <c r="D69" s="86">
        <v>6.0163839981162086E-2</v>
      </c>
      <c r="E69" s="86">
        <v>6.0163839981162086E-2</v>
      </c>
      <c r="F69" s="86">
        <v>6.0163839981162086E-2</v>
      </c>
      <c r="G69" s="86">
        <v>6.0163839981162086E-2</v>
      </c>
      <c r="H69" s="86">
        <v>6.0163839981162086E-2</v>
      </c>
      <c r="I69" s="86">
        <v>6.0163839981162086E-2</v>
      </c>
      <c r="J69" s="86">
        <v>6.0163839981162086E-2</v>
      </c>
      <c r="K69" s="86">
        <v>6.0163839981162086E-2</v>
      </c>
    </row>
    <row r="70" spans="1:13" s="79" customFormat="1" ht="15" customHeight="1" x14ac:dyDescent="0.15">
      <c r="C70" s="82">
        <v>2026</v>
      </c>
      <c r="D70" s="86">
        <v>6.5371836121131552E-2</v>
      </c>
      <c r="E70" s="86">
        <v>6.5371836121131552E-2</v>
      </c>
      <c r="F70" s="86">
        <v>6.5371836121131552E-2</v>
      </c>
      <c r="G70" s="86">
        <v>6.5371836121131552E-2</v>
      </c>
      <c r="H70" s="86">
        <v>6.5371836121131552E-2</v>
      </c>
      <c r="I70" s="86">
        <v>6.5371836121131552E-2</v>
      </c>
      <c r="J70" s="86">
        <v>6.5371836121131552E-2</v>
      </c>
      <c r="K70" s="86">
        <v>6.5371836121131552E-2</v>
      </c>
    </row>
    <row r="71" spans="1:13" s="79" customFormat="1" x14ac:dyDescent="0.15">
      <c r="C71" s="82">
        <v>2027</v>
      </c>
      <c r="D71" s="86">
        <v>7.55074554800792E-2</v>
      </c>
      <c r="E71" s="86">
        <v>7.55074554800792E-2</v>
      </c>
      <c r="F71" s="86">
        <v>7.55074554800792E-2</v>
      </c>
      <c r="G71" s="86">
        <v>7.55074554800792E-2</v>
      </c>
      <c r="H71" s="85">
        <v>7.55074554800792E-2</v>
      </c>
      <c r="I71" s="85">
        <v>7.55074554800792E-2</v>
      </c>
      <c r="J71" s="86">
        <v>7.55074554800792E-2</v>
      </c>
      <c r="K71" s="86">
        <v>7.55074554800792E-2</v>
      </c>
    </row>
    <row r="72" spans="1:13" s="79" customFormat="1" ht="15" customHeight="1" x14ac:dyDescent="0.15">
      <c r="C72" s="82">
        <v>2028</v>
      </c>
      <c r="D72" s="86">
        <v>7.9197437011294544E-2</v>
      </c>
      <c r="E72" s="86">
        <v>7.9197437011294544E-2</v>
      </c>
      <c r="F72" s="86">
        <v>7.9197437011294544E-2</v>
      </c>
      <c r="G72" s="86">
        <v>7.9197437011294544E-2</v>
      </c>
      <c r="H72" s="86">
        <v>7.9197437011294544E-2</v>
      </c>
      <c r="I72" s="86">
        <v>7.9197437011294544E-2</v>
      </c>
      <c r="J72" s="86">
        <v>7.9197437011294544E-2</v>
      </c>
      <c r="K72" s="86">
        <v>7.9197437011294544E-2</v>
      </c>
    </row>
    <row r="73" spans="1:13" s="79" customFormat="1" ht="15" customHeight="1" x14ac:dyDescent="0.15">
      <c r="C73" s="82">
        <v>2029</v>
      </c>
      <c r="D73" s="86">
        <v>9.4338006665137281E-2</v>
      </c>
      <c r="E73" s="86">
        <v>0.16763739627853738</v>
      </c>
      <c r="F73" s="86">
        <v>9.4338006665137281E-2</v>
      </c>
      <c r="G73" s="86">
        <v>0.16763739627853738</v>
      </c>
      <c r="H73" s="86">
        <v>8.4975586967411948E-2</v>
      </c>
      <c r="I73" s="86">
        <v>0.15222318992944681</v>
      </c>
      <c r="J73" s="86">
        <v>8.4975586967411948E-2</v>
      </c>
      <c r="K73" s="86">
        <v>0.15222318992944681</v>
      </c>
    </row>
    <row r="74" spans="1:13" s="79" customFormat="1" ht="15" customHeight="1" x14ac:dyDescent="0.15">
      <c r="C74" s="82">
        <v>2030</v>
      </c>
      <c r="D74" s="86">
        <v>9.4338006665137281E-2</v>
      </c>
      <c r="E74" s="86">
        <v>0.21877723686559125</v>
      </c>
      <c r="F74" s="86">
        <v>0.16763739627853738</v>
      </c>
      <c r="G74" s="86">
        <v>0.35126368195747565</v>
      </c>
      <c r="H74" s="86">
        <v>8.8364246928068949E-2</v>
      </c>
      <c r="I74" s="86">
        <v>0.18274299784298742</v>
      </c>
      <c r="J74" s="86">
        <v>0.15783099028116382</v>
      </c>
      <c r="K74" s="86">
        <v>0.30183905844951314</v>
      </c>
    </row>
    <row r="75" spans="1:13" s="79" customFormat="1" ht="15" customHeight="1" x14ac:dyDescent="0.15">
      <c r="C75" s="82">
        <v>2031</v>
      </c>
      <c r="D75" s="86">
        <v>8.0521973946022382E-2</v>
      </c>
      <c r="E75" s="86">
        <v>0.19057160244810761</v>
      </c>
      <c r="F75" s="86">
        <v>0.19057160244810761</v>
      </c>
      <c r="G75" s="86">
        <v>0.38762068927090459</v>
      </c>
      <c r="H75" s="86">
        <v>8.5936040661100083E-2</v>
      </c>
      <c r="I75" s="86">
        <v>0.18546053037344104</v>
      </c>
      <c r="J75" s="86">
        <v>0.17079470315560485</v>
      </c>
      <c r="K75" s="86">
        <v>0.34092310465191006</v>
      </c>
    </row>
    <row r="76" spans="1:13" s="79" customFormat="1" ht="15" customHeight="1" x14ac:dyDescent="0.15">
      <c r="C76" s="82">
        <v>2032</v>
      </c>
      <c r="D76" s="86">
        <v>8.0521973946022382E-2</v>
      </c>
      <c r="E76" s="86">
        <v>0.19057160244810761</v>
      </c>
      <c r="F76" s="86">
        <v>0.19057160244810761</v>
      </c>
      <c r="G76" s="86">
        <v>0.38762068927090459</v>
      </c>
      <c r="H76" s="86">
        <v>8.4221892390861225E-2</v>
      </c>
      <c r="I76" s="86">
        <v>0.18720982635218358</v>
      </c>
      <c r="J76" s="86">
        <v>0.17810453862227005</v>
      </c>
      <c r="K76" s="86">
        <v>0.35949307494989396</v>
      </c>
    </row>
    <row r="77" spans="1:13" s="79" customFormat="1" x14ac:dyDescent="0.15"/>
    <row r="78" spans="1:13" ht="15" customHeight="1" x14ac:dyDescent="0.15">
      <c r="A78" s="35" t="s">
        <v>112</v>
      </c>
      <c r="C78" s="24" t="s">
        <v>158</v>
      </c>
      <c r="D78" s="24"/>
      <c r="E78" s="24"/>
      <c r="F78" s="24"/>
      <c r="G78" s="24"/>
      <c r="H78" s="24"/>
      <c r="I78" s="36"/>
      <c r="J78" s="36"/>
      <c r="K78" s="36"/>
      <c r="L78" s="36"/>
      <c r="M78" s="36"/>
    </row>
    <row r="80" spans="1:13" x14ac:dyDescent="0.15">
      <c r="C80" s="35" t="s">
        <v>25</v>
      </c>
      <c r="D80" s="15">
        <f>p_star</f>
        <v>3.9325327510917031E-2</v>
      </c>
    </row>
    <row r="81" spans="1:13" x14ac:dyDescent="0.15">
      <c r="C81" s="35" t="s">
        <v>159</v>
      </c>
      <c r="D81" s="87">
        <f>(1-D80)+D80*exp_xi^(1-alpha)</f>
        <v>1.0367090758112649</v>
      </c>
    </row>
    <row r="83" spans="1:13" ht="17" x14ac:dyDescent="0.3">
      <c r="C83" s="53" t="s">
        <v>111</v>
      </c>
      <c r="D83" s="53"/>
      <c r="E83" s="19" t="s">
        <v>133</v>
      </c>
      <c r="F83" s="19" t="s">
        <v>160</v>
      </c>
      <c r="G83" s="19" t="s">
        <v>161</v>
      </c>
      <c r="H83" s="53" t="s">
        <v>136</v>
      </c>
      <c r="I83" s="53" t="s">
        <v>162</v>
      </c>
    </row>
    <row r="84" spans="1:13" x14ac:dyDescent="0.15">
      <c r="E84" s="89">
        <f ca="1">D30</f>
        <v>5890.8361116830465</v>
      </c>
      <c r="F84" s="90">
        <f ca="1">E84*(alpha*$D$81/(r_a+delta_a))^(1/(1-alpha))</f>
        <v>4730.3189219335654</v>
      </c>
      <c r="G84" s="91"/>
      <c r="H84" s="91"/>
      <c r="I84" s="91"/>
    </row>
    <row r="85" spans="1:13" x14ac:dyDescent="0.15">
      <c r="C85" s="88" t="s">
        <v>107</v>
      </c>
      <c r="D85" s="91">
        <v>1</v>
      </c>
      <c r="E85" s="39">
        <f t="dataTable" ref="E85:E88" dt2D="0" dtr="0" r1="D9" ca="1"/>
        <v>2191.1406174755248</v>
      </c>
      <c r="F85" s="54">
        <f>E85*(alpha*$D$81/(r_a+delta_a))^(1/(1-alpha))</f>
        <v>1759.4775558100509</v>
      </c>
      <c r="G85" s="54">
        <f>(r_a + delta_a)/$D$81*F85</f>
        <v>678.87032027116834</v>
      </c>
      <c r="H85" s="54">
        <f>G85/alpha</f>
        <v>2036.610960813505</v>
      </c>
      <c r="I85" s="92">
        <f>H85/(H85+Yn0)</f>
        <v>8.052197394602234E-2</v>
      </c>
    </row>
    <row r="86" spans="1:13" x14ac:dyDescent="0.15">
      <c r="C86" s="88" t="s">
        <v>108</v>
      </c>
      <c r="D86" s="91">
        <v>2</v>
      </c>
      <c r="E86" s="39">
        <v>5890.8361116830465</v>
      </c>
      <c r="F86" s="54">
        <f>E86*(alpha*$D$81/(r_a+delta_a))^(1/(1-alpha))</f>
        <v>4730.3189219335654</v>
      </c>
      <c r="G86" s="54">
        <f>(r_a + delta_a)/$D$81*F86</f>
        <v>1825.1287780930859</v>
      </c>
      <c r="H86" s="54">
        <f>G86/alpha</f>
        <v>5475.3863342792583</v>
      </c>
      <c r="I86" s="92">
        <f>H86/(H86+Yn0)</f>
        <v>0.19057160244810753</v>
      </c>
    </row>
    <row r="87" spans="1:13" x14ac:dyDescent="0.15">
      <c r="C87" s="88" t="s">
        <v>109</v>
      </c>
      <c r="D87" s="91">
        <v>3</v>
      </c>
      <c r="E87" s="39">
        <v>5890.8361116830465</v>
      </c>
      <c r="F87" s="54">
        <f>E87*(alpha*$D$81/(r_a+delta_a))^(1/(1-alpha))</f>
        <v>4730.3189219335654</v>
      </c>
      <c r="G87" s="54">
        <f>(r_a + delta_a)/$D$81*F87</f>
        <v>1825.1287780930859</v>
      </c>
      <c r="H87" s="54">
        <f>G87/alpha</f>
        <v>5475.3863342792583</v>
      </c>
      <c r="I87" s="92">
        <f>H87/(H87+Yn0)</f>
        <v>0.19057160244810753</v>
      </c>
    </row>
    <row r="88" spans="1:13" x14ac:dyDescent="0.15">
      <c r="C88" s="88" t="s">
        <v>110</v>
      </c>
      <c r="D88" s="91">
        <v>4</v>
      </c>
      <c r="E88" s="39">
        <v>15837.390726064006</v>
      </c>
      <c r="F88" s="54">
        <f>E88*(alpha*$D$81/(r_a+delta_a))^(1/(1-alpha))</f>
        <v>12717.364327447198</v>
      </c>
      <c r="G88" s="54">
        <f>(r_a + delta_a)/$D$81*F88</f>
        <v>4906.8208716106274</v>
      </c>
      <c r="H88" s="54">
        <f>G88/alpha</f>
        <v>14720.462614831882</v>
      </c>
      <c r="I88" s="92">
        <f>H88/(H88+Yn0)</f>
        <v>0.38762068927090471</v>
      </c>
    </row>
    <row r="90" spans="1:13" ht="15" customHeight="1" x14ac:dyDescent="0.15">
      <c r="A90" s="35" t="s">
        <v>112</v>
      </c>
      <c r="C90" s="24" t="s">
        <v>163</v>
      </c>
      <c r="D90" s="24"/>
      <c r="E90" s="24"/>
      <c r="F90" s="24"/>
      <c r="G90" s="24"/>
      <c r="H90" s="24"/>
      <c r="I90" s="36"/>
      <c r="J90" s="36"/>
      <c r="K90" s="36"/>
      <c r="L90" s="36"/>
      <c r="M90" s="36"/>
    </row>
    <row r="91" spans="1:13" x14ac:dyDescent="0.15">
      <c r="C91" s="78" t="s">
        <v>193</v>
      </c>
    </row>
    <row r="93" spans="1:13" x14ac:dyDescent="0.15">
      <c r="C93" s="93" t="s">
        <v>166</v>
      </c>
    </row>
    <row r="94" spans="1:13" ht="16" x14ac:dyDescent="0.3">
      <c r="C94" s="96" t="s">
        <v>106</v>
      </c>
      <c r="D94" s="96" t="s">
        <v>167</v>
      </c>
      <c r="E94" s="96" t="s">
        <v>168</v>
      </c>
      <c r="F94" s="96" t="s">
        <v>169</v>
      </c>
      <c r="G94" s="96" t="s">
        <v>170</v>
      </c>
      <c r="H94" s="96" t="s">
        <v>171</v>
      </c>
    </row>
    <row r="95" spans="1:13" x14ac:dyDescent="0.15">
      <c r="C95" s="35">
        <v>2030</v>
      </c>
      <c r="D95" s="77">
        <v>5.9303517708545382E-2</v>
      </c>
      <c r="E95" s="77">
        <v>5.3858790033896042E-2</v>
      </c>
      <c r="F95" s="77">
        <v>5.3858790033896042E-2</v>
      </c>
      <c r="G95" s="77">
        <v>5.3858790033896042E-2</v>
      </c>
      <c r="H95" s="77">
        <v>5.3858790033896042E-2</v>
      </c>
    </row>
    <row r="96" spans="1:13" x14ac:dyDescent="0.15">
      <c r="C96" s="35">
        <v>2031</v>
      </c>
      <c r="D96" s="77">
        <v>6.5203447330681841E-2</v>
      </c>
      <c r="E96" s="77">
        <v>5.3858790033896042E-2</v>
      </c>
      <c r="F96" s="77">
        <v>5.3858790033896042E-2</v>
      </c>
      <c r="G96" s="77">
        <v>5.3858790033896042E-2</v>
      </c>
      <c r="H96" s="77">
        <v>5.3858790033896042E-2</v>
      </c>
    </row>
    <row r="97" spans="3:8" x14ac:dyDescent="0.15">
      <c r="C97" s="35">
        <v>2032</v>
      </c>
      <c r="D97" s="77">
        <v>7.1998743389561359E-2</v>
      </c>
      <c r="E97" s="77">
        <v>5.3858790033896042E-2</v>
      </c>
      <c r="F97" s="77">
        <v>5.3858790033896042E-2</v>
      </c>
      <c r="G97" s="77">
        <v>5.3858790033896042E-2</v>
      </c>
      <c r="H97" s="77">
        <v>0.19714109726163564</v>
      </c>
    </row>
    <row r="98" spans="3:8" x14ac:dyDescent="0.15">
      <c r="C98" s="35">
        <v>2033</v>
      </c>
      <c r="D98" s="77">
        <v>7.8774534566617926E-2</v>
      </c>
      <c r="E98" s="77">
        <v>5.3858790033896042E-2</v>
      </c>
      <c r="F98" s="77">
        <v>5.3858790033896042E-2</v>
      </c>
      <c r="G98" s="77">
        <v>5.3858790033896042E-2</v>
      </c>
      <c r="H98" s="77">
        <v>0.19714109726163564</v>
      </c>
    </row>
    <row r="99" spans="3:8" x14ac:dyDescent="0.15">
      <c r="C99" s="35">
        <v>2034</v>
      </c>
      <c r="D99" s="77">
        <v>8.6930196112816979E-2</v>
      </c>
      <c r="E99" s="77">
        <v>5.3858790033896042E-2</v>
      </c>
      <c r="F99" s="77">
        <v>5.3858790033896042E-2</v>
      </c>
      <c r="G99" s="77">
        <v>5.3858790033896042E-2</v>
      </c>
      <c r="H99" s="77">
        <v>0.19714109726163564</v>
      </c>
    </row>
    <row r="100" spans="3:8" x14ac:dyDescent="0.15">
      <c r="C100" s="35">
        <v>2035</v>
      </c>
      <c r="D100" s="77">
        <v>9.4611375327338265E-2</v>
      </c>
      <c r="E100" s="77">
        <v>5.3858790033896042E-2</v>
      </c>
      <c r="F100" s="77">
        <v>5.3858790033896042E-2</v>
      </c>
      <c r="G100" s="77">
        <v>5.3858790033896042E-2</v>
      </c>
      <c r="H100" s="77">
        <v>0.19714109726163564</v>
      </c>
    </row>
    <row r="101" spans="3:8" x14ac:dyDescent="0.15">
      <c r="C101" s="35">
        <v>2036</v>
      </c>
      <c r="D101" s="77">
        <v>0.10351306421659272</v>
      </c>
      <c r="E101" s="77">
        <v>5.3858790033896042E-2</v>
      </c>
      <c r="F101" s="77">
        <v>5.3858790033896042E-2</v>
      </c>
      <c r="G101" s="77">
        <v>5.3858790033896042E-2</v>
      </c>
      <c r="H101" s="77">
        <v>0.19714109726163564</v>
      </c>
    </row>
    <row r="102" spans="3:8" x14ac:dyDescent="0.15">
      <c r="C102" s="35">
        <v>2037</v>
      </c>
      <c r="D102" s="77">
        <v>0.1120427395715396</v>
      </c>
      <c r="E102" s="77">
        <v>5.3858790033896042E-2</v>
      </c>
      <c r="F102" s="77">
        <v>5.3858790033896042E-2</v>
      </c>
      <c r="G102" s="77">
        <v>0.19714109726163564</v>
      </c>
      <c r="H102" s="77">
        <v>0.19714109726163564</v>
      </c>
    </row>
    <row r="103" spans="3:8" x14ac:dyDescent="0.15">
      <c r="C103" s="35">
        <v>2038</v>
      </c>
      <c r="D103" s="77">
        <v>0.12108497512997747</v>
      </c>
      <c r="E103" s="77">
        <v>5.3858790033896042E-2</v>
      </c>
      <c r="F103" s="77">
        <v>5.3858790033896042E-2</v>
      </c>
      <c r="G103" s="77">
        <v>0.19714109726163564</v>
      </c>
      <c r="H103" s="77">
        <v>0.19714109726163564</v>
      </c>
    </row>
    <row r="104" spans="3:8" x14ac:dyDescent="0.15">
      <c r="C104" s="35">
        <v>2039</v>
      </c>
      <c r="D104" s="77">
        <v>0.13055840160571053</v>
      </c>
      <c r="E104" s="77">
        <v>5.3858790033896042E-2</v>
      </c>
      <c r="F104" s="77">
        <v>5.3858790033896042E-2</v>
      </c>
      <c r="G104" s="77">
        <v>0.19714109726163564</v>
      </c>
      <c r="H104" s="77">
        <v>0.19714109726163564</v>
      </c>
    </row>
    <row r="105" spans="3:8" x14ac:dyDescent="0.15">
      <c r="C105" s="35">
        <v>2040</v>
      </c>
      <c r="D105" s="77">
        <v>0.14252405228460763</v>
      </c>
      <c r="E105" s="77">
        <v>5.3858790033896042E-2</v>
      </c>
      <c r="F105" s="77">
        <v>5.3858790033896042E-2</v>
      </c>
      <c r="G105" s="77">
        <v>0.19714109726163564</v>
      </c>
      <c r="H105" s="77">
        <v>0.19714109726163564</v>
      </c>
    </row>
    <row r="106" spans="3:8" x14ac:dyDescent="0.15">
      <c r="C106" s="35">
        <v>2041</v>
      </c>
      <c r="D106" s="77">
        <v>0.154695432920475</v>
      </c>
      <c r="E106" s="77">
        <v>5.3858790033896042E-2</v>
      </c>
      <c r="F106" s="77">
        <v>5.3858790033896042E-2</v>
      </c>
      <c r="G106" s="77">
        <v>0.19714109726163564</v>
      </c>
      <c r="H106" s="77">
        <v>0.19714109726163564</v>
      </c>
    </row>
    <row r="107" spans="3:8" x14ac:dyDescent="0.15">
      <c r="C107" s="35">
        <v>2042</v>
      </c>
      <c r="D107" s="77">
        <v>0.16578175224167085</v>
      </c>
      <c r="E107" s="77">
        <v>5.3858790033896042E-2</v>
      </c>
      <c r="F107" s="77">
        <v>5.3858790033896042E-2</v>
      </c>
      <c r="G107" s="77">
        <v>0.19714109726163564</v>
      </c>
      <c r="H107" s="77">
        <v>0.19714109726163564</v>
      </c>
    </row>
    <row r="108" spans="3:8" x14ac:dyDescent="0.15">
      <c r="C108" s="35">
        <v>2043</v>
      </c>
      <c r="D108" s="77">
        <v>0.17915364901595343</v>
      </c>
      <c r="E108" s="77">
        <v>5.3858790033896042E-2</v>
      </c>
      <c r="F108" s="77">
        <v>5.3858790033896042E-2</v>
      </c>
      <c r="G108" s="77">
        <v>0.19714109726163564</v>
      </c>
      <c r="H108" s="77">
        <v>0.58235260895132823</v>
      </c>
    </row>
    <row r="109" spans="3:8" x14ac:dyDescent="0.15">
      <c r="C109" s="35">
        <v>2044</v>
      </c>
      <c r="D109" s="77">
        <v>0.19352503670362006</v>
      </c>
      <c r="E109" s="77">
        <v>5.3858790033896042E-2</v>
      </c>
      <c r="F109" s="77">
        <v>5.3858790033896042E-2</v>
      </c>
      <c r="G109" s="77">
        <v>0.19714109726163564</v>
      </c>
      <c r="H109" s="77">
        <v>0.58235260895132823</v>
      </c>
    </row>
    <row r="110" spans="3:8" x14ac:dyDescent="0.15">
      <c r="C110" s="35">
        <v>2045</v>
      </c>
      <c r="D110" s="77">
        <v>0.20646375580929743</v>
      </c>
      <c r="E110" s="77">
        <v>5.3858790033896042E-2</v>
      </c>
      <c r="F110" s="77">
        <v>5.3858790033896042E-2</v>
      </c>
      <c r="G110" s="77">
        <v>0.19714109726163564</v>
      </c>
      <c r="H110" s="77">
        <v>0.58235260895132823</v>
      </c>
    </row>
    <row r="111" spans="3:8" x14ac:dyDescent="0.15">
      <c r="C111" s="35">
        <v>2046</v>
      </c>
      <c r="D111" s="77">
        <v>0.22088786316876227</v>
      </c>
      <c r="E111" s="77">
        <v>5.3858790033896042E-2</v>
      </c>
      <c r="F111" s="77">
        <v>5.3858790033896042E-2</v>
      </c>
      <c r="G111" s="77">
        <v>0.19714109726163564</v>
      </c>
      <c r="H111" s="77">
        <v>0.58235260895132823</v>
      </c>
    </row>
    <row r="112" spans="3:8" x14ac:dyDescent="0.15">
      <c r="C112" s="35">
        <v>2047</v>
      </c>
      <c r="D112" s="77">
        <v>0.23793472815818972</v>
      </c>
      <c r="E112" s="77">
        <v>5.3858790033896042E-2</v>
      </c>
      <c r="F112" s="77">
        <v>5.3858790033896042E-2</v>
      </c>
      <c r="G112" s="77">
        <v>0.19714109726163564</v>
      </c>
      <c r="H112" s="77">
        <v>0.58235260895132823</v>
      </c>
    </row>
    <row r="113" spans="3:8" x14ac:dyDescent="0.15">
      <c r="C113" s="35">
        <v>2048</v>
      </c>
      <c r="D113" s="77">
        <v>0.25940773802529482</v>
      </c>
      <c r="E113" s="77">
        <v>5.3858790033896042E-2</v>
      </c>
      <c r="F113" s="77">
        <v>5.3858790033896042E-2</v>
      </c>
      <c r="G113" s="77">
        <v>0.19714109726163564</v>
      </c>
      <c r="H113" s="77">
        <v>0.58235260895132823</v>
      </c>
    </row>
    <row r="114" spans="3:8" x14ac:dyDescent="0.15">
      <c r="C114" s="35">
        <v>2049</v>
      </c>
      <c r="D114" s="77">
        <v>0.27668737052530495</v>
      </c>
      <c r="E114" s="77">
        <v>5.3858790033896042E-2</v>
      </c>
      <c r="F114" s="77">
        <v>5.3858790033896042E-2</v>
      </c>
      <c r="G114" s="77">
        <v>0.19714109726163564</v>
      </c>
      <c r="H114" s="77">
        <v>0.58235260895132823</v>
      </c>
    </row>
    <row r="115" spans="3:8" x14ac:dyDescent="0.15">
      <c r="C115" s="35">
        <v>2050</v>
      </c>
      <c r="D115" s="77">
        <v>0.29894335217544887</v>
      </c>
      <c r="E115" s="77">
        <v>5.3858790033896042E-2</v>
      </c>
      <c r="F115" s="77">
        <v>5.3858790033896042E-2</v>
      </c>
      <c r="G115" s="77">
        <v>0.19714109726163564</v>
      </c>
      <c r="H115" s="77">
        <v>0.58235260895132823</v>
      </c>
    </row>
    <row r="117" spans="3:8" x14ac:dyDescent="0.15">
      <c r="C117" s="93" t="s">
        <v>172</v>
      </c>
    </row>
    <row r="118" spans="3:8" ht="16" x14ac:dyDescent="0.3">
      <c r="C118" s="96" t="s">
        <v>106</v>
      </c>
      <c r="D118" s="96" t="s">
        <v>167</v>
      </c>
      <c r="E118" s="96" t="s">
        <v>168</v>
      </c>
      <c r="F118" s="96" t="s">
        <v>169</v>
      </c>
      <c r="G118" s="96" t="s">
        <v>170</v>
      </c>
      <c r="H118" s="96" t="s">
        <v>171</v>
      </c>
    </row>
    <row r="119" spans="3:8" x14ac:dyDescent="0.15">
      <c r="C119" s="35">
        <v>2030</v>
      </c>
      <c r="D119" s="77">
        <v>8.4703859829099906E-2</v>
      </c>
      <c r="E119" s="77">
        <v>8.052197394602234E-2</v>
      </c>
      <c r="F119" s="77">
        <v>8.052197394602234E-2</v>
      </c>
      <c r="G119" s="77">
        <v>8.052197394602234E-2</v>
      </c>
      <c r="H119" s="77">
        <v>8.052197394602234E-2</v>
      </c>
    </row>
    <row r="120" spans="3:8" x14ac:dyDescent="0.15">
      <c r="C120" s="35">
        <v>2031</v>
      </c>
      <c r="D120" s="77">
        <v>8.9037734703120777E-2</v>
      </c>
      <c r="E120" s="77">
        <v>8.052197394602234E-2</v>
      </c>
      <c r="F120" s="77">
        <v>8.052197394602234E-2</v>
      </c>
      <c r="G120" s="77">
        <v>8.052197394602234E-2</v>
      </c>
      <c r="H120" s="77">
        <v>8.052197394602234E-2</v>
      </c>
    </row>
    <row r="121" spans="3:8" x14ac:dyDescent="0.15">
      <c r="C121" s="35">
        <v>2032</v>
      </c>
      <c r="D121" s="77">
        <v>9.38854073697587E-2</v>
      </c>
      <c r="E121" s="77">
        <v>8.052197394602234E-2</v>
      </c>
      <c r="F121" s="77">
        <v>8.052197394602234E-2</v>
      </c>
      <c r="G121" s="77">
        <v>8.052197394602234E-2</v>
      </c>
      <c r="H121" s="77">
        <v>0.19057160244810747</v>
      </c>
    </row>
    <row r="122" spans="3:8" x14ac:dyDescent="0.15">
      <c r="C122" s="35">
        <v>2033</v>
      </c>
      <c r="D122" s="77">
        <v>9.8579755206790354E-2</v>
      </c>
      <c r="E122" s="77">
        <v>8.052197394602234E-2</v>
      </c>
      <c r="F122" s="77">
        <v>8.052197394602234E-2</v>
      </c>
      <c r="G122" s="77">
        <v>8.052197394602234E-2</v>
      </c>
      <c r="H122" s="77">
        <v>0.19057160244810747</v>
      </c>
    </row>
    <row r="123" spans="3:8" x14ac:dyDescent="0.15">
      <c r="C123" s="35">
        <v>2034</v>
      </c>
      <c r="D123" s="77">
        <v>0.10393478466575773</v>
      </c>
      <c r="E123" s="77">
        <v>8.052197394602234E-2</v>
      </c>
      <c r="F123" s="77">
        <v>8.052197394602234E-2</v>
      </c>
      <c r="G123" s="77">
        <v>8.052197394602234E-2</v>
      </c>
      <c r="H123" s="77">
        <v>0.19057160244810747</v>
      </c>
    </row>
    <row r="124" spans="3:8" x14ac:dyDescent="0.15">
      <c r="C124" s="35">
        <v>2035</v>
      </c>
      <c r="D124" s="77">
        <v>0.10882656544053713</v>
      </c>
      <c r="E124" s="77">
        <v>8.052197394602234E-2</v>
      </c>
      <c r="F124" s="77">
        <v>8.052197394602234E-2</v>
      </c>
      <c r="G124" s="77">
        <v>8.052197394602234E-2</v>
      </c>
      <c r="H124" s="77">
        <v>0.19057160244810747</v>
      </c>
    </row>
    <row r="125" spans="3:8" x14ac:dyDescent="0.15">
      <c r="C125" s="35">
        <v>2036</v>
      </c>
      <c r="D125" s="77">
        <v>0.11409861820468468</v>
      </c>
      <c r="E125" s="77">
        <v>8.052197394602234E-2</v>
      </c>
      <c r="F125" s="77">
        <v>8.052197394602234E-2</v>
      </c>
      <c r="G125" s="77">
        <v>8.052197394602234E-2</v>
      </c>
      <c r="H125" s="77">
        <v>0.19057160244810747</v>
      </c>
    </row>
    <row r="126" spans="3:8" x14ac:dyDescent="0.15">
      <c r="C126" s="35">
        <v>2037</v>
      </c>
      <c r="D126" s="77">
        <v>0.1192746318421249</v>
      </c>
      <c r="E126" s="77">
        <v>8.052197394602234E-2</v>
      </c>
      <c r="F126" s="77">
        <v>8.052197394602234E-2</v>
      </c>
      <c r="G126" s="77">
        <v>0.19057160244810747</v>
      </c>
      <c r="H126" s="77">
        <v>0.19057160244810747</v>
      </c>
    </row>
    <row r="127" spans="3:8" x14ac:dyDescent="0.15">
      <c r="C127" s="35">
        <v>2038</v>
      </c>
      <c r="D127" s="77">
        <v>0.12444009624501291</v>
      </c>
      <c r="E127" s="77">
        <v>8.052197394602234E-2</v>
      </c>
      <c r="F127" s="77">
        <v>8.052197394602234E-2</v>
      </c>
      <c r="G127" s="77">
        <v>0.19057160244810747</v>
      </c>
      <c r="H127" s="77">
        <v>0.19057160244810747</v>
      </c>
    </row>
    <row r="128" spans="3:8" x14ac:dyDescent="0.15">
      <c r="C128" s="35">
        <v>2039</v>
      </c>
      <c r="D128" s="77">
        <v>0.12933667461451656</v>
      </c>
      <c r="E128" s="77">
        <v>8.052197394602234E-2</v>
      </c>
      <c r="F128" s="77">
        <v>8.052197394602234E-2</v>
      </c>
      <c r="G128" s="77">
        <v>0.19057160244810747</v>
      </c>
      <c r="H128" s="77">
        <v>0.19057160244810747</v>
      </c>
    </row>
    <row r="129" spans="3:8" x14ac:dyDescent="0.15">
      <c r="C129" s="35">
        <v>2040</v>
      </c>
      <c r="D129" s="77">
        <v>0.13567897781512955</v>
      </c>
      <c r="E129" s="77">
        <v>8.052197394602234E-2</v>
      </c>
      <c r="F129" s="77">
        <v>8.052197394602234E-2</v>
      </c>
      <c r="G129" s="77">
        <v>0.19057160244810747</v>
      </c>
      <c r="H129" s="77">
        <v>0.19057160244810747</v>
      </c>
    </row>
    <row r="130" spans="3:8" x14ac:dyDescent="0.15">
      <c r="C130" s="35">
        <v>2041</v>
      </c>
      <c r="D130" s="77">
        <v>0.14131013465408609</v>
      </c>
      <c r="E130" s="77">
        <v>8.052197394602234E-2</v>
      </c>
      <c r="F130" s="77">
        <v>8.052197394602234E-2</v>
      </c>
      <c r="G130" s="77">
        <v>0.19057160244810747</v>
      </c>
      <c r="H130" s="77">
        <v>0.19057160244810747</v>
      </c>
    </row>
    <row r="131" spans="3:8" x14ac:dyDescent="0.15">
      <c r="C131" s="35">
        <v>2042</v>
      </c>
      <c r="D131" s="77">
        <v>0.14681933130785202</v>
      </c>
      <c r="E131" s="77">
        <v>8.052197394602234E-2</v>
      </c>
      <c r="F131" s="77">
        <v>8.052197394602234E-2</v>
      </c>
      <c r="G131" s="77">
        <v>0.19057160244810747</v>
      </c>
      <c r="H131" s="77">
        <v>0.19057160244810747</v>
      </c>
    </row>
    <row r="132" spans="3:8" x14ac:dyDescent="0.15">
      <c r="C132" s="35">
        <v>2043</v>
      </c>
      <c r="D132" s="77">
        <v>0.15296542616433964</v>
      </c>
      <c r="E132" s="77">
        <v>8.052197394602234E-2</v>
      </c>
      <c r="F132" s="77">
        <v>8.052197394602234E-2</v>
      </c>
      <c r="G132" s="77">
        <v>0.19057160244810747</v>
      </c>
      <c r="H132" s="77">
        <v>0.38762068927090471</v>
      </c>
    </row>
    <row r="133" spans="3:8" x14ac:dyDescent="0.15">
      <c r="C133" s="35">
        <v>2044</v>
      </c>
      <c r="D133" s="77">
        <v>0.15885803313855146</v>
      </c>
      <c r="E133" s="77">
        <v>8.052197394602234E-2</v>
      </c>
      <c r="F133" s="77">
        <v>8.052197394602234E-2</v>
      </c>
      <c r="G133" s="77">
        <v>0.19057160244810747</v>
      </c>
      <c r="H133" s="77">
        <v>0.38762068927090471</v>
      </c>
    </row>
    <row r="134" spans="3:8" x14ac:dyDescent="0.15">
      <c r="C134" s="35">
        <v>2045</v>
      </c>
      <c r="D134" s="77">
        <v>0.16486343013459226</v>
      </c>
      <c r="E134" s="77">
        <v>8.052197394602234E-2</v>
      </c>
      <c r="F134" s="77">
        <v>8.052197394602234E-2</v>
      </c>
      <c r="G134" s="77">
        <v>0.19057160244810747</v>
      </c>
      <c r="H134" s="77">
        <v>0.38762068927090471</v>
      </c>
    </row>
    <row r="135" spans="3:8" x14ac:dyDescent="0.15">
      <c r="C135" s="35">
        <v>2046</v>
      </c>
      <c r="D135" s="77">
        <v>0.17031761510108021</v>
      </c>
      <c r="E135" s="77">
        <v>8.052197394602234E-2</v>
      </c>
      <c r="F135" s="77">
        <v>8.052197394602234E-2</v>
      </c>
      <c r="G135" s="77">
        <v>0.19057160244810747</v>
      </c>
      <c r="H135" s="77">
        <v>0.38762068927090471</v>
      </c>
    </row>
    <row r="136" spans="3:8" x14ac:dyDescent="0.15">
      <c r="C136" s="35">
        <v>2047</v>
      </c>
      <c r="D136" s="77">
        <v>0.1767495476600871</v>
      </c>
      <c r="E136" s="77">
        <v>8.052197394602234E-2</v>
      </c>
      <c r="F136" s="77">
        <v>8.052197394602234E-2</v>
      </c>
      <c r="G136" s="77">
        <v>0.19057160244810747</v>
      </c>
      <c r="H136" s="77">
        <v>0.38762068927090471</v>
      </c>
    </row>
    <row r="137" spans="3:8" x14ac:dyDescent="0.15">
      <c r="C137" s="35">
        <v>2048</v>
      </c>
      <c r="D137" s="77">
        <v>0.18288427955824482</v>
      </c>
      <c r="E137" s="77">
        <v>8.052197394602234E-2</v>
      </c>
      <c r="F137" s="77">
        <v>8.052197394602234E-2</v>
      </c>
      <c r="G137" s="77">
        <v>0.19057160244810747</v>
      </c>
      <c r="H137" s="77">
        <v>0.38762068927090471</v>
      </c>
    </row>
    <row r="138" spans="3:8" x14ac:dyDescent="0.15">
      <c r="C138" s="35">
        <v>2049</v>
      </c>
      <c r="D138" s="77">
        <v>0.1890050715363317</v>
      </c>
      <c r="E138" s="77">
        <v>8.052197394602234E-2</v>
      </c>
      <c r="F138" s="77">
        <v>8.052197394602234E-2</v>
      </c>
      <c r="G138" s="77">
        <v>0.19057160244810747</v>
      </c>
      <c r="H138" s="77">
        <v>0.38762068927090471</v>
      </c>
    </row>
    <row r="139" spans="3:8" x14ac:dyDescent="0.15">
      <c r="C139" s="35">
        <v>2050</v>
      </c>
      <c r="D139" s="77">
        <v>0.19546933885490389</v>
      </c>
      <c r="E139" s="77">
        <v>8.052197394602234E-2</v>
      </c>
      <c r="F139" s="77">
        <v>8.052197394602234E-2</v>
      </c>
      <c r="G139" s="77">
        <v>0.19057160244810747</v>
      </c>
      <c r="H139" s="77">
        <v>0.38762068927090471</v>
      </c>
    </row>
    <row r="142" spans="3:8" x14ac:dyDescent="0.15">
      <c r="C142" s="93" t="s">
        <v>173</v>
      </c>
    </row>
    <row r="143" spans="3:8" ht="16" x14ac:dyDescent="0.3">
      <c r="C143" s="96" t="s">
        <v>106</v>
      </c>
      <c r="D143" s="96" t="s">
        <v>167</v>
      </c>
      <c r="E143" s="96" t="s">
        <v>168</v>
      </c>
      <c r="F143" s="96" t="s">
        <v>169</v>
      </c>
      <c r="G143" s="96" t="s">
        <v>170</v>
      </c>
      <c r="H143" s="96" t="s">
        <v>171</v>
      </c>
    </row>
    <row r="144" spans="3:8" x14ac:dyDescent="0.15">
      <c r="C144" s="35">
        <v>2030</v>
      </c>
      <c r="D144" s="77">
        <v>0.21281920578744001</v>
      </c>
      <c r="E144" s="77">
        <v>0.19714109726163564</v>
      </c>
      <c r="F144" s="77">
        <v>0.19714109726163564</v>
      </c>
      <c r="G144" s="77">
        <v>0.19714109726163564</v>
      </c>
      <c r="H144" s="77">
        <v>0.19714109726163564</v>
      </c>
    </row>
    <row r="145" spans="3:8" x14ac:dyDescent="0.15">
      <c r="C145" s="35">
        <v>2031</v>
      </c>
      <c r="D145" s="77">
        <v>0.22863496085981533</v>
      </c>
      <c r="E145" s="77">
        <v>0.19714109726163564</v>
      </c>
      <c r="F145" s="77">
        <v>0.19714109726163564</v>
      </c>
      <c r="G145" s="77">
        <v>0.19714109726163564</v>
      </c>
      <c r="H145" s="77">
        <v>0.19714109726163564</v>
      </c>
    </row>
    <row r="146" spans="3:8" x14ac:dyDescent="0.15">
      <c r="C146" s="35">
        <v>2032</v>
      </c>
      <c r="D146" s="77">
        <v>0.24568077595889509</v>
      </c>
      <c r="E146" s="77">
        <v>0.19714109726163564</v>
      </c>
      <c r="F146" s="77">
        <v>0.19714109726163564</v>
      </c>
      <c r="G146" s="77">
        <v>0.19714109726163564</v>
      </c>
      <c r="H146" s="77">
        <v>0.58235260895132823</v>
      </c>
    </row>
    <row r="147" spans="3:8" x14ac:dyDescent="0.15">
      <c r="C147" s="35">
        <v>2033</v>
      </c>
      <c r="D147" s="77">
        <v>0.26084983723538269</v>
      </c>
      <c r="E147" s="77">
        <v>0.19714109726163564</v>
      </c>
      <c r="F147" s="77">
        <v>0.19714109726163564</v>
      </c>
      <c r="G147" s="77">
        <v>0.19714109726163564</v>
      </c>
      <c r="H147" s="77">
        <v>0.58235260895132823</v>
      </c>
    </row>
    <row r="148" spans="3:8" x14ac:dyDescent="0.15">
      <c r="C148" s="35">
        <v>2034</v>
      </c>
      <c r="D148" s="77">
        <v>0.27865397914865259</v>
      </c>
      <c r="E148" s="77">
        <v>0.19714109726163564</v>
      </c>
      <c r="F148" s="77">
        <v>0.19714109726163564</v>
      </c>
      <c r="G148" s="77">
        <v>0.19714109726163564</v>
      </c>
      <c r="H148" s="77">
        <v>0.58235260895132823</v>
      </c>
    </row>
    <row r="149" spans="3:8" x14ac:dyDescent="0.15">
      <c r="C149" s="35">
        <v>2035</v>
      </c>
      <c r="D149" s="77">
        <v>0.29749375422284335</v>
      </c>
      <c r="E149" s="77">
        <v>0.19714109726163564</v>
      </c>
      <c r="F149" s="77">
        <v>0.19714109726163564</v>
      </c>
      <c r="G149" s="77">
        <v>0.19714109726163564</v>
      </c>
      <c r="H149" s="77">
        <v>0.58235260895132823</v>
      </c>
    </row>
    <row r="150" spans="3:8" x14ac:dyDescent="0.15">
      <c r="C150" s="35">
        <v>2036</v>
      </c>
      <c r="D150" s="77">
        <v>0.31989657807650668</v>
      </c>
      <c r="E150" s="77">
        <v>0.19714109726163564</v>
      </c>
      <c r="F150" s="77">
        <v>0.19714109726163564</v>
      </c>
      <c r="G150" s="77">
        <v>0.19714109726163564</v>
      </c>
      <c r="H150" s="77">
        <v>0.58235260895132823</v>
      </c>
    </row>
    <row r="151" spans="3:8" x14ac:dyDescent="0.15">
      <c r="C151" s="35">
        <v>2037</v>
      </c>
      <c r="D151" s="77">
        <v>0.34243340625691326</v>
      </c>
      <c r="E151" s="77">
        <v>0.19714109726163564</v>
      </c>
      <c r="F151" s="77">
        <v>0.19714109726163564</v>
      </c>
      <c r="G151" s="77">
        <v>0.58235260895132823</v>
      </c>
      <c r="H151" s="77">
        <v>0.58235260895132823</v>
      </c>
    </row>
    <row r="152" spans="3:8" x14ac:dyDescent="0.15">
      <c r="C152" s="35">
        <v>2038</v>
      </c>
      <c r="D152" s="77">
        <v>0.36696400258215656</v>
      </c>
      <c r="E152" s="77">
        <v>0.19714109726163564</v>
      </c>
      <c r="F152" s="77">
        <v>0.19714109726163564</v>
      </c>
      <c r="G152" s="77">
        <v>0.58235260895132823</v>
      </c>
      <c r="H152" s="77">
        <v>0.58235260895132823</v>
      </c>
    </row>
    <row r="153" spans="3:8" x14ac:dyDescent="0.15">
      <c r="C153" s="35">
        <v>2039</v>
      </c>
      <c r="D153" s="77">
        <v>0.39352148109407881</v>
      </c>
      <c r="E153" s="77">
        <v>0.19714109726163564</v>
      </c>
      <c r="F153" s="77">
        <v>0.19714109726163564</v>
      </c>
      <c r="G153" s="77">
        <v>0.58235260895132823</v>
      </c>
      <c r="H153" s="77">
        <v>0.58235260895132823</v>
      </c>
    </row>
    <row r="154" spans="3:8" x14ac:dyDescent="0.15">
      <c r="C154" s="35">
        <v>2040</v>
      </c>
      <c r="D154" s="77">
        <v>0.42219494628152276</v>
      </c>
      <c r="E154" s="77">
        <v>0.19714109726163564</v>
      </c>
      <c r="F154" s="77">
        <v>0.19714109726163564</v>
      </c>
      <c r="G154" s="77">
        <v>0.58235260895132823</v>
      </c>
      <c r="H154" s="77">
        <v>0.58235260895132823</v>
      </c>
    </row>
    <row r="155" spans="3:8" x14ac:dyDescent="0.15">
      <c r="C155" s="35">
        <v>2041</v>
      </c>
      <c r="D155" s="77">
        <v>0.45071357423796071</v>
      </c>
      <c r="E155" s="77">
        <v>0.19714109726163564</v>
      </c>
      <c r="F155" s="77">
        <v>0.19714109726163564</v>
      </c>
      <c r="G155" s="77">
        <v>0.58235260895132823</v>
      </c>
      <c r="H155" s="77">
        <v>0.58235260895132823</v>
      </c>
    </row>
    <row r="156" spans="3:8" x14ac:dyDescent="0.15">
      <c r="C156" s="35">
        <v>2042</v>
      </c>
      <c r="D156" s="77">
        <v>0.48708445729558497</v>
      </c>
      <c r="E156" s="77">
        <v>0.19714109726163564</v>
      </c>
      <c r="F156" s="77">
        <v>0.19714109726163564</v>
      </c>
      <c r="G156" s="77">
        <v>0.58235260895132823</v>
      </c>
      <c r="H156" s="77">
        <v>0.58235260895132823</v>
      </c>
    </row>
    <row r="157" spans="3:8" x14ac:dyDescent="0.15">
      <c r="C157" s="35">
        <v>2043</v>
      </c>
      <c r="D157" s="77">
        <v>0.52508510385239271</v>
      </c>
      <c r="E157" s="77">
        <v>0.19714109726163564</v>
      </c>
      <c r="F157" s="77">
        <v>0.19714109726163564</v>
      </c>
      <c r="G157" s="77">
        <v>0.58235260895132823</v>
      </c>
      <c r="H157" s="77">
        <v>1.6179857698719116</v>
      </c>
    </row>
    <row r="158" spans="3:8" x14ac:dyDescent="0.15">
      <c r="C158" s="35">
        <v>2044</v>
      </c>
      <c r="D158" s="77">
        <v>0.56124905425791627</v>
      </c>
      <c r="E158" s="77">
        <v>0.19714109726163564</v>
      </c>
      <c r="F158" s="77">
        <v>0.19714109726163564</v>
      </c>
      <c r="G158" s="77">
        <v>0.58235260895132823</v>
      </c>
      <c r="H158" s="77">
        <v>1.6179857698719116</v>
      </c>
    </row>
    <row r="159" spans="3:8" x14ac:dyDescent="0.15">
      <c r="C159" s="35">
        <v>2045</v>
      </c>
      <c r="D159" s="77">
        <v>0.60025656489282309</v>
      </c>
      <c r="E159" s="77">
        <v>0.19714109726163564</v>
      </c>
      <c r="F159" s="77">
        <v>0.19714109726163564</v>
      </c>
      <c r="G159" s="77">
        <v>0.58235260895132823</v>
      </c>
      <c r="H159" s="77">
        <v>1.6179857698719116</v>
      </c>
    </row>
    <row r="160" spans="3:8" x14ac:dyDescent="0.15">
      <c r="C160" s="35">
        <v>2046</v>
      </c>
      <c r="D160" s="77">
        <v>0.64901380975047962</v>
      </c>
      <c r="E160" s="77">
        <v>0.19714109726163564</v>
      </c>
      <c r="F160" s="77">
        <v>0.19714109726163564</v>
      </c>
      <c r="G160" s="77">
        <v>0.58235260895132823</v>
      </c>
      <c r="H160" s="77">
        <v>1.6179857698719116</v>
      </c>
    </row>
    <row r="161" spans="3:8" x14ac:dyDescent="0.15">
      <c r="C161" s="35">
        <v>2047</v>
      </c>
      <c r="D161" s="77">
        <v>0.69416825507390811</v>
      </c>
      <c r="E161" s="77">
        <v>0.19714109726163564</v>
      </c>
      <c r="F161" s="77">
        <v>0.19714109726163564</v>
      </c>
      <c r="G161" s="77">
        <v>0.58235260895132823</v>
      </c>
      <c r="H161" s="77">
        <v>1.6179857698719116</v>
      </c>
    </row>
    <row r="162" spans="3:8" x14ac:dyDescent="0.15">
      <c r="C162" s="35">
        <v>2048</v>
      </c>
      <c r="D162" s="77">
        <v>0.75285529813368712</v>
      </c>
      <c r="E162" s="77">
        <v>0.19714109726163564</v>
      </c>
      <c r="F162" s="77">
        <v>0.19714109726163564</v>
      </c>
      <c r="G162" s="77">
        <v>0.58235260895132823</v>
      </c>
      <c r="H162" s="77">
        <v>1.6179857698719116</v>
      </c>
    </row>
    <row r="163" spans="3:8" x14ac:dyDescent="0.15">
      <c r="C163" s="35">
        <v>2049</v>
      </c>
      <c r="D163" s="77">
        <v>0.81056372758329165</v>
      </c>
      <c r="E163" s="77">
        <v>0.19714109726163564</v>
      </c>
      <c r="F163" s="77">
        <v>0.19714109726163564</v>
      </c>
      <c r="G163" s="77">
        <v>0.58235260895132823</v>
      </c>
      <c r="H163" s="77">
        <v>1.6179857698719116</v>
      </c>
    </row>
    <row r="164" spans="3:8" x14ac:dyDescent="0.15">
      <c r="C164" s="35">
        <v>2050</v>
      </c>
      <c r="D164" s="77">
        <v>0.86956817399702646</v>
      </c>
      <c r="E164" s="77">
        <v>0.19714109726163564</v>
      </c>
      <c r="F164" s="77">
        <v>0.19714109726163564</v>
      </c>
      <c r="G164" s="77">
        <v>0.58235260895132823</v>
      </c>
      <c r="H164" s="77">
        <v>1.6179857698719116</v>
      </c>
    </row>
    <row r="166" spans="3:8" x14ac:dyDescent="0.15">
      <c r="C166" s="93" t="s">
        <v>174</v>
      </c>
    </row>
    <row r="167" spans="3:8" ht="16" x14ac:dyDescent="0.3">
      <c r="C167" s="96" t="s">
        <v>106</v>
      </c>
      <c r="D167" s="96" t="s">
        <v>167</v>
      </c>
      <c r="E167" s="96" t="s">
        <v>168</v>
      </c>
      <c r="F167" s="96" t="s">
        <v>169</v>
      </c>
      <c r="G167" s="96" t="s">
        <v>170</v>
      </c>
      <c r="H167" s="96" t="s">
        <v>171</v>
      </c>
    </row>
    <row r="168" spans="3:8" x14ac:dyDescent="0.15">
      <c r="C168" s="35">
        <v>2030</v>
      </c>
      <c r="D168" s="77">
        <v>0.19859150028176359</v>
      </c>
      <c r="E168" s="77">
        <v>0.19057160244810747</v>
      </c>
      <c r="F168" s="77">
        <v>0.19057160244810747</v>
      </c>
      <c r="G168" s="77">
        <v>0.19057160244810747</v>
      </c>
      <c r="H168" s="77">
        <v>0.19057160244810747</v>
      </c>
    </row>
    <row r="169" spans="3:8" x14ac:dyDescent="0.15">
      <c r="C169" s="35">
        <v>2031</v>
      </c>
      <c r="D169" s="77">
        <v>0.20636554266133667</v>
      </c>
      <c r="E169" s="77">
        <v>0.19057160244810747</v>
      </c>
      <c r="F169" s="77">
        <v>0.19057160244810747</v>
      </c>
      <c r="G169" s="77">
        <v>0.19057160244810747</v>
      </c>
      <c r="H169" s="77">
        <v>0.19057160244810747</v>
      </c>
    </row>
    <row r="170" spans="3:8" x14ac:dyDescent="0.15">
      <c r="C170" s="35">
        <v>2032</v>
      </c>
      <c r="D170" s="77">
        <v>0.21415667885158576</v>
      </c>
      <c r="E170" s="77">
        <v>0.19057160244810747</v>
      </c>
      <c r="F170" s="77">
        <v>0.19057160244810747</v>
      </c>
      <c r="G170" s="77">
        <v>0.19057160244810747</v>
      </c>
      <c r="H170" s="77">
        <v>0.38762068927090471</v>
      </c>
    </row>
    <row r="171" spans="3:8" x14ac:dyDescent="0.15">
      <c r="C171" s="35">
        <v>2033</v>
      </c>
      <c r="D171" s="77">
        <v>0.22088112747371982</v>
      </c>
      <c r="E171" s="77">
        <v>0.19057160244810747</v>
      </c>
      <c r="F171" s="77">
        <v>0.19057160244810747</v>
      </c>
      <c r="G171" s="77">
        <v>0.19057160244810747</v>
      </c>
      <c r="H171" s="77">
        <v>0.38762068927090471</v>
      </c>
    </row>
    <row r="172" spans="3:8" x14ac:dyDescent="0.15">
      <c r="C172" s="35">
        <v>2034</v>
      </c>
      <c r="D172" s="77">
        <v>0.22833304354645198</v>
      </c>
      <c r="E172" s="77">
        <v>0.19057160244810747</v>
      </c>
      <c r="F172" s="77">
        <v>0.19057160244810747</v>
      </c>
      <c r="G172" s="77">
        <v>0.19057160244810747</v>
      </c>
      <c r="H172" s="77">
        <v>0.38762068927090471</v>
      </c>
    </row>
    <row r="173" spans="3:8" x14ac:dyDescent="0.15">
      <c r="C173" s="35">
        <v>2035</v>
      </c>
      <c r="D173" s="77">
        <v>0.23602720704793265</v>
      </c>
      <c r="E173" s="77">
        <v>0.19057160244810747</v>
      </c>
      <c r="F173" s="77">
        <v>0.19057160244810747</v>
      </c>
      <c r="G173" s="77">
        <v>0.19057160244810747</v>
      </c>
      <c r="H173" s="77">
        <v>0.38762068927090471</v>
      </c>
    </row>
    <row r="174" spans="3:8" x14ac:dyDescent="0.15">
      <c r="C174" s="35">
        <v>2036</v>
      </c>
      <c r="D174" s="77">
        <v>0.24393301026996933</v>
      </c>
      <c r="E174" s="77">
        <v>0.19057160244810747</v>
      </c>
      <c r="F174" s="77">
        <v>0.19057160244810747</v>
      </c>
      <c r="G174" s="77">
        <v>0.19057160244810747</v>
      </c>
      <c r="H174" s="77">
        <v>0.38762068927090471</v>
      </c>
    </row>
    <row r="175" spans="3:8" x14ac:dyDescent="0.15">
      <c r="C175" s="35">
        <v>2037</v>
      </c>
      <c r="D175" s="77">
        <v>0.25224031436085981</v>
      </c>
      <c r="E175" s="77">
        <v>0.19057160244810747</v>
      </c>
      <c r="F175" s="77">
        <v>0.19057160244810747</v>
      </c>
      <c r="G175" s="77">
        <v>0.38762068927090471</v>
      </c>
      <c r="H175" s="77">
        <v>0.38762068927090471</v>
      </c>
    </row>
    <row r="176" spans="3:8" x14ac:dyDescent="0.15">
      <c r="C176" s="35">
        <v>2038</v>
      </c>
      <c r="D176" s="77">
        <v>0.26009076814772492</v>
      </c>
      <c r="E176" s="77">
        <v>0.19057160244810747</v>
      </c>
      <c r="F176" s="77">
        <v>0.19057160244810747</v>
      </c>
      <c r="G176" s="77">
        <v>0.38762068927090471</v>
      </c>
      <c r="H176" s="77">
        <v>0.38762068927090471</v>
      </c>
    </row>
    <row r="177" spans="3:8" x14ac:dyDescent="0.15">
      <c r="C177" s="35">
        <v>2039</v>
      </c>
      <c r="D177" s="77">
        <v>0.26866883995617552</v>
      </c>
      <c r="E177" s="77">
        <v>0.19057160244810747</v>
      </c>
      <c r="F177" s="77">
        <v>0.19057160244810747</v>
      </c>
      <c r="G177" s="77">
        <v>0.38762068927090471</v>
      </c>
      <c r="H177" s="77">
        <v>0.38762068927090471</v>
      </c>
    </row>
    <row r="178" spans="3:8" x14ac:dyDescent="0.15">
      <c r="C178" s="35">
        <v>2040</v>
      </c>
      <c r="D178" s="77">
        <v>0.27704421814779251</v>
      </c>
      <c r="E178" s="77">
        <v>0.19057160244810747</v>
      </c>
      <c r="F178" s="77">
        <v>0.19057160244810747</v>
      </c>
      <c r="G178" s="77">
        <v>0.38762068927090471</v>
      </c>
      <c r="H178" s="77">
        <v>0.38762068927090471</v>
      </c>
    </row>
    <row r="179" spans="3:8" x14ac:dyDescent="0.15">
      <c r="C179" s="35">
        <v>2041</v>
      </c>
      <c r="D179" s="77">
        <v>0.28500525926263709</v>
      </c>
      <c r="E179" s="77">
        <v>0.19057160244810747</v>
      </c>
      <c r="F179" s="77">
        <v>0.19057160244810747</v>
      </c>
      <c r="G179" s="77">
        <v>0.38762068927090471</v>
      </c>
      <c r="H179" s="77">
        <v>0.38762068927090471</v>
      </c>
    </row>
    <row r="180" spans="3:8" x14ac:dyDescent="0.15">
      <c r="C180" s="35">
        <v>2042</v>
      </c>
      <c r="D180" s="77">
        <v>0.29359826543349077</v>
      </c>
      <c r="E180" s="77">
        <v>0.19057160244810747</v>
      </c>
      <c r="F180" s="77">
        <v>0.19057160244810747</v>
      </c>
      <c r="G180" s="77">
        <v>0.38762068927090471</v>
      </c>
      <c r="H180" s="77">
        <v>0.38762068927090471</v>
      </c>
    </row>
    <row r="181" spans="3:8" x14ac:dyDescent="0.15">
      <c r="C181" s="35">
        <v>2043</v>
      </c>
      <c r="D181" s="77">
        <v>0.30191384097999019</v>
      </c>
      <c r="E181" s="77">
        <v>0.19057160244810747</v>
      </c>
      <c r="F181" s="77">
        <v>0.19057160244810747</v>
      </c>
      <c r="G181" s="77">
        <v>0.38762068927090471</v>
      </c>
      <c r="H181" s="77">
        <v>0.62986811801982812</v>
      </c>
    </row>
    <row r="182" spans="3:8" x14ac:dyDescent="0.15">
      <c r="C182" s="35">
        <v>2044</v>
      </c>
      <c r="D182" s="77">
        <v>0.30979529573127473</v>
      </c>
      <c r="E182" s="77">
        <v>0.19057160244810747</v>
      </c>
      <c r="F182" s="77">
        <v>0.19057160244810747</v>
      </c>
      <c r="G182" s="77">
        <v>0.38762068927090471</v>
      </c>
      <c r="H182" s="77">
        <v>0.62986811801982812</v>
      </c>
    </row>
    <row r="183" spans="3:8" x14ac:dyDescent="0.15">
      <c r="C183" s="35">
        <v>2045</v>
      </c>
      <c r="D183" s="77">
        <v>0.31823154506252987</v>
      </c>
      <c r="E183" s="77">
        <v>0.19057160244810747</v>
      </c>
      <c r="F183" s="77">
        <v>0.19057160244810747</v>
      </c>
      <c r="G183" s="77">
        <v>0.38762068927090471</v>
      </c>
      <c r="H183" s="77">
        <v>0.62986811801982812</v>
      </c>
    </row>
    <row r="184" spans="3:8" x14ac:dyDescent="0.15">
      <c r="C184" s="35">
        <v>2046</v>
      </c>
      <c r="D184" s="77">
        <v>0.32749640658713441</v>
      </c>
      <c r="E184" s="77">
        <v>0.19057160244810747</v>
      </c>
      <c r="F184" s="77">
        <v>0.19057160244810747</v>
      </c>
      <c r="G184" s="77">
        <v>0.38762068927090471</v>
      </c>
      <c r="H184" s="77">
        <v>0.62986811801982812</v>
      </c>
    </row>
    <row r="185" spans="3:8" x14ac:dyDescent="0.15">
      <c r="C185" s="35">
        <v>2047</v>
      </c>
      <c r="D185" s="77">
        <v>0.3359307624409385</v>
      </c>
      <c r="E185" s="77">
        <v>0.19057160244810747</v>
      </c>
      <c r="F185" s="77">
        <v>0.19057160244810747</v>
      </c>
      <c r="G185" s="77">
        <v>0.38762068927090471</v>
      </c>
      <c r="H185" s="77">
        <v>0.62986811801982812</v>
      </c>
    </row>
    <row r="186" spans="3:8" x14ac:dyDescent="0.15">
      <c r="C186" s="35">
        <v>2048</v>
      </c>
      <c r="D186" s="77">
        <v>0.34436503418542297</v>
      </c>
      <c r="E186" s="77">
        <v>0.19057160244810747</v>
      </c>
      <c r="F186" s="77">
        <v>0.19057160244810747</v>
      </c>
      <c r="G186" s="77">
        <v>0.38762068927090471</v>
      </c>
      <c r="H186" s="77">
        <v>0.62986811801982812</v>
      </c>
    </row>
    <row r="187" spans="3:8" x14ac:dyDescent="0.15">
      <c r="C187" s="35">
        <v>2049</v>
      </c>
      <c r="D187" s="77">
        <v>0.3529023168855297</v>
      </c>
      <c r="E187" s="77">
        <v>0.19057160244810747</v>
      </c>
      <c r="F187" s="77">
        <v>0.19057160244810747</v>
      </c>
      <c r="G187" s="77">
        <v>0.38762068927090471</v>
      </c>
      <c r="H187" s="77">
        <v>0.62986811801982812</v>
      </c>
    </row>
    <row r="188" spans="3:8" x14ac:dyDescent="0.15">
      <c r="C188" s="35">
        <v>2050</v>
      </c>
      <c r="D188" s="77">
        <v>0.36149503525895782</v>
      </c>
      <c r="E188" s="77">
        <v>0.19057160244810747</v>
      </c>
      <c r="F188" s="77">
        <v>0.19057160244810747</v>
      </c>
      <c r="G188" s="77">
        <v>0.38762068927090471</v>
      </c>
      <c r="H188" s="77">
        <v>0.62986811801982812</v>
      </c>
    </row>
    <row r="191" spans="3:8" x14ac:dyDescent="0.15">
      <c r="C191" s="93" t="s">
        <v>175</v>
      </c>
    </row>
    <row r="192" spans="3:8" ht="16" x14ac:dyDescent="0.3">
      <c r="C192" s="96" t="s">
        <v>106</v>
      </c>
      <c r="D192" s="96" t="s">
        <v>167</v>
      </c>
      <c r="E192" s="96" t="s">
        <v>168</v>
      </c>
      <c r="F192" s="96" t="s">
        <v>169</v>
      </c>
      <c r="G192" s="96" t="s">
        <v>170</v>
      </c>
      <c r="H192" s="96" t="s">
        <v>171</v>
      </c>
    </row>
    <row r="193" spans="3:8" x14ac:dyDescent="0.15">
      <c r="C193" s="35">
        <v>2030</v>
      </c>
      <c r="D193" s="77">
        <v>0.62491713186521802</v>
      </c>
      <c r="E193" s="77">
        <v>0.58235260895132823</v>
      </c>
      <c r="F193" s="77">
        <v>0.58235260895132823</v>
      </c>
      <c r="G193" s="77">
        <v>0.58235260895132823</v>
      </c>
      <c r="H193" s="77">
        <v>0.58235260895132823</v>
      </c>
    </row>
    <row r="194" spans="3:8" x14ac:dyDescent="0.15">
      <c r="C194" s="35">
        <v>2031</v>
      </c>
      <c r="D194" s="77">
        <v>0.67044757452185699</v>
      </c>
      <c r="E194" s="77">
        <v>0.58235260895132823</v>
      </c>
      <c r="F194" s="77">
        <v>0.58235260895132823</v>
      </c>
      <c r="G194" s="77">
        <v>0.58235260895132823</v>
      </c>
      <c r="H194" s="77">
        <v>0.58235260895132823</v>
      </c>
    </row>
    <row r="195" spans="3:8" x14ac:dyDescent="0.15">
      <c r="C195" s="35">
        <v>2032</v>
      </c>
      <c r="D195" s="77">
        <v>0.71742952625481726</v>
      </c>
      <c r="E195" s="77">
        <v>0.58235260895132823</v>
      </c>
      <c r="F195" s="77">
        <v>0.58235260895132823</v>
      </c>
      <c r="G195" s="77">
        <v>0.58235260895132823</v>
      </c>
      <c r="H195" s="77">
        <v>1.6179857698719116</v>
      </c>
    </row>
    <row r="196" spans="3:8" x14ac:dyDescent="0.15">
      <c r="C196" s="35">
        <v>2033</v>
      </c>
      <c r="D196" s="77">
        <v>0.76728878075036977</v>
      </c>
      <c r="E196" s="77">
        <v>0.58235260895132823</v>
      </c>
      <c r="F196" s="77">
        <v>0.58235260895132823</v>
      </c>
      <c r="G196" s="77">
        <v>0.58235260895132823</v>
      </c>
      <c r="H196" s="77">
        <v>1.6179857698719116</v>
      </c>
    </row>
    <row r="197" spans="3:8" x14ac:dyDescent="0.15">
      <c r="C197" s="35">
        <v>2034</v>
      </c>
      <c r="D197" s="77">
        <v>0.82383308796490906</v>
      </c>
      <c r="E197" s="77">
        <v>0.58235260895132823</v>
      </c>
      <c r="F197" s="77">
        <v>0.58235260895132823</v>
      </c>
      <c r="G197" s="77">
        <v>0.58235260895132823</v>
      </c>
      <c r="H197" s="77">
        <v>1.6179857698719116</v>
      </c>
    </row>
    <row r="198" spans="3:8" x14ac:dyDescent="0.15">
      <c r="C198" s="35">
        <v>2035</v>
      </c>
      <c r="D198" s="77">
        <v>0.87939623594010607</v>
      </c>
      <c r="E198" s="77">
        <v>0.58235260895132823</v>
      </c>
      <c r="F198" s="77">
        <v>0.58235260895132823</v>
      </c>
      <c r="G198" s="77">
        <v>0.58235260895132823</v>
      </c>
      <c r="H198" s="77">
        <v>1.6179857698719116</v>
      </c>
    </row>
    <row r="199" spans="3:8" x14ac:dyDescent="0.15">
      <c r="C199" s="35">
        <v>2036</v>
      </c>
      <c r="D199" s="77">
        <v>0.9347378688352268</v>
      </c>
      <c r="E199" s="77">
        <v>0.58235260895132823</v>
      </c>
      <c r="F199" s="77">
        <v>0.58235260895132823</v>
      </c>
      <c r="G199" s="77">
        <v>1.6179857698719116</v>
      </c>
      <c r="H199" s="77">
        <v>1.6179857698719116</v>
      </c>
    </row>
    <row r="200" spans="3:8" x14ac:dyDescent="0.15">
      <c r="C200" s="35">
        <v>2037</v>
      </c>
      <c r="D200" s="77">
        <v>1.0075449413581636</v>
      </c>
      <c r="E200" s="77">
        <v>0.58235260895132823</v>
      </c>
      <c r="F200" s="77">
        <v>0.58235260895132823</v>
      </c>
      <c r="G200" s="77">
        <v>1.6179857698719116</v>
      </c>
      <c r="H200" s="77">
        <v>1.6179857698719116</v>
      </c>
    </row>
    <row r="201" spans="3:8" x14ac:dyDescent="0.15">
      <c r="C201" s="35">
        <v>2038</v>
      </c>
      <c r="D201" s="77">
        <v>1.0798229991102901</v>
      </c>
      <c r="E201" s="77">
        <v>0.58235260895132823</v>
      </c>
      <c r="F201" s="77">
        <v>0.58235260895132823</v>
      </c>
      <c r="G201" s="77">
        <v>1.6179857698719116</v>
      </c>
      <c r="H201" s="77">
        <v>1.6179857698719116</v>
      </c>
    </row>
    <row r="202" spans="3:8" x14ac:dyDescent="0.15">
      <c r="C202" s="35">
        <v>2039</v>
      </c>
      <c r="D202" s="77">
        <v>1.1515056506429</v>
      </c>
      <c r="E202" s="77">
        <v>0.58235260895132823</v>
      </c>
      <c r="F202" s="77">
        <v>0.58235260895132823</v>
      </c>
      <c r="G202" s="77">
        <v>1.6179857698719116</v>
      </c>
      <c r="H202" s="77">
        <v>1.6179857698719116</v>
      </c>
    </row>
    <row r="203" spans="3:8" x14ac:dyDescent="0.15">
      <c r="C203" s="35">
        <v>2040</v>
      </c>
      <c r="D203" s="77">
        <v>1.2165295410988335</v>
      </c>
      <c r="E203" s="77">
        <v>0.58235260895132823</v>
      </c>
      <c r="F203" s="77">
        <v>0.58235260895132823</v>
      </c>
      <c r="G203" s="77">
        <v>1.6179857698719116</v>
      </c>
      <c r="H203" s="77">
        <v>1.6179857698719116</v>
      </c>
    </row>
    <row r="204" spans="3:8" x14ac:dyDescent="0.15">
      <c r="C204" s="35">
        <v>2041</v>
      </c>
      <c r="D204" s="77">
        <v>1.3001384514996315</v>
      </c>
      <c r="E204" s="77">
        <v>0.58235260895132823</v>
      </c>
      <c r="F204" s="77">
        <v>0.58235260895132823</v>
      </c>
      <c r="G204" s="77">
        <v>1.6179857698719116</v>
      </c>
      <c r="H204" s="77">
        <v>1.6179857698719116</v>
      </c>
    </row>
    <row r="205" spans="3:8" x14ac:dyDescent="0.15">
      <c r="C205" s="35">
        <v>2042</v>
      </c>
      <c r="D205" s="77">
        <v>1.3926209690152063</v>
      </c>
      <c r="E205" s="77">
        <v>0.58235260895132823</v>
      </c>
      <c r="F205" s="77">
        <v>0.58235260895132823</v>
      </c>
      <c r="G205" s="77">
        <v>1.6179857698719116</v>
      </c>
      <c r="H205" s="77">
        <v>1.6179857698719116</v>
      </c>
    </row>
    <row r="206" spans="3:8" x14ac:dyDescent="0.15">
      <c r="C206" s="35">
        <v>2043</v>
      </c>
      <c r="D206" s="77">
        <v>1.5023248153975046</v>
      </c>
      <c r="E206" s="77">
        <v>0.58235260895132823</v>
      </c>
      <c r="F206" s="77">
        <v>0.58235260895132823</v>
      </c>
      <c r="G206" s="77">
        <v>1.6179857698719116</v>
      </c>
      <c r="H206" s="77">
        <v>4.4022640467431948</v>
      </c>
    </row>
    <row r="207" spans="3:8" x14ac:dyDescent="0.15">
      <c r="C207" s="35">
        <v>2044</v>
      </c>
      <c r="D207" s="77">
        <v>1.6041926943570006</v>
      </c>
      <c r="E207" s="77">
        <v>0.58235260895132823</v>
      </c>
      <c r="F207" s="77">
        <v>0.58235260895132823</v>
      </c>
      <c r="G207" s="77">
        <v>1.6179857698719116</v>
      </c>
      <c r="H207" s="77">
        <v>4.4022640467431948</v>
      </c>
    </row>
    <row r="208" spans="3:8" x14ac:dyDescent="0.15">
      <c r="C208" s="35">
        <v>2045</v>
      </c>
      <c r="D208" s="77">
        <v>1.7179139590474501</v>
      </c>
      <c r="E208" s="77">
        <v>0.58235260895132823</v>
      </c>
      <c r="F208" s="77">
        <v>0.58235260895132823</v>
      </c>
      <c r="G208" s="77">
        <v>1.6179857698719116</v>
      </c>
      <c r="H208" s="77">
        <v>4.4022640467431948</v>
      </c>
    </row>
    <row r="209" spans="3:8" x14ac:dyDescent="0.15">
      <c r="C209" s="35">
        <v>2046</v>
      </c>
      <c r="D209" s="77">
        <v>1.8099465776755321</v>
      </c>
      <c r="E209" s="77">
        <v>0.58235260895132823</v>
      </c>
      <c r="F209" s="77">
        <v>0.58235260895132823</v>
      </c>
      <c r="G209" s="77">
        <v>1.6179857698719116</v>
      </c>
      <c r="H209" s="77">
        <v>4.4022640467431948</v>
      </c>
    </row>
    <row r="210" spans="3:8" x14ac:dyDescent="0.15">
      <c r="C210" s="35">
        <v>2047</v>
      </c>
      <c r="D210" s="77">
        <v>1.937356084069199</v>
      </c>
      <c r="E210" s="77">
        <v>0.58235260895132823</v>
      </c>
      <c r="F210" s="77">
        <v>0.58235260895132823</v>
      </c>
      <c r="G210" s="77">
        <v>1.6179857698719116</v>
      </c>
      <c r="H210" s="77">
        <v>4.4022640467431948</v>
      </c>
    </row>
    <row r="211" spans="3:8" x14ac:dyDescent="0.15">
      <c r="C211" s="35">
        <v>2048</v>
      </c>
      <c r="D211" s="77">
        <v>2.0790283621938102</v>
      </c>
      <c r="E211" s="77">
        <v>0.58235260895132823</v>
      </c>
      <c r="F211" s="77">
        <v>0.58235260895132823</v>
      </c>
      <c r="G211" s="77">
        <v>1.6179857698719116</v>
      </c>
      <c r="H211" s="77">
        <v>4.4022640467431948</v>
      </c>
    </row>
    <row r="212" spans="3:8" x14ac:dyDescent="0.15">
      <c r="C212" s="35">
        <v>2049</v>
      </c>
      <c r="D212" s="77">
        <v>2.2103627713258418</v>
      </c>
      <c r="E212" s="77">
        <v>0.58235260895132823</v>
      </c>
      <c r="F212" s="77">
        <v>0.58235260895132823</v>
      </c>
      <c r="G212" s="77">
        <v>1.6179857698719116</v>
      </c>
      <c r="H212" s="77">
        <v>4.4022640467431948</v>
      </c>
    </row>
    <row r="213" spans="3:8" x14ac:dyDescent="0.15">
      <c r="C213" s="35">
        <v>2050</v>
      </c>
      <c r="D213" s="77">
        <v>2.3508743346509209</v>
      </c>
      <c r="E213" s="77">
        <v>0.58235260895132823</v>
      </c>
      <c r="F213" s="77">
        <v>0.58235260895132823</v>
      </c>
      <c r="G213" s="77">
        <v>1.6179857698719116</v>
      </c>
      <c r="H213" s="77">
        <v>4.4022640467431948</v>
      </c>
    </row>
    <row r="215" spans="3:8" x14ac:dyDescent="0.15">
      <c r="C215" s="93" t="s">
        <v>176</v>
      </c>
    </row>
    <row r="216" spans="3:8" ht="16" x14ac:dyDescent="0.3">
      <c r="C216" s="96" t="s">
        <v>106</v>
      </c>
      <c r="D216" s="96" t="s">
        <v>167</v>
      </c>
      <c r="E216" s="96" t="s">
        <v>168</v>
      </c>
      <c r="F216" s="96" t="s">
        <v>169</v>
      </c>
      <c r="G216" s="96" t="s">
        <v>170</v>
      </c>
      <c r="H216" s="96" t="s">
        <v>171</v>
      </c>
    </row>
    <row r="217" spans="3:8" x14ac:dyDescent="0.15">
      <c r="C217" s="35">
        <v>2030</v>
      </c>
      <c r="D217" s="77">
        <v>0.39757705859254022</v>
      </c>
      <c r="E217" s="77">
        <v>0.38762068927090471</v>
      </c>
      <c r="F217" s="77">
        <v>0.38762068927090471</v>
      </c>
      <c r="G217" s="77">
        <v>0.38762068927090471</v>
      </c>
      <c r="H217" s="77">
        <v>0.38762068927090471</v>
      </c>
    </row>
    <row r="218" spans="3:8" x14ac:dyDescent="0.15">
      <c r="C218" s="35">
        <v>2031</v>
      </c>
      <c r="D218" s="77">
        <v>0.40758247292606714</v>
      </c>
      <c r="E218" s="77">
        <v>0.38762068927090471</v>
      </c>
      <c r="F218" s="77">
        <v>0.38762068927090471</v>
      </c>
      <c r="G218" s="77">
        <v>0.38762068927090471</v>
      </c>
      <c r="H218" s="77">
        <v>0.38762068927090471</v>
      </c>
    </row>
    <row r="219" spans="3:8" x14ac:dyDescent="0.15">
      <c r="C219" s="35">
        <v>2032</v>
      </c>
      <c r="D219" s="77">
        <v>0.41719058994230729</v>
      </c>
      <c r="E219" s="77">
        <v>0.38762068927090471</v>
      </c>
      <c r="F219" s="77">
        <v>0.38762068927090471</v>
      </c>
      <c r="G219" s="77">
        <v>0.38762068927090471</v>
      </c>
      <c r="H219" s="77">
        <v>0.62986811801982812</v>
      </c>
    </row>
    <row r="220" spans="3:8" x14ac:dyDescent="0.15">
      <c r="C220" s="35">
        <v>2033</v>
      </c>
      <c r="D220" s="77">
        <v>0.42645161916190172</v>
      </c>
      <c r="E220" s="77">
        <v>0.38762068927090471</v>
      </c>
      <c r="F220" s="77">
        <v>0.38762068927090471</v>
      </c>
      <c r="G220" s="77">
        <v>0.38762068927090471</v>
      </c>
      <c r="H220" s="77">
        <v>0.62986811801982812</v>
      </c>
    </row>
    <row r="221" spans="3:8" x14ac:dyDescent="0.15">
      <c r="C221" s="35">
        <v>2034</v>
      </c>
      <c r="D221" s="77">
        <v>0.43597293919161312</v>
      </c>
      <c r="E221" s="77">
        <v>0.38762068927090471</v>
      </c>
      <c r="F221" s="77">
        <v>0.38762068927090471</v>
      </c>
      <c r="G221" s="77">
        <v>0.38762068927090471</v>
      </c>
      <c r="H221" s="77">
        <v>0.62986811801982812</v>
      </c>
    </row>
    <row r="222" spans="3:8" x14ac:dyDescent="0.15">
      <c r="C222" s="35">
        <v>2035</v>
      </c>
      <c r="D222" s="77">
        <v>0.44524522447096126</v>
      </c>
      <c r="E222" s="77">
        <v>0.38762068927090471</v>
      </c>
      <c r="F222" s="77">
        <v>0.38762068927090471</v>
      </c>
      <c r="G222" s="77">
        <v>0.38762068927090471</v>
      </c>
      <c r="H222" s="77">
        <v>0.62986811801982812</v>
      </c>
    </row>
    <row r="223" spans="3:8" x14ac:dyDescent="0.15">
      <c r="C223" s="35">
        <v>2036</v>
      </c>
      <c r="D223" s="77">
        <v>0.45386837833814797</v>
      </c>
      <c r="E223" s="77">
        <v>0.38762068927090471</v>
      </c>
      <c r="F223" s="77">
        <v>0.38762068927090471</v>
      </c>
      <c r="G223" s="77">
        <v>0.62986811801982812</v>
      </c>
      <c r="H223" s="77">
        <v>0.62986811801982812</v>
      </c>
    </row>
    <row r="224" spans="3:8" x14ac:dyDescent="0.15">
      <c r="C224" s="35">
        <v>2037</v>
      </c>
      <c r="D224" s="77">
        <v>0.46327711116473164</v>
      </c>
      <c r="E224" s="77">
        <v>0.38762068927090471</v>
      </c>
      <c r="F224" s="77">
        <v>0.38762068927090471</v>
      </c>
      <c r="G224" s="77">
        <v>0.62986811801982812</v>
      </c>
      <c r="H224" s="77">
        <v>0.62986811801982812</v>
      </c>
    </row>
    <row r="225" spans="1:12" x14ac:dyDescent="0.15">
      <c r="C225" s="35">
        <v>2038</v>
      </c>
      <c r="D225" s="77">
        <v>0.47179384767362809</v>
      </c>
      <c r="E225" s="77">
        <v>0.38762068927090471</v>
      </c>
      <c r="F225" s="77">
        <v>0.38762068927090471</v>
      </c>
      <c r="G225" s="77">
        <v>0.62986811801982812</v>
      </c>
      <c r="H225" s="77">
        <v>0.62986811801982812</v>
      </c>
    </row>
    <row r="226" spans="1:12" x14ac:dyDescent="0.15">
      <c r="C226" s="35">
        <v>2039</v>
      </c>
      <c r="D226" s="77">
        <v>0.48080349477059919</v>
      </c>
      <c r="E226" s="77">
        <v>0.38762068927090471</v>
      </c>
      <c r="F226" s="77">
        <v>0.38762068927090471</v>
      </c>
      <c r="G226" s="77">
        <v>0.62986811801982812</v>
      </c>
      <c r="H226" s="77">
        <v>0.62986811801982812</v>
      </c>
    </row>
    <row r="227" spans="1:12" x14ac:dyDescent="0.15">
      <c r="C227" s="35">
        <v>2040</v>
      </c>
      <c r="D227" s="77">
        <v>0.48889339856390435</v>
      </c>
      <c r="E227" s="77">
        <v>0.38762068927090471</v>
      </c>
      <c r="F227" s="77">
        <v>0.38762068927090471</v>
      </c>
      <c r="G227" s="77">
        <v>0.62986811801982812</v>
      </c>
      <c r="H227" s="77">
        <v>0.62986811801982812</v>
      </c>
    </row>
    <row r="228" spans="1:12" x14ac:dyDescent="0.15">
      <c r="C228" s="35">
        <v>2041</v>
      </c>
      <c r="D228" s="77">
        <v>0.49737684941654897</v>
      </c>
      <c r="E228" s="77">
        <v>0.38762068927090471</v>
      </c>
      <c r="F228" s="77">
        <v>0.38762068927090471</v>
      </c>
      <c r="G228" s="77">
        <v>0.62986811801982812</v>
      </c>
      <c r="H228" s="77">
        <v>0.62986811801982812</v>
      </c>
    </row>
    <row r="229" spans="1:12" x14ac:dyDescent="0.15">
      <c r="C229" s="35">
        <v>2042</v>
      </c>
      <c r="D229" s="77">
        <v>0.50611687787073323</v>
      </c>
      <c r="E229" s="77">
        <v>0.38762068927090471</v>
      </c>
      <c r="F229" s="77">
        <v>0.38762068927090471</v>
      </c>
      <c r="G229" s="77">
        <v>0.62986811801982812</v>
      </c>
      <c r="H229" s="77">
        <v>0.62986811801982812</v>
      </c>
    </row>
    <row r="230" spans="1:12" x14ac:dyDescent="0.15">
      <c r="C230" s="35">
        <v>2043</v>
      </c>
      <c r="D230" s="77">
        <v>0.51420567340343037</v>
      </c>
      <c r="E230" s="77">
        <v>0.38762068927090471</v>
      </c>
      <c r="F230" s="77">
        <v>0.38762068927090471</v>
      </c>
      <c r="G230" s="77">
        <v>0.62986811801982812</v>
      </c>
      <c r="H230" s="77">
        <v>0.82063075932318219</v>
      </c>
    </row>
    <row r="231" spans="1:12" x14ac:dyDescent="0.15">
      <c r="C231" s="35">
        <v>2044</v>
      </c>
      <c r="D231" s="77">
        <v>0.52239176080063288</v>
      </c>
      <c r="E231" s="77">
        <v>0.38762068927090471</v>
      </c>
      <c r="F231" s="77">
        <v>0.38762068927090471</v>
      </c>
      <c r="G231" s="77">
        <v>0.62986811801982812</v>
      </c>
      <c r="H231" s="77">
        <v>0.82063075932318219</v>
      </c>
    </row>
    <row r="232" spans="1:12" x14ac:dyDescent="0.15">
      <c r="C232" s="35">
        <v>2045</v>
      </c>
      <c r="D232" s="77">
        <v>0.53062124061062632</v>
      </c>
      <c r="E232" s="77">
        <v>0.38762068927090471</v>
      </c>
      <c r="F232" s="77">
        <v>0.38762068927090471</v>
      </c>
      <c r="G232" s="77">
        <v>0.62986811801982812</v>
      </c>
      <c r="H232" s="77">
        <v>0.82063075932318219</v>
      </c>
    </row>
    <row r="233" spans="1:12" x14ac:dyDescent="0.15">
      <c r="C233" s="35">
        <v>2046</v>
      </c>
      <c r="D233" s="77">
        <v>0.53798098347624301</v>
      </c>
      <c r="E233" s="77">
        <v>0.38762068927090471</v>
      </c>
      <c r="F233" s="77">
        <v>0.38762068927090471</v>
      </c>
      <c r="G233" s="77">
        <v>0.62986811801982812</v>
      </c>
      <c r="H233" s="77">
        <v>0.82063075932318219</v>
      </c>
    </row>
    <row r="234" spans="1:12" x14ac:dyDescent="0.15">
      <c r="C234" s="35">
        <v>2047</v>
      </c>
      <c r="D234" s="77">
        <v>0.54585364492991573</v>
      </c>
      <c r="E234" s="77">
        <v>0.38762068927090471</v>
      </c>
      <c r="F234" s="77">
        <v>0.38762068927090471</v>
      </c>
      <c r="G234" s="77">
        <v>0.62986811801982812</v>
      </c>
      <c r="H234" s="77">
        <v>0.82063075932318219</v>
      </c>
    </row>
    <row r="235" spans="1:12" x14ac:dyDescent="0.15">
      <c r="C235" s="35">
        <v>2048</v>
      </c>
      <c r="D235" s="77">
        <v>0.5536146213315114</v>
      </c>
      <c r="E235" s="77">
        <v>0.38762068927090471</v>
      </c>
      <c r="F235" s="77">
        <v>0.38762068927090471</v>
      </c>
      <c r="G235" s="77">
        <v>0.62986811801982812</v>
      </c>
      <c r="H235" s="77">
        <v>0.82063075932318219</v>
      </c>
    </row>
    <row r="236" spans="1:12" x14ac:dyDescent="0.15">
      <c r="C236" s="35">
        <v>2049</v>
      </c>
      <c r="D236" s="77">
        <v>0.56088135795452176</v>
      </c>
      <c r="E236" s="77">
        <v>0.38762068927090471</v>
      </c>
      <c r="F236" s="77">
        <v>0.38762068927090471</v>
      </c>
      <c r="G236" s="77">
        <v>0.62986811801982812</v>
      </c>
      <c r="H236" s="77">
        <v>0.82063075932318219</v>
      </c>
    </row>
    <row r="237" spans="1:12" x14ac:dyDescent="0.15">
      <c r="C237" s="35">
        <v>2050</v>
      </c>
      <c r="D237" s="77">
        <v>0.56821444066199334</v>
      </c>
      <c r="E237" s="77">
        <v>0.38762068927090471</v>
      </c>
      <c r="F237" s="77">
        <v>0.38762068927090471</v>
      </c>
      <c r="G237" s="77">
        <v>0.62986811801982812</v>
      </c>
      <c r="H237" s="77">
        <v>0.82063075932318219</v>
      </c>
    </row>
    <row r="239" spans="1:12" x14ac:dyDescent="0.15">
      <c r="A239" s="35" t="s">
        <v>112</v>
      </c>
      <c r="C239" s="93" t="s">
        <v>178</v>
      </c>
    </row>
    <row r="240" spans="1:12" ht="16" x14ac:dyDescent="0.3">
      <c r="C240" s="96" t="s">
        <v>106</v>
      </c>
      <c r="D240" s="96" t="s">
        <v>180</v>
      </c>
      <c r="E240" s="96" t="s">
        <v>179</v>
      </c>
      <c r="F240" s="96" t="s">
        <v>181</v>
      </c>
      <c r="G240" s="96" t="s">
        <v>182</v>
      </c>
      <c r="H240" s="96" t="s">
        <v>183</v>
      </c>
      <c r="I240" s="96" t="s">
        <v>184</v>
      </c>
      <c r="J240" s="96" t="s">
        <v>185</v>
      </c>
      <c r="K240" s="96" t="s">
        <v>186</v>
      </c>
      <c r="L240" s="96" t="s">
        <v>187</v>
      </c>
    </row>
    <row r="241" spans="3:12" x14ac:dyDescent="0.15">
      <c r="C241" s="35">
        <v>2022</v>
      </c>
      <c r="D241" s="141">
        <v>0</v>
      </c>
      <c r="E241" s="141">
        <v>0</v>
      </c>
      <c r="F241" s="97" cm="1">
        <f t="array" ref="F241:F248">D51:D58</f>
        <v>0</v>
      </c>
      <c r="G241" s="141">
        <v>0</v>
      </c>
      <c r="H241" s="141">
        <v>0</v>
      </c>
      <c r="I241" s="97" cm="1">
        <f t="array" ref="I241:I248">E51:E58</f>
        <v>0</v>
      </c>
      <c r="J241" s="141">
        <v>0</v>
      </c>
      <c r="K241" s="141">
        <v>0</v>
      </c>
      <c r="L241" s="97" cm="1">
        <f t="array" ref="L241:L248">G51:G58</f>
        <v>0</v>
      </c>
    </row>
    <row r="242" spans="3:12" x14ac:dyDescent="0.15">
      <c r="C242" s="35">
        <f>C241+1</f>
        <v>2023</v>
      </c>
      <c r="D242" s="141">
        <v>0</v>
      </c>
      <c r="E242" s="141">
        <v>0</v>
      </c>
      <c r="F242" s="97">
        <v>0</v>
      </c>
      <c r="G242" s="141">
        <v>0</v>
      </c>
      <c r="H242" s="141">
        <v>0</v>
      </c>
      <c r="I242" s="97">
        <v>0</v>
      </c>
      <c r="J242" s="141">
        <v>0</v>
      </c>
      <c r="K242" s="141">
        <v>0</v>
      </c>
      <c r="L242" s="97">
        <v>0</v>
      </c>
    </row>
    <row r="243" spans="3:12" x14ac:dyDescent="0.15">
      <c r="C243" s="35">
        <f t="shared" ref="C243:C268" si="8">C242+1</f>
        <v>2024</v>
      </c>
      <c r="D243" s="141">
        <v>0</v>
      </c>
      <c r="E243" s="141">
        <v>0</v>
      </c>
      <c r="F243" s="97">
        <v>2.8776061433620326E-2</v>
      </c>
      <c r="G243" s="141">
        <v>0</v>
      </c>
      <c r="H243" s="141">
        <v>0</v>
      </c>
      <c r="I243" s="97">
        <v>2.8776061433620326E-2</v>
      </c>
      <c r="J243" s="141">
        <v>0</v>
      </c>
      <c r="K243" s="141">
        <v>0</v>
      </c>
      <c r="L243" s="97">
        <v>2.8776061433620326E-2</v>
      </c>
    </row>
    <row r="244" spans="3:12" x14ac:dyDescent="0.15">
      <c r="C244" s="35">
        <f t="shared" si="8"/>
        <v>2025</v>
      </c>
      <c r="D244" s="141">
        <v>0</v>
      </c>
      <c r="E244" s="141">
        <v>0</v>
      </c>
      <c r="F244" s="97">
        <v>3.1030770278702269E-2</v>
      </c>
      <c r="G244" s="141">
        <v>0</v>
      </c>
      <c r="H244" s="141">
        <v>0</v>
      </c>
      <c r="I244" s="97">
        <v>3.1030770278702269E-2</v>
      </c>
      <c r="J244" s="141">
        <v>0</v>
      </c>
      <c r="K244" s="141">
        <v>0</v>
      </c>
      <c r="L244" s="97">
        <v>3.1030770278702269E-2</v>
      </c>
    </row>
    <row r="245" spans="3:12" x14ac:dyDescent="0.15">
      <c r="C245" s="35">
        <f t="shared" si="8"/>
        <v>2026</v>
      </c>
      <c r="D245" s="141">
        <v>0</v>
      </c>
      <c r="E245" s="141">
        <v>0</v>
      </c>
      <c r="F245" s="97">
        <v>3.6775947322711167E-2</v>
      </c>
      <c r="G245" s="141">
        <v>0</v>
      </c>
      <c r="H245" s="141">
        <v>0</v>
      </c>
      <c r="I245" s="97">
        <v>3.6775947322711167E-2</v>
      </c>
      <c r="J245" s="141">
        <v>0</v>
      </c>
      <c r="K245" s="141">
        <v>0</v>
      </c>
      <c r="L245" s="97">
        <v>3.6775947322711167E-2</v>
      </c>
    </row>
    <row r="246" spans="3:12" x14ac:dyDescent="0.15">
      <c r="C246" s="35">
        <f t="shared" si="8"/>
        <v>2027</v>
      </c>
      <c r="D246" s="141">
        <v>0</v>
      </c>
      <c r="E246" s="141">
        <v>0</v>
      </c>
      <c r="F246" s="97">
        <v>4.8142579130469265E-2</v>
      </c>
      <c r="G246" s="141">
        <v>0</v>
      </c>
      <c r="H246" s="141">
        <v>0</v>
      </c>
      <c r="I246" s="97">
        <v>4.8142579130469265E-2</v>
      </c>
      <c r="J246" s="141">
        <v>0</v>
      </c>
      <c r="K246" s="141">
        <v>0</v>
      </c>
      <c r="L246" s="97">
        <v>4.8142579130469265E-2</v>
      </c>
    </row>
    <row r="247" spans="3:12" x14ac:dyDescent="0.15">
      <c r="C247" s="35">
        <f t="shared" si="8"/>
        <v>2028</v>
      </c>
      <c r="D247" s="141">
        <v>0</v>
      </c>
      <c r="E247" s="141">
        <v>0</v>
      </c>
      <c r="F247" s="97">
        <v>5.2342857142857246E-2</v>
      </c>
      <c r="G247" s="141">
        <v>0</v>
      </c>
      <c r="H247" s="141">
        <v>0</v>
      </c>
      <c r="I247" s="97">
        <v>5.2342857142857246E-2</v>
      </c>
      <c r="J247" s="141">
        <v>0</v>
      </c>
      <c r="K247" s="141">
        <v>0</v>
      </c>
      <c r="L247" s="97">
        <v>5.2342857142857246E-2</v>
      </c>
    </row>
    <row r="248" spans="3:12" x14ac:dyDescent="0.15">
      <c r="C248" s="35">
        <f t="shared" si="8"/>
        <v>2029</v>
      </c>
      <c r="D248" s="141">
        <v>0</v>
      </c>
      <c r="E248" s="141">
        <v>0</v>
      </c>
      <c r="F248" s="97">
        <v>6.9935590906174294E-2</v>
      </c>
      <c r="G248" s="141">
        <v>0</v>
      </c>
      <c r="H248" s="141">
        <v>0</v>
      </c>
      <c r="I248" s="97">
        <v>0.16415609695538524</v>
      </c>
      <c r="J248" s="141">
        <v>0</v>
      </c>
      <c r="K248" s="141">
        <v>0</v>
      </c>
      <c r="L248" s="97">
        <v>0.16415609695538524</v>
      </c>
    </row>
    <row r="249" spans="3:12" x14ac:dyDescent="0.15">
      <c r="C249" s="35">
        <f t="shared" si="8"/>
        <v>2030</v>
      </c>
      <c r="D249" s="97">
        <f t="shared" ref="D249:D268" si="9">E95</f>
        <v>5.3858790033896042E-2</v>
      </c>
      <c r="E249" s="97">
        <f t="shared" ref="E249:E268" si="10">H95-E95</f>
        <v>0</v>
      </c>
      <c r="F249" s="97">
        <f t="shared" ref="F249:F268" si="11">D95</f>
        <v>5.9303517708545382E-2</v>
      </c>
      <c r="G249" s="97">
        <f t="shared" ref="G249:G268" si="12">E144</f>
        <v>0.19714109726163564</v>
      </c>
      <c r="H249" s="97">
        <f t="shared" ref="H249:H268" si="13">H144-E144</f>
        <v>0</v>
      </c>
      <c r="I249" s="97">
        <f t="shared" ref="I249:I268" si="14">D144</f>
        <v>0.21281920578744001</v>
      </c>
      <c r="J249" s="97">
        <f t="shared" ref="J249:J268" si="15">E193</f>
        <v>0.58235260895132823</v>
      </c>
      <c r="K249" s="97">
        <f t="shared" ref="K249:K268" si="16">H193-E193</f>
        <v>0</v>
      </c>
      <c r="L249" s="97">
        <f t="shared" ref="L249:L268" si="17">D193</f>
        <v>0.62491713186521802</v>
      </c>
    </row>
    <row r="250" spans="3:12" x14ac:dyDescent="0.15">
      <c r="C250" s="35">
        <f t="shared" si="8"/>
        <v>2031</v>
      </c>
      <c r="D250" s="97">
        <f t="shared" si="9"/>
        <v>5.3858790033896042E-2</v>
      </c>
      <c r="E250" s="97">
        <f t="shared" si="10"/>
        <v>0</v>
      </c>
      <c r="F250" s="97">
        <f t="shared" si="11"/>
        <v>6.5203447330681841E-2</v>
      </c>
      <c r="G250" s="97">
        <f t="shared" si="12"/>
        <v>0.19714109726163564</v>
      </c>
      <c r="H250" s="97">
        <f t="shared" si="13"/>
        <v>0</v>
      </c>
      <c r="I250" s="97">
        <f t="shared" si="14"/>
        <v>0.22863496085981533</v>
      </c>
      <c r="J250" s="97">
        <f t="shared" si="15"/>
        <v>0.58235260895132823</v>
      </c>
      <c r="K250" s="97">
        <f t="shared" si="16"/>
        <v>0</v>
      </c>
      <c r="L250" s="97">
        <f t="shared" si="17"/>
        <v>0.67044757452185699</v>
      </c>
    </row>
    <row r="251" spans="3:12" x14ac:dyDescent="0.15">
      <c r="C251" s="35">
        <f t="shared" si="8"/>
        <v>2032</v>
      </c>
      <c r="D251" s="97">
        <f t="shared" si="9"/>
        <v>5.3858790033896042E-2</v>
      </c>
      <c r="E251" s="97">
        <f t="shared" si="10"/>
        <v>0.1432823072277396</v>
      </c>
      <c r="F251" s="97">
        <f t="shared" si="11"/>
        <v>7.1998743389561359E-2</v>
      </c>
      <c r="G251" s="97">
        <f t="shared" si="12"/>
        <v>0.19714109726163564</v>
      </c>
      <c r="H251" s="97">
        <f t="shared" si="13"/>
        <v>0.38521151168969259</v>
      </c>
      <c r="I251" s="97">
        <f t="shared" si="14"/>
        <v>0.24568077595889509</v>
      </c>
      <c r="J251" s="97">
        <f t="shared" si="15"/>
        <v>0.58235260895132823</v>
      </c>
      <c r="K251" s="97">
        <f t="shared" si="16"/>
        <v>1.0356331609205833</v>
      </c>
      <c r="L251" s="97">
        <f t="shared" si="17"/>
        <v>0.71742952625481726</v>
      </c>
    </row>
    <row r="252" spans="3:12" x14ac:dyDescent="0.15">
      <c r="C252" s="35">
        <f t="shared" si="8"/>
        <v>2033</v>
      </c>
      <c r="D252" s="97">
        <f t="shared" si="9"/>
        <v>5.3858790033896042E-2</v>
      </c>
      <c r="E252" s="97">
        <f t="shared" si="10"/>
        <v>0.1432823072277396</v>
      </c>
      <c r="F252" s="97">
        <f t="shared" si="11"/>
        <v>7.8774534566617926E-2</v>
      </c>
      <c r="G252" s="97">
        <f t="shared" si="12"/>
        <v>0.19714109726163564</v>
      </c>
      <c r="H252" s="97">
        <f t="shared" si="13"/>
        <v>0.38521151168969259</v>
      </c>
      <c r="I252" s="97">
        <f t="shared" si="14"/>
        <v>0.26084983723538269</v>
      </c>
      <c r="J252" s="97">
        <f t="shared" si="15"/>
        <v>0.58235260895132823</v>
      </c>
      <c r="K252" s="97">
        <f t="shared" si="16"/>
        <v>1.0356331609205833</v>
      </c>
      <c r="L252" s="97">
        <f t="shared" si="17"/>
        <v>0.76728878075036977</v>
      </c>
    </row>
    <row r="253" spans="3:12" x14ac:dyDescent="0.15">
      <c r="C253" s="35">
        <f t="shared" si="8"/>
        <v>2034</v>
      </c>
      <c r="D253" s="97">
        <f t="shared" si="9"/>
        <v>5.3858790033896042E-2</v>
      </c>
      <c r="E253" s="97">
        <f t="shared" si="10"/>
        <v>0.1432823072277396</v>
      </c>
      <c r="F253" s="97">
        <f t="shared" si="11"/>
        <v>8.6930196112816979E-2</v>
      </c>
      <c r="G253" s="97">
        <f t="shared" si="12"/>
        <v>0.19714109726163564</v>
      </c>
      <c r="H253" s="97">
        <f t="shared" si="13"/>
        <v>0.38521151168969259</v>
      </c>
      <c r="I253" s="97">
        <f t="shared" si="14"/>
        <v>0.27865397914865259</v>
      </c>
      <c r="J253" s="97">
        <f t="shared" si="15"/>
        <v>0.58235260895132823</v>
      </c>
      <c r="K253" s="97">
        <f t="shared" si="16"/>
        <v>1.0356331609205833</v>
      </c>
      <c r="L253" s="97">
        <f t="shared" si="17"/>
        <v>0.82383308796490906</v>
      </c>
    </row>
    <row r="254" spans="3:12" x14ac:dyDescent="0.15">
      <c r="C254" s="35">
        <f t="shared" si="8"/>
        <v>2035</v>
      </c>
      <c r="D254" s="97">
        <f t="shared" si="9"/>
        <v>5.3858790033896042E-2</v>
      </c>
      <c r="E254" s="97">
        <f t="shared" si="10"/>
        <v>0.1432823072277396</v>
      </c>
      <c r="F254" s="97">
        <f t="shared" si="11"/>
        <v>9.4611375327338265E-2</v>
      </c>
      <c r="G254" s="97">
        <f t="shared" si="12"/>
        <v>0.19714109726163564</v>
      </c>
      <c r="H254" s="97">
        <f t="shared" si="13"/>
        <v>0.38521151168969259</v>
      </c>
      <c r="I254" s="97">
        <f t="shared" si="14"/>
        <v>0.29749375422284335</v>
      </c>
      <c r="J254" s="97">
        <f t="shared" si="15"/>
        <v>0.58235260895132823</v>
      </c>
      <c r="K254" s="97">
        <f t="shared" si="16"/>
        <v>1.0356331609205833</v>
      </c>
      <c r="L254" s="97">
        <f t="shared" si="17"/>
        <v>0.87939623594010607</v>
      </c>
    </row>
    <row r="255" spans="3:12" x14ac:dyDescent="0.15">
      <c r="C255" s="35">
        <f t="shared" si="8"/>
        <v>2036</v>
      </c>
      <c r="D255" s="97">
        <f t="shared" si="9"/>
        <v>5.3858790033896042E-2</v>
      </c>
      <c r="E255" s="97">
        <f t="shared" si="10"/>
        <v>0.1432823072277396</v>
      </c>
      <c r="F255" s="97">
        <f t="shared" si="11"/>
        <v>0.10351306421659272</v>
      </c>
      <c r="G255" s="97">
        <f t="shared" si="12"/>
        <v>0.19714109726163564</v>
      </c>
      <c r="H255" s="97">
        <f t="shared" si="13"/>
        <v>0.38521151168969259</v>
      </c>
      <c r="I255" s="97">
        <f t="shared" si="14"/>
        <v>0.31989657807650668</v>
      </c>
      <c r="J255" s="97">
        <f t="shared" si="15"/>
        <v>0.58235260895132823</v>
      </c>
      <c r="K255" s="97">
        <f t="shared" si="16"/>
        <v>1.0356331609205833</v>
      </c>
      <c r="L255" s="97">
        <f t="shared" si="17"/>
        <v>0.9347378688352268</v>
      </c>
    </row>
    <row r="256" spans="3:12" x14ac:dyDescent="0.15">
      <c r="C256" s="35">
        <f t="shared" si="8"/>
        <v>2037</v>
      </c>
      <c r="D256" s="97">
        <f t="shared" si="9"/>
        <v>5.3858790033896042E-2</v>
      </c>
      <c r="E256" s="97">
        <f t="shared" si="10"/>
        <v>0.1432823072277396</v>
      </c>
      <c r="F256" s="97">
        <f t="shared" si="11"/>
        <v>0.1120427395715396</v>
      </c>
      <c r="G256" s="97">
        <f t="shared" si="12"/>
        <v>0.19714109726163564</v>
      </c>
      <c r="H256" s="97">
        <f t="shared" si="13"/>
        <v>0.38521151168969259</v>
      </c>
      <c r="I256" s="97">
        <f t="shared" si="14"/>
        <v>0.34243340625691326</v>
      </c>
      <c r="J256" s="97">
        <f t="shared" si="15"/>
        <v>0.58235260895132823</v>
      </c>
      <c r="K256" s="97">
        <f t="shared" si="16"/>
        <v>1.0356331609205833</v>
      </c>
      <c r="L256" s="97">
        <f t="shared" si="17"/>
        <v>1.0075449413581636</v>
      </c>
    </row>
    <row r="257" spans="3:12" x14ac:dyDescent="0.15">
      <c r="C257" s="35">
        <f t="shared" si="8"/>
        <v>2038</v>
      </c>
      <c r="D257" s="97">
        <f t="shared" si="9"/>
        <v>5.3858790033896042E-2</v>
      </c>
      <c r="E257" s="97">
        <f t="shared" si="10"/>
        <v>0.1432823072277396</v>
      </c>
      <c r="F257" s="97">
        <f t="shared" si="11"/>
        <v>0.12108497512997747</v>
      </c>
      <c r="G257" s="97">
        <f t="shared" si="12"/>
        <v>0.19714109726163564</v>
      </c>
      <c r="H257" s="97">
        <f t="shared" si="13"/>
        <v>0.38521151168969259</v>
      </c>
      <c r="I257" s="97">
        <f t="shared" si="14"/>
        <v>0.36696400258215656</v>
      </c>
      <c r="J257" s="97">
        <f t="shared" si="15"/>
        <v>0.58235260895132823</v>
      </c>
      <c r="K257" s="97">
        <f t="shared" si="16"/>
        <v>1.0356331609205833</v>
      </c>
      <c r="L257" s="97">
        <f t="shared" si="17"/>
        <v>1.0798229991102901</v>
      </c>
    </row>
    <row r="258" spans="3:12" x14ac:dyDescent="0.15">
      <c r="C258" s="35">
        <f t="shared" si="8"/>
        <v>2039</v>
      </c>
      <c r="D258" s="97">
        <f t="shared" si="9"/>
        <v>5.3858790033896042E-2</v>
      </c>
      <c r="E258" s="97">
        <f t="shared" si="10"/>
        <v>0.1432823072277396</v>
      </c>
      <c r="F258" s="97">
        <f t="shared" si="11"/>
        <v>0.13055840160571053</v>
      </c>
      <c r="G258" s="97">
        <f t="shared" si="12"/>
        <v>0.19714109726163564</v>
      </c>
      <c r="H258" s="97">
        <f t="shared" si="13"/>
        <v>0.38521151168969259</v>
      </c>
      <c r="I258" s="97">
        <f t="shared" si="14"/>
        <v>0.39352148109407881</v>
      </c>
      <c r="J258" s="97">
        <f t="shared" si="15"/>
        <v>0.58235260895132823</v>
      </c>
      <c r="K258" s="97">
        <f t="shared" si="16"/>
        <v>1.0356331609205833</v>
      </c>
      <c r="L258" s="97">
        <f t="shared" si="17"/>
        <v>1.1515056506429</v>
      </c>
    </row>
    <row r="259" spans="3:12" x14ac:dyDescent="0.15">
      <c r="C259" s="35">
        <f t="shared" si="8"/>
        <v>2040</v>
      </c>
      <c r="D259" s="97">
        <f t="shared" si="9"/>
        <v>5.3858790033896042E-2</v>
      </c>
      <c r="E259" s="97">
        <f t="shared" si="10"/>
        <v>0.1432823072277396</v>
      </c>
      <c r="F259" s="97">
        <f t="shared" si="11"/>
        <v>0.14252405228460763</v>
      </c>
      <c r="G259" s="97">
        <f t="shared" si="12"/>
        <v>0.19714109726163564</v>
      </c>
      <c r="H259" s="97">
        <f t="shared" si="13"/>
        <v>0.38521151168969259</v>
      </c>
      <c r="I259" s="97">
        <f t="shared" si="14"/>
        <v>0.42219494628152276</v>
      </c>
      <c r="J259" s="97">
        <f t="shared" si="15"/>
        <v>0.58235260895132823</v>
      </c>
      <c r="K259" s="97">
        <f t="shared" si="16"/>
        <v>1.0356331609205833</v>
      </c>
      <c r="L259" s="97">
        <f t="shared" si="17"/>
        <v>1.2165295410988335</v>
      </c>
    </row>
    <row r="260" spans="3:12" x14ac:dyDescent="0.15">
      <c r="C260" s="35">
        <f t="shared" si="8"/>
        <v>2041</v>
      </c>
      <c r="D260" s="97">
        <f t="shared" si="9"/>
        <v>5.3858790033896042E-2</v>
      </c>
      <c r="E260" s="97">
        <f t="shared" si="10"/>
        <v>0.1432823072277396</v>
      </c>
      <c r="F260" s="97">
        <f t="shared" si="11"/>
        <v>0.154695432920475</v>
      </c>
      <c r="G260" s="97">
        <f t="shared" si="12"/>
        <v>0.19714109726163564</v>
      </c>
      <c r="H260" s="97">
        <f t="shared" si="13"/>
        <v>0.38521151168969259</v>
      </c>
      <c r="I260" s="97">
        <f t="shared" si="14"/>
        <v>0.45071357423796071</v>
      </c>
      <c r="J260" s="97">
        <f t="shared" si="15"/>
        <v>0.58235260895132823</v>
      </c>
      <c r="K260" s="97">
        <f t="shared" si="16"/>
        <v>1.0356331609205833</v>
      </c>
      <c r="L260" s="97">
        <f t="shared" si="17"/>
        <v>1.3001384514996315</v>
      </c>
    </row>
    <row r="261" spans="3:12" x14ac:dyDescent="0.15">
      <c r="C261" s="35">
        <f t="shared" si="8"/>
        <v>2042</v>
      </c>
      <c r="D261" s="97">
        <f t="shared" si="9"/>
        <v>5.3858790033896042E-2</v>
      </c>
      <c r="E261" s="97">
        <f t="shared" si="10"/>
        <v>0.1432823072277396</v>
      </c>
      <c r="F261" s="97">
        <f t="shared" si="11"/>
        <v>0.16578175224167085</v>
      </c>
      <c r="G261" s="97">
        <f t="shared" si="12"/>
        <v>0.19714109726163564</v>
      </c>
      <c r="H261" s="97">
        <f t="shared" si="13"/>
        <v>0.38521151168969259</v>
      </c>
      <c r="I261" s="97">
        <f t="shared" si="14"/>
        <v>0.48708445729558497</v>
      </c>
      <c r="J261" s="97">
        <f t="shared" si="15"/>
        <v>0.58235260895132823</v>
      </c>
      <c r="K261" s="97">
        <f t="shared" si="16"/>
        <v>1.0356331609205833</v>
      </c>
      <c r="L261" s="97">
        <f t="shared" si="17"/>
        <v>1.3926209690152063</v>
      </c>
    </row>
    <row r="262" spans="3:12" x14ac:dyDescent="0.15">
      <c r="C262" s="35">
        <f t="shared" si="8"/>
        <v>2043</v>
      </c>
      <c r="D262" s="97">
        <f t="shared" si="9"/>
        <v>5.3858790033896042E-2</v>
      </c>
      <c r="E262" s="97">
        <f t="shared" si="10"/>
        <v>0.52849381891743219</v>
      </c>
      <c r="F262" s="97">
        <f t="shared" si="11"/>
        <v>0.17915364901595343</v>
      </c>
      <c r="G262" s="97">
        <f t="shared" si="12"/>
        <v>0.19714109726163564</v>
      </c>
      <c r="H262" s="97">
        <f t="shared" si="13"/>
        <v>1.4208446726102759</v>
      </c>
      <c r="I262" s="97">
        <f t="shared" si="14"/>
        <v>0.52508510385239271</v>
      </c>
      <c r="J262" s="97">
        <f t="shared" si="15"/>
        <v>0.58235260895132823</v>
      </c>
      <c r="K262" s="97">
        <f t="shared" si="16"/>
        <v>3.8199114377918666</v>
      </c>
      <c r="L262" s="97">
        <f t="shared" si="17"/>
        <v>1.5023248153975046</v>
      </c>
    </row>
    <row r="263" spans="3:12" x14ac:dyDescent="0.15">
      <c r="C263" s="35">
        <f t="shared" si="8"/>
        <v>2044</v>
      </c>
      <c r="D263" s="97">
        <f t="shared" si="9"/>
        <v>5.3858790033896042E-2</v>
      </c>
      <c r="E263" s="97">
        <f t="shared" si="10"/>
        <v>0.52849381891743219</v>
      </c>
      <c r="F263" s="97">
        <f t="shared" si="11"/>
        <v>0.19352503670362006</v>
      </c>
      <c r="G263" s="97">
        <f t="shared" si="12"/>
        <v>0.19714109726163564</v>
      </c>
      <c r="H263" s="97">
        <f t="shared" si="13"/>
        <v>1.4208446726102759</v>
      </c>
      <c r="I263" s="97">
        <f t="shared" si="14"/>
        <v>0.56124905425791627</v>
      </c>
      <c r="J263" s="97">
        <f t="shared" si="15"/>
        <v>0.58235260895132823</v>
      </c>
      <c r="K263" s="97">
        <f t="shared" si="16"/>
        <v>3.8199114377918666</v>
      </c>
      <c r="L263" s="97">
        <f t="shared" si="17"/>
        <v>1.6041926943570006</v>
      </c>
    </row>
    <row r="264" spans="3:12" x14ac:dyDescent="0.15">
      <c r="C264" s="35">
        <f t="shared" si="8"/>
        <v>2045</v>
      </c>
      <c r="D264" s="97">
        <f t="shared" si="9"/>
        <v>5.3858790033896042E-2</v>
      </c>
      <c r="E264" s="97">
        <f t="shared" si="10"/>
        <v>0.52849381891743219</v>
      </c>
      <c r="F264" s="97">
        <f t="shared" si="11"/>
        <v>0.20646375580929743</v>
      </c>
      <c r="G264" s="97">
        <f t="shared" si="12"/>
        <v>0.19714109726163564</v>
      </c>
      <c r="H264" s="97">
        <f t="shared" si="13"/>
        <v>1.4208446726102759</v>
      </c>
      <c r="I264" s="97">
        <f t="shared" si="14"/>
        <v>0.60025656489282309</v>
      </c>
      <c r="J264" s="97">
        <f t="shared" si="15"/>
        <v>0.58235260895132823</v>
      </c>
      <c r="K264" s="97">
        <f t="shared" si="16"/>
        <v>3.8199114377918666</v>
      </c>
      <c r="L264" s="97">
        <f t="shared" si="17"/>
        <v>1.7179139590474501</v>
      </c>
    </row>
    <row r="265" spans="3:12" x14ac:dyDescent="0.15">
      <c r="C265" s="35">
        <f t="shared" si="8"/>
        <v>2046</v>
      </c>
      <c r="D265" s="97">
        <f t="shared" si="9"/>
        <v>5.3858790033896042E-2</v>
      </c>
      <c r="E265" s="97">
        <f t="shared" si="10"/>
        <v>0.52849381891743219</v>
      </c>
      <c r="F265" s="97">
        <f t="shared" si="11"/>
        <v>0.22088786316876227</v>
      </c>
      <c r="G265" s="97">
        <f t="shared" si="12"/>
        <v>0.19714109726163564</v>
      </c>
      <c r="H265" s="97">
        <f t="shared" si="13"/>
        <v>1.4208446726102759</v>
      </c>
      <c r="I265" s="97">
        <f t="shared" si="14"/>
        <v>0.64901380975047962</v>
      </c>
      <c r="J265" s="97">
        <f t="shared" si="15"/>
        <v>0.58235260895132823</v>
      </c>
      <c r="K265" s="97">
        <f t="shared" si="16"/>
        <v>3.8199114377918666</v>
      </c>
      <c r="L265" s="97">
        <f t="shared" si="17"/>
        <v>1.8099465776755321</v>
      </c>
    </row>
    <row r="266" spans="3:12" x14ac:dyDescent="0.15">
      <c r="C266" s="35">
        <f t="shared" si="8"/>
        <v>2047</v>
      </c>
      <c r="D266" s="97">
        <f t="shared" si="9"/>
        <v>5.3858790033896042E-2</v>
      </c>
      <c r="E266" s="97">
        <f t="shared" si="10"/>
        <v>0.52849381891743219</v>
      </c>
      <c r="F266" s="97">
        <f t="shared" si="11"/>
        <v>0.23793472815818972</v>
      </c>
      <c r="G266" s="97">
        <f t="shared" si="12"/>
        <v>0.19714109726163564</v>
      </c>
      <c r="H266" s="97">
        <f t="shared" si="13"/>
        <v>1.4208446726102759</v>
      </c>
      <c r="I266" s="97">
        <f t="shared" si="14"/>
        <v>0.69416825507390811</v>
      </c>
      <c r="J266" s="97">
        <f t="shared" si="15"/>
        <v>0.58235260895132823</v>
      </c>
      <c r="K266" s="97">
        <f t="shared" si="16"/>
        <v>3.8199114377918666</v>
      </c>
      <c r="L266" s="97">
        <f t="shared" si="17"/>
        <v>1.937356084069199</v>
      </c>
    </row>
    <row r="267" spans="3:12" x14ac:dyDescent="0.15">
      <c r="C267" s="35">
        <f t="shared" si="8"/>
        <v>2048</v>
      </c>
      <c r="D267" s="97">
        <f t="shared" si="9"/>
        <v>5.3858790033896042E-2</v>
      </c>
      <c r="E267" s="97">
        <f t="shared" si="10"/>
        <v>0.52849381891743219</v>
      </c>
      <c r="F267" s="97">
        <f t="shared" si="11"/>
        <v>0.25940773802529482</v>
      </c>
      <c r="G267" s="97">
        <f t="shared" si="12"/>
        <v>0.19714109726163564</v>
      </c>
      <c r="H267" s="97">
        <f t="shared" si="13"/>
        <v>1.4208446726102759</v>
      </c>
      <c r="I267" s="97">
        <f t="shared" si="14"/>
        <v>0.75285529813368712</v>
      </c>
      <c r="J267" s="97">
        <f t="shared" si="15"/>
        <v>0.58235260895132823</v>
      </c>
      <c r="K267" s="97">
        <f t="shared" si="16"/>
        <v>3.8199114377918666</v>
      </c>
      <c r="L267" s="97">
        <f t="shared" si="17"/>
        <v>2.0790283621938102</v>
      </c>
    </row>
    <row r="268" spans="3:12" x14ac:dyDescent="0.15">
      <c r="C268" s="35">
        <f t="shared" si="8"/>
        <v>2049</v>
      </c>
      <c r="D268" s="97">
        <f t="shared" si="9"/>
        <v>5.3858790033896042E-2</v>
      </c>
      <c r="E268" s="97">
        <f t="shared" si="10"/>
        <v>0.52849381891743219</v>
      </c>
      <c r="F268" s="97">
        <f t="shared" si="11"/>
        <v>0.27668737052530495</v>
      </c>
      <c r="G268" s="97">
        <f t="shared" si="12"/>
        <v>0.19714109726163564</v>
      </c>
      <c r="H268" s="97">
        <f t="shared" si="13"/>
        <v>1.4208446726102759</v>
      </c>
      <c r="I268" s="97">
        <f t="shared" si="14"/>
        <v>0.81056372758329165</v>
      </c>
      <c r="J268" s="97">
        <f t="shared" si="15"/>
        <v>0.58235260895132823</v>
      </c>
      <c r="K268" s="97">
        <f t="shared" si="16"/>
        <v>3.8199114377918666</v>
      </c>
      <c r="L268" s="97">
        <f t="shared" si="17"/>
        <v>2.2103627713258418</v>
      </c>
    </row>
    <row r="269" spans="3:12" x14ac:dyDescent="0.15">
      <c r="C269" s="35">
        <f>C268+1</f>
        <v>2050</v>
      </c>
      <c r="D269" s="97">
        <f>E115</f>
        <v>5.3858790033896042E-2</v>
      </c>
      <c r="E269" s="97">
        <f>H115-E115</f>
        <v>0.52849381891743219</v>
      </c>
      <c r="F269" s="97">
        <f>D115</f>
        <v>0.29894335217544887</v>
      </c>
      <c r="G269" s="97">
        <f>E164</f>
        <v>0.19714109726163564</v>
      </c>
      <c r="H269" s="97">
        <f>H164-E164</f>
        <v>1.4208446726102759</v>
      </c>
      <c r="I269" s="97">
        <f>D164</f>
        <v>0.86956817399702646</v>
      </c>
      <c r="J269" s="97">
        <f>E213</f>
        <v>0.58235260895132823</v>
      </c>
      <c r="K269" s="97">
        <f>H213-E213</f>
        <v>3.8199114377918666</v>
      </c>
      <c r="L269" s="97">
        <f>D213</f>
        <v>2.3508743346509209</v>
      </c>
    </row>
  </sheetData>
  <sheetProtection algorithmName="SHA-512" hashValue="1J1Mp4+/pzD4ARxrdAmuFIDqJQEajKg6h6uZLwFeIbfmhEMovgP5n58pMujtur9q0dLM1mLOJaj4x0irXBjYgg==" saltValue="XIgsZYziIZxni1DrGsvVcA==" spinCount="100000" sheet="1" objects="1" scenarios="1"/>
  <dataValidations count="2">
    <dataValidation type="list" allowBlank="1" showInputMessage="1" showErrorMessage="1" sqref="D9 D11" xr:uid="{2781A634-F31C-4523-8147-D02D3512C07D}">
      <formula1>"1, 2, 3, 4"</formula1>
    </dataValidation>
    <dataValidation type="list" allowBlank="1" showInputMessage="1" showErrorMessage="1" sqref="D8" xr:uid="{D8738A2B-6577-4EB2-B710-34D7976ABEBD}">
      <formula1>"True, False"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2:M41"/>
  <sheetViews>
    <sheetView showGridLines="0" zoomScale="85" zoomScaleNormal="85" workbookViewId="0">
      <selection activeCell="G26" sqref="G26"/>
    </sheetView>
  </sheetViews>
  <sheetFormatPr baseColWidth="10" defaultColWidth="8.6640625" defaultRowHeight="13" x14ac:dyDescent="0.15"/>
  <cols>
    <col min="1" max="2" width="1.6640625" style="35" customWidth="1"/>
    <col min="3" max="13" width="20.6640625" style="35" customWidth="1"/>
    <col min="14" max="21" width="13" style="35" customWidth="1"/>
    <col min="22" max="16384" width="8.6640625" style="35"/>
  </cols>
  <sheetData>
    <row r="2" spans="1:13" ht="15.75" customHeight="1" x14ac:dyDescent="0.2">
      <c r="B2" s="36"/>
      <c r="C2" s="2" t="s">
        <v>177</v>
      </c>
    </row>
    <row r="3" spans="1:13" ht="15.75" customHeight="1" x14ac:dyDescent="0.15">
      <c r="C3" s="3" t="s">
        <v>128</v>
      </c>
    </row>
    <row r="5" spans="1:13" ht="15" customHeight="1" x14ac:dyDescent="0.15">
      <c r="A5" s="35" t="s">
        <v>112</v>
      </c>
      <c r="C5" s="24" t="s">
        <v>194</v>
      </c>
      <c r="D5" s="24"/>
      <c r="E5" s="24"/>
      <c r="F5" s="24"/>
      <c r="G5" s="24"/>
      <c r="H5" s="24"/>
      <c r="I5" s="36"/>
      <c r="J5" s="36"/>
      <c r="K5" s="36"/>
      <c r="L5" s="36"/>
      <c r="M5" s="36"/>
    </row>
    <row r="6" spans="1:13" ht="23.25" customHeight="1" x14ac:dyDescent="0.15">
      <c r="C6" s="28"/>
      <c r="D6" s="28"/>
      <c r="E6" s="28"/>
      <c r="F6" s="28"/>
      <c r="G6" s="28"/>
      <c r="H6" s="28"/>
    </row>
    <row r="7" spans="1:13" ht="15" customHeight="1" x14ac:dyDescent="0.3">
      <c r="C7" s="96" t="s">
        <v>111</v>
      </c>
      <c r="D7" s="96" t="s">
        <v>195</v>
      </c>
      <c r="E7" s="96" t="s">
        <v>196</v>
      </c>
      <c r="F7" s="96" t="s">
        <v>211</v>
      </c>
      <c r="G7" s="28"/>
      <c r="H7" s="28"/>
    </row>
    <row r="8" spans="1:13" ht="15" customHeight="1" x14ac:dyDescent="0.15">
      <c r="C8" s="46" t="s">
        <v>197</v>
      </c>
      <c r="D8" s="98">
        <v>0</v>
      </c>
      <c r="E8" s="99">
        <f>D8*(1-alpha)*xi</f>
        <v>0</v>
      </c>
      <c r="F8" s="98">
        <v>0</v>
      </c>
      <c r="G8" s="28"/>
      <c r="H8" s="28"/>
    </row>
    <row r="9" spans="1:13" ht="15" customHeight="1" x14ac:dyDescent="0.15">
      <c r="C9" s="46" t="s">
        <v>107</v>
      </c>
      <c r="D9" s="100">
        <f>'Model 1 - Inv &amp; GDP Paths'!I85</f>
        <v>8.052197394602234E-2</v>
      </c>
      <c r="E9" s="99">
        <f>D9*(1-alpha)*xi</f>
        <v>5.3089517241422843E-2</v>
      </c>
      <c r="F9" s="100">
        <f>p_star</f>
        <v>3.9325327510917031E-2</v>
      </c>
      <c r="G9" s="28"/>
      <c r="H9" s="28"/>
    </row>
    <row r="10" spans="1:13" ht="15" customHeight="1" x14ac:dyDescent="0.15">
      <c r="C10" s="46" t="s">
        <v>198</v>
      </c>
      <c r="D10" s="101">
        <f>'Model 1 - Inv &amp; GDP Paths'!I86</f>
        <v>0.19057160244810753</v>
      </c>
      <c r="E10" s="99">
        <f>D10*(1-alpha)*xi</f>
        <v>0.12564712311544327</v>
      </c>
      <c r="F10" s="100">
        <f>p_star</f>
        <v>3.9325327510917031E-2</v>
      </c>
      <c r="G10" s="28"/>
      <c r="H10" s="28"/>
    </row>
    <row r="11" spans="1:13" x14ac:dyDescent="0.15">
      <c r="C11" s="46" t="s">
        <v>110</v>
      </c>
      <c r="D11" s="101">
        <f>'Model 1 - Inv &amp; GDP Paths'!I88</f>
        <v>0.38762068927090471</v>
      </c>
      <c r="E11" s="99">
        <f>D11*(1-alpha)*xi</f>
        <v>0.25556496267683032</v>
      </c>
      <c r="F11" s="100">
        <f>p_star</f>
        <v>3.9325327510917031E-2</v>
      </c>
    </row>
    <row r="12" spans="1:13" x14ac:dyDescent="0.15">
      <c r="C12" s="46" t="s">
        <v>199</v>
      </c>
      <c r="D12" s="98">
        <v>1</v>
      </c>
      <c r="E12" s="99">
        <f>D12*(1-alpha)*xi</f>
        <v>0.65931713592877439</v>
      </c>
      <c r="F12" s="100">
        <f>p_star</f>
        <v>3.9325327510917031E-2</v>
      </c>
    </row>
    <row r="14" spans="1:13" ht="15" customHeight="1" x14ac:dyDescent="0.15">
      <c r="A14" s="35" t="s">
        <v>112</v>
      </c>
      <c r="C14" s="24" t="s">
        <v>201</v>
      </c>
      <c r="D14" s="24"/>
      <c r="E14" s="24"/>
      <c r="F14" s="24"/>
      <c r="G14" s="24"/>
      <c r="H14" s="24"/>
      <c r="I14" s="36"/>
      <c r="J14" s="36"/>
      <c r="K14" s="36"/>
      <c r="L14" s="36"/>
      <c r="M14" s="36"/>
    </row>
    <row r="16" spans="1:13" x14ac:dyDescent="0.15">
      <c r="A16" s="35" t="s">
        <v>112</v>
      </c>
      <c r="C16" s="35" t="s">
        <v>142</v>
      </c>
    </row>
    <row r="17" spans="1:13" x14ac:dyDescent="0.15">
      <c r="C17" s="35" t="s">
        <v>111</v>
      </c>
      <c r="D17" s="159">
        <v>3</v>
      </c>
    </row>
    <row r="18" spans="1:13" x14ac:dyDescent="0.15">
      <c r="C18" s="50" t="s">
        <v>143</v>
      </c>
      <c r="D18" s="49" t="str">
        <f ca="1">OFFSET(C7, D17, 0)</f>
        <v>Transformative</v>
      </c>
    </row>
    <row r="19" spans="1:13" x14ac:dyDescent="0.15">
      <c r="C19" s="50"/>
      <c r="D19" s="49"/>
    </row>
    <row r="20" spans="1:13" x14ac:dyDescent="0.15">
      <c r="C20" s="17" t="s">
        <v>196</v>
      </c>
      <c r="D20" s="104">
        <f ca="1">OFFSET(E7,D17,0)</f>
        <v>0.12564712311544327</v>
      </c>
    </row>
    <row r="21" spans="1:13" x14ac:dyDescent="0.15">
      <c r="C21" s="17" t="s">
        <v>211</v>
      </c>
      <c r="D21" s="105">
        <f ca="1">OFFSET(F7,D17,0)</f>
        <v>3.9325327510917031E-2</v>
      </c>
    </row>
    <row r="23" spans="1:13" ht="16" x14ac:dyDescent="0.3">
      <c r="C23" s="96" t="s">
        <v>202</v>
      </c>
      <c r="D23" s="96" t="s">
        <v>205</v>
      </c>
      <c r="E23" s="96" t="s">
        <v>206</v>
      </c>
      <c r="F23" s="96" t="s">
        <v>207</v>
      </c>
      <c r="G23" s="96" t="s">
        <v>208</v>
      </c>
      <c r="H23" s="96" t="s">
        <v>209</v>
      </c>
      <c r="I23" s="96" t="s">
        <v>210</v>
      </c>
      <c r="J23" s="96" t="s">
        <v>203</v>
      </c>
      <c r="K23" s="96" t="s">
        <v>204</v>
      </c>
    </row>
    <row r="24" spans="1:13" x14ac:dyDescent="0.15">
      <c r="C24" s="102">
        <v>1</v>
      </c>
      <c r="D24" s="103">
        <f t="shared" ref="D24:D29" si="0">(1-p_d) + p_d * EXP(xi_d)</f>
        <v>0.99498548715130208</v>
      </c>
      <c r="E24" s="103">
        <f t="shared" ref="E24:E29" si="1">(1-p_d) + p_d * EXP(-C24*xi_d)</f>
        <v>1.0058260327382182</v>
      </c>
      <c r="F24" s="103">
        <f t="shared" ref="F24:F29" si="2">(1-p_d) + p_d * EXP((1-C24)*xi_d)</f>
        <v>1</v>
      </c>
      <c r="G24" s="103">
        <f ca="1">(1-$D$21)+$D$21*EXP($D$20)</f>
        <v>1.0052649525909181</v>
      </c>
      <c r="H24" s="103">
        <f ca="1">(1-$D$21)+$D$21*EXP(-C24*$D$20)</f>
        <v>0.99535670140455612</v>
      </c>
      <c r="I24" s="103">
        <f ca="1">(1-$D$21)+$D$21*EXP((1-C24)*$D$20)</f>
        <v>1</v>
      </c>
      <c r="J24" s="161">
        <f t="shared" ref="J24:J29" ca="1" si="3">rho + mu_c + sigma_c^2 * (1 - 2 *C24)/2 + LN(F24/E24) + LN(I24/H24)</f>
        <v>4.3644985153387793E-2</v>
      </c>
      <c r="K24" s="161">
        <f t="shared" ref="K24:K29" ca="1" si="4">C24*sigma_c^2+LN(D24*E24/F24)+LN(G24*H24/I24)</f>
        <v>1.7790283235247558E-3</v>
      </c>
    </row>
    <row r="25" spans="1:13" x14ac:dyDescent="0.15">
      <c r="C25" s="102">
        <v>2</v>
      </c>
      <c r="D25" s="103">
        <f t="shared" si="0"/>
        <v>0.99498548715130208</v>
      </c>
      <c r="E25" s="103">
        <f t="shared" si="1"/>
        <v>1.012594917072736</v>
      </c>
      <c r="F25" s="103">
        <f t="shared" si="2"/>
        <v>1.0058260327382182</v>
      </c>
      <c r="G25" s="103">
        <f t="shared" ref="G25:G29" ca="1" si="5">(1-$D$21)+$D$21*EXP($D$20)</f>
        <v>1.0052649525909181</v>
      </c>
      <c r="H25" s="103">
        <f t="shared" ref="H25:H29" ca="1" si="6">(1-$D$21)+$D$21*EXP(-C25*$D$20)</f>
        <v>0.99126165563270185</v>
      </c>
      <c r="I25" s="103">
        <f t="shared" ref="I25:I29" ca="1" si="7">(1-$D$21)+$D$21*EXP((1-C25)*$D$20)</f>
        <v>0.99535670140455612</v>
      </c>
      <c r="J25" s="161">
        <f t="shared" ca="1" si="3"/>
        <v>4.1815501567304479E-2</v>
      </c>
      <c r="K25" s="161">
        <f t="shared" ca="1" si="4"/>
        <v>3.6085119096080317E-3</v>
      </c>
    </row>
    <row r="26" spans="1:13" x14ac:dyDescent="0.15">
      <c r="C26" s="102">
        <v>3</v>
      </c>
      <c r="D26" s="103">
        <f t="shared" si="0"/>
        <v>0.99498548715130208</v>
      </c>
      <c r="E26" s="103">
        <f t="shared" si="1"/>
        <v>1.0204592386776461</v>
      </c>
      <c r="F26" s="103">
        <f t="shared" si="2"/>
        <v>1.012594917072736</v>
      </c>
      <c r="G26" s="103">
        <f t="shared" ca="1" si="5"/>
        <v>1.0052649525909181</v>
      </c>
      <c r="H26" s="103">
        <f t="shared" ca="1" si="6"/>
        <v>0.98765012828228871</v>
      </c>
      <c r="I26" s="103">
        <f t="shared" ca="1" si="7"/>
        <v>0.99126165563270185</v>
      </c>
      <c r="J26" s="161">
        <f t="shared" ca="1" si="3"/>
        <v>3.9913518432100351E-2</v>
      </c>
      <c r="K26" s="161">
        <f t="shared" ca="1" si="4"/>
        <v>5.5104950448123515E-3</v>
      </c>
    </row>
    <row r="27" spans="1:13" x14ac:dyDescent="0.15">
      <c r="C27" s="102">
        <v>4</v>
      </c>
      <c r="D27" s="103">
        <f t="shared" si="0"/>
        <v>0.99498548715130208</v>
      </c>
      <c r="E27" s="103">
        <f t="shared" si="1"/>
        <v>1.0295962768140583</v>
      </c>
      <c r="F27" s="103">
        <f t="shared" si="2"/>
        <v>1.0204592386776461</v>
      </c>
      <c r="G27" s="103">
        <f t="shared" ca="1" si="5"/>
        <v>1.0052649525909181</v>
      </c>
      <c r="H27" s="103">
        <f t="shared" ca="1" si="6"/>
        <v>0.98446502840076122</v>
      </c>
      <c r="I27" s="103">
        <f t="shared" ca="1" si="7"/>
        <v>0.98765012828228871</v>
      </c>
      <c r="J27" s="161">
        <f t="shared" ca="1" si="3"/>
        <v>3.7916137429046551E-2</v>
      </c>
      <c r="K27" s="161">
        <f t="shared" ca="1" si="4"/>
        <v>7.5078760478660567E-3</v>
      </c>
    </row>
    <row r="28" spans="1:13" x14ac:dyDescent="0.15">
      <c r="C28" s="102">
        <v>5</v>
      </c>
      <c r="D28" s="103">
        <f t="shared" si="0"/>
        <v>0.99498548715130208</v>
      </c>
      <c r="E28" s="103">
        <f t="shared" si="1"/>
        <v>1.0402120005980562</v>
      </c>
      <c r="F28" s="103">
        <f t="shared" si="2"/>
        <v>1.0295962768140583</v>
      </c>
      <c r="G28" s="103">
        <f t="shared" ca="1" si="5"/>
        <v>1.0052649525909181</v>
      </c>
      <c r="H28" s="103">
        <f t="shared" ca="1" si="6"/>
        <v>0.98165600599251446</v>
      </c>
      <c r="I28" s="103">
        <f t="shared" ca="1" si="7"/>
        <v>0.98446502840076122</v>
      </c>
      <c r="J28" s="161">
        <f t="shared" ca="1" si="3"/>
        <v>3.5799649703362392E-2</v>
      </c>
      <c r="K28" s="161">
        <f t="shared" ca="1" si="4"/>
        <v>9.6243637735503769E-3</v>
      </c>
    </row>
    <row r="29" spans="1:13" x14ac:dyDescent="0.15">
      <c r="C29" s="102">
        <v>6</v>
      </c>
      <c r="D29" s="103">
        <f t="shared" si="0"/>
        <v>0.99498548715130208</v>
      </c>
      <c r="E29" s="103">
        <f t="shared" si="1"/>
        <v>1.0525457120016501</v>
      </c>
      <c r="F29" s="103">
        <f t="shared" si="2"/>
        <v>1.0402120005980562</v>
      </c>
      <c r="G29" s="103">
        <f t="shared" ca="1" si="5"/>
        <v>1.0052649525909181</v>
      </c>
      <c r="H29" s="103">
        <f t="shared" ca="1" si="6"/>
        <v>0.97917865608716459</v>
      </c>
      <c r="I29" s="103">
        <f t="shared" ca="1" si="7"/>
        <v>0.98165600599251446</v>
      </c>
      <c r="J29" s="161">
        <f t="shared" ca="1" si="3"/>
        <v>3.353965501123192E-2</v>
      </c>
      <c r="K29" s="161">
        <f t="shared" ca="1" si="4"/>
        <v>1.1884358465680814E-2</v>
      </c>
    </row>
    <row r="31" spans="1:13" ht="15" customHeight="1" x14ac:dyDescent="0.15">
      <c r="A31" s="35" t="s">
        <v>112</v>
      </c>
      <c r="C31" s="24" t="s">
        <v>156</v>
      </c>
      <c r="D31" s="24"/>
      <c r="E31" s="24"/>
      <c r="F31" s="24"/>
      <c r="G31" s="24"/>
      <c r="H31" s="24"/>
      <c r="I31" s="36"/>
      <c r="J31" s="36"/>
      <c r="K31" s="36"/>
      <c r="L31" s="36"/>
      <c r="M31" s="36"/>
    </row>
    <row r="32" spans="1:13" ht="15" customHeight="1" x14ac:dyDescent="0.15">
      <c r="C32" s="78" t="s">
        <v>213</v>
      </c>
      <c r="D32" s="28"/>
      <c r="E32" s="28"/>
      <c r="F32" s="28"/>
      <c r="G32" s="28"/>
      <c r="H32" s="28"/>
    </row>
    <row r="33" spans="3:13" ht="15" customHeight="1" x14ac:dyDescent="0.15">
      <c r="C33" s="78"/>
      <c r="D33" s="28"/>
      <c r="E33" s="28"/>
      <c r="F33" s="28"/>
      <c r="G33" s="28"/>
      <c r="H33" s="28"/>
    </row>
    <row r="34" spans="3:13" ht="16" x14ac:dyDescent="0.3">
      <c r="C34" s="96" t="s">
        <v>202</v>
      </c>
      <c r="D34" s="107" t="s">
        <v>197</v>
      </c>
      <c r="E34" s="107"/>
      <c r="F34" s="107" t="s">
        <v>107</v>
      </c>
      <c r="G34" s="107"/>
      <c r="H34" s="107" t="s">
        <v>198</v>
      </c>
      <c r="I34" s="107"/>
      <c r="J34" s="107" t="s">
        <v>110</v>
      </c>
      <c r="K34" s="107"/>
      <c r="L34" s="107" t="s">
        <v>212</v>
      </c>
      <c r="M34" s="107"/>
    </row>
    <row r="35" spans="3:13" ht="16" x14ac:dyDescent="0.3">
      <c r="C35" s="96"/>
      <c r="D35" s="106" t="s">
        <v>203</v>
      </c>
      <c r="E35" s="106" t="s">
        <v>204</v>
      </c>
      <c r="F35" s="106" t="s">
        <v>203</v>
      </c>
      <c r="G35" s="106" t="s">
        <v>204</v>
      </c>
      <c r="H35" s="106" t="s">
        <v>203</v>
      </c>
      <c r="I35" s="106" t="s">
        <v>204</v>
      </c>
      <c r="J35" s="106" t="s">
        <v>203</v>
      </c>
      <c r="K35" s="106" t="s">
        <v>204</v>
      </c>
      <c r="L35" s="106" t="s">
        <v>203</v>
      </c>
      <c r="M35" s="106" t="s">
        <v>204</v>
      </c>
    </row>
    <row r="36" spans="3:13" x14ac:dyDescent="0.15">
      <c r="C36" s="102">
        <v>1</v>
      </c>
      <c r="D36" s="108">
        <v>3.8990872960193934E-2</v>
      </c>
      <c r="E36" s="108">
        <v>1.1819993323024418E-3</v>
      </c>
      <c r="F36" s="108">
        <v>4.102625428720539E-2</v>
      </c>
      <c r="G36" s="108">
        <v>1.2884982312645174E-3</v>
      </c>
      <c r="H36" s="108">
        <v>4.3644985153387793E-2</v>
      </c>
      <c r="I36" s="108">
        <v>1.7790283235247558E-3</v>
      </c>
      <c r="J36" s="108">
        <v>4.7899128062149056E-2</v>
      </c>
      <c r="K36" s="108">
        <v>3.6598528692073241E-3</v>
      </c>
      <c r="L36" s="108">
        <v>5.8159518489367165E-2</v>
      </c>
      <c r="M36" s="108">
        <v>1.8064699632105444E-2</v>
      </c>
    </row>
    <row r="37" spans="3:13" x14ac:dyDescent="0.15">
      <c r="C37" s="102">
        <v>2</v>
      </c>
      <c r="D37" s="108">
        <v>3.7692866178037729E-2</v>
      </c>
      <c r="E37" s="108">
        <v>2.4800061144585341E-3</v>
      </c>
      <c r="F37" s="108">
        <v>3.9626842906641341E-2</v>
      </c>
      <c r="G37" s="108">
        <v>2.6879096118284265E-3</v>
      </c>
      <c r="H37" s="108">
        <v>4.1815501567304479E-2</v>
      </c>
      <c r="I37" s="108">
        <v>3.6085119096080317E-3</v>
      </c>
      <c r="J37" s="108">
        <v>4.4647067218971284E-2</v>
      </c>
      <c r="K37" s="108">
        <v>6.9119137123848096E-3</v>
      </c>
      <c r="L37" s="108">
        <v>4.7753038204029263E-2</v>
      </c>
      <c r="M37" s="108">
        <v>2.8471179917443214E-2</v>
      </c>
    </row>
    <row r="38" spans="3:13" x14ac:dyDescent="0.15">
      <c r="C38" s="102">
        <v>3</v>
      </c>
      <c r="D38" s="108">
        <v>3.6263500892810566E-2</v>
      </c>
      <c r="E38" s="108">
        <v>3.9093713996859059E-3</v>
      </c>
      <c r="F38" s="108">
        <v>3.8100943232113126E-2</v>
      </c>
      <c r="G38" s="108">
        <v>4.2138092863568972E-3</v>
      </c>
      <c r="H38" s="108">
        <v>3.9913518432100351E-2</v>
      </c>
      <c r="I38" s="108">
        <v>5.5104950448123515E-3</v>
      </c>
      <c r="J38" s="108">
        <v>4.1682811036179573E-2</v>
      </c>
      <c r="K38" s="108">
        <v>9.8761698951766556E-3</v>
      </c>
      <c r="L38" s="108">
        <v>4.1506647730080351E-2</v>
      </c>
      <c r="M38" s="108">
        <v>3.4717570391392311E-2</v>
      </c>
    </row>
    <row r="39" spans="3:13" x14ac:dyDescent="0.15">
      <c r="C39" s="102">
        <v>4</v>
      </c>
      <c r="D39" s="108">
        <v>3.4685998823678205E-2</v>
      </c>
      <c r="E39" s="108">
        <v>5.4868734688181342E-3</v>
      </c>
      <c r="F39" s="108">
        <v>3.6431560829698215E-2</v>
      </c>
      <c r="G39" s="108">
        <v>5.8831916887717248E-3</v>
      </c>
      <c r="H39" s="108">
        <v>3.7916137429046551E-2</v>
      </c>
      <c r="I39" s="108">
        <v>7.5078760478660567E-3</v>
      </c>
      <c r="J39" s="108">
        <v>3.8903413945845559E-2</v>
      </c>
      <c r="K39" s="108">
        <v>1.2655566985510692E-2</v>
      </c>
      <c r="L39" s="108">
        <v>3.7408601897654173E-2</v>
      </c>
      <c r="M39" s="108">
        <v>3.881561622381835E-2</v>
      </c>
    </row>
    <row r="40" spans="3:13" x14ac:dyDescent="0.15">
      <c r="C40" s="102">
        <v>5</v>
      </c>
      <c r="D40" s="108">
        <v>3.2942222037019429E-2</v>
      </c>
      <c r="E40" s="108">
        <v>7.2306502554769841E-3</v>
      </c>
      <c r="F40" s="108">
        <v>3.4600349464938979E-2</v>
      </c>
      <c r="G40" s="108">
        <v>7.7144030535308585E-3</v>
      </c>
      <c r="H40" s="108">
        <v>3.5799649703362392E-2</v>
      </c>
      <c r="I40" s="108">
        <v>9.6243637735503769E-3</v>
      </c>
      <c r="J40" s="108">
        <v>3.622078672187598E-2</v>
      </c>
      <c r="K40" s="108">
        <v>1.5338194209480308E-2</v>
      </c>
      <c r="L40" s="108">
        <v>3.435327802912691E-2</v>
      </c>
      <c r="M40" s="108">
        <v>4.1870940092345668E-2</v>
      </c>
    </row>
    <row r="41" spans="3:13" x14ac:dyDescent="0.15">
      <c r="C41" s="102">
        <v>6</v>
      </c>
      <c r="D41" s="108">
        <v>3.1012821646448835E-2</v>
      </c>
      <c r="E41" s="108">
        <v>9.1600506460474997E-3</v>
      </c>
      <c r="F41" s="108">
        <v>3.2587759694396978E-2</v>
      </c>
      <c r="G41" s="108">
        <v>9.7269928240729109E-3</v>
      </c>
      <c r="H41" s="108">
        <v>3.353965501123192E-2</v>
      </c>
      <c r="I41" s="108">
        <v>1.1884358465680814E-2</v>
      </c>
      <c r="J41" s="108">
        <v>3.355940734621677E-2</v>
      </c>
      <c r="K41" s="108">
        <v>1.7999573585139442E-2</v>
      </c>
      <c r="L41" s="108">
        <v>3.1743407958947117E-2</v>
      </c>
      <c r="M41" s="108">
        <v>4.4480810162525405E-2</v>
      </c>
    </row>
  </sheetData>
  <sheetProtection algorithmName="SHA-512" hashValue="L+/hmU3Atua7cMuOWh/5YCm6jo8ulCVDinRMnO2KxsazOVZ90EdzNnP8EHmOoTVJqS90WozbIW7yf7/eyVFOTw==" saltValue="gxurv2XaXZ1Kh6uw4XGvYw==" spinCount="100000" sheet="1" objects="1" scenarios="1"/>
  <dataValidations count="1">
    <dataValidation type="list" allowBlank="1" showInputMessage="1" showErrorMessage="1" sqref="D17" xr:uid="{59F575B6-10D4-459E-8540-03F2DBF8870D}">
      <formula1>"1,2,3,4,5"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Cover</vt:lpstr>
      <vt:lpstr>Summary Dashboard</vt:lpstr>
      <vt:lpstr>Parameters</vt:lpstr>
      <vt:lpstr>CAPEX Build</vt:lpstr>
      <vt:lpstr>CAPEX</vt:lpstr>
      <vt:lpstr>Model 1 - Calibration</vt:lpstr>
      <vt:lpstr>Model 1 Alternative Calibration</vt:lpstr>
      <vt:lpstr>Model 1 - Inv &amp; GDP Paths</vt:lpstr>
      <vt:lpstr>Model 2 - Riskfree and ERP</vt:lpstr>
      <vt:lpstr>_z1</vt:lpstr>
      <vt:lpstr>alpha</vt:lpstr>
      <vt:lpstr>beta_ap</vt:lpstr>
      <vt:lpstr>delta_a</vt:lpstr>
      <vt:lpstr>delta_n</vt:lpstr>
      <vt:lpstr>exp_xi</vt:lpstr>
      <vt:lpstr>GDP_0</vt:lpstr>
      <vt:lpstr>GDP0</vt:lpstr>
      <vt:lpstr>I_bar</vt:lpstr>
      <vt:lpstr>I_pre</vt:lpstr>
      <vt:lpstr>K0</vt:lpstr>
      <vt:lpstr>Kn0</vt:lpstr>
      <vt:lpstr>mu_c</vt:lpstr>
      <vt:lpstr>p_d</vt:lpstr>
      <vt:lpstr>p_max</vt:lpstr>
      <vt:lpstr>p_star</vt:lpstr>
      <vt:lpstr>r_a</vt:lpstr>
      <vt:lpstr>r_n</vt:lpstr>
      <vt:lpstr>rho</vt:lpstr>
      <vt:lpstr>sigma_c</vt:lpstr>
      <vt:lpstr>theta_a</vt:lpstr>
      <vt:lpstr>xi</vt:lpstr>
      <vt:lpstr>xi_d</vt:lpstr>
      <vt:lpstr>Ya0</vt:lpstr>
      <vt:lpstr>Ya0_share</vt:lpstr>
      <vt:lpstr>Yn0</vt:lpstr>
      <vt:lpstr>z_1</vt:lpstr>
      <vt:lpstr>z0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Ma, Frank</cp:lastModifiedBy>
  <cp:revision>8</cp:revision>
  <dcterms:created xsi:type="dcterms:W3CDTF">2026-05-20T02:53:32Z</dcterms:created>
  <dcterms:modified xsi:type="dcterms:W3CDTF">2026-05-29T17:02:57Z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{54496FA5-9C2C-499C-AAE2-CCFD7F9D6BC7}</vt:lpwstr>
  </property>
</Properties>
</file>